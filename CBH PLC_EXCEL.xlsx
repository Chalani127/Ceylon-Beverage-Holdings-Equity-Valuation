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esktop\SEMESTERS\Semester 5\Biz Valuation\Assignments\Assignment 2\SEMESTER 6\"/>
    </mc:Choice>
  </mc:AlternateContent>
  <xr:revisionPtr revIDLastSave="0" documentId="13_ncr:1_{7BB6D395-C769-4DB9-B453-7B8CA59D876F}" xr6:coauthVersionLast="47" xr6:coauthVersionMax="47" xr10:uidLastSave="{00000000-0000-0000-0000-000000000000}"/>
  <bookViews>
    <workbookView xWindow="-108" yWindow="-108" windowWidth="23256" windowHeight="12456" firstSheet="1" activeTab="12" xr2:uid="{00000000-000D-0000-FFFF-FFFF00000000}"/>
  </bookViews>
  <sheets>
    <sheet name="5Y Fin. Summary" sheetId="1" r:id="rId1"/>
    <sheet name="Assumptions" sheetId="2" r:id="rId2"/>
    <sheet name="IS" sheetId="3" r:id="rId3"/>
    <sheet name="SOFP" sheetId="4" r:id="rId4"/>
    <sheet name="CF" sheetId="5" r:id="rId5"/>
    <sheet name="CapEx" sheetId="6" r:id="rId6"/>
    <sheet name="WC" sheetId="7" r:id="rId7"/>
    <sheet name="Loan Schedule" sheetId="8" r:id="rId8"/>
    <sheet name="NOPLAT" sheetId="9" r:id="rId9"/>
    <sheet name="WACC" sheetId="10" r:id="rId10"/>
    <sheet name="DCF" sheetId="11" r:id="rId11"/>
    <sheet name="Ratios" sheetId="12" r:id="rId12"/>
    <sheet name="RV" sheetId="13" r:id="rId13"/>
  </sheets>
  <definedNames>
    <definedName name="ExternalData_1" localSheetId="0">'5Y Fin. Summary'!$A$3:$E$14</definedName>
    <definedName name="ExternalData_1" localSheetId="3">SOFP!$A$2:$A$60</definedName>
    <definedName name="ExternalData_6" localSheetId="4">CF!$A$2:$G$99</definedName>
  </definedNames>
  <calcPr calcId="191029"/>
  <extLst>
    <ext uri="GoogleSheetsCustomDataVersion2">
      <go:sheetsCustomData xmlns:go="http://customooxmlschemas.google.com/" r:id="rId17" roundtripDataChecksum="3ZINNFAER6KtPGPTK8MwX1ffi7OZrBaZ9Byuhcm/e+A="/>
    </ext>
  </extLst>
</workbook>
</file>

<file path=xl/calcChain.xml><?xml version="1.0" encoding="utf-8"?>
<calcChain xmlns="http://schemas.openxmlformats.org/spreadsheetml/2006/main">
  <c r="E15" i="13" l="1"/>
  <c r="D14" i="13"/>
  <c r="D20" i="13" s="1"/>
  <c r="C13" i="13"/>
  <c r="E10" i="13"/>
  <c r="E27" i="13" s="1"/>
  <c r="D10" i="13"/>
  <c r="C10" i="13"/>
  <c r="C27" i="13" s="1"/>
  <c r="B10" i="13"/>
  <c r="B20" i="13" s="1"/>
  <c r="E9" i="13"/>
  <c r="E26" i="13" s="1"/>
  <c r="D9" i="13"/>
  <c r="C9" i="13"/>
  <c r="C26" i="13" s="1"/>
  <c r="B9" i="13"/>
  <c r="B19" i="13" s="1"/>
  <c r="G18" i="12"/>
  <c r="F18" i="12"/>
  <c r="E18" i="12"/>
  <c r="D18" i="12"/>
  <c r="C18" i="12"/>
  <c r="B18" i="12"/>
  <c r="G17" i="12"/>
  <c r="F17" i="12"/>
  <c r="E17" i="12"/>
  <c r="D17" i="12"/>
  <c r="C17" i="12"/>
  <c r="B17" i="12"/>
  <c r="G16" i="12"/>
  <c r="F16" i="12"/>
  <c r="E16" i="12"/>
  <c r="D16" i="12"/>
  <c r="C16" i="12"/>
  <c r="B16" i="12"/>
  <c r="G14" i="12"/>
  <c r="G13" i="12"/>
  <c r="F13" i="12"/>
  <c r="F14" i="12" s="1"/>
  <c r="E13" i="12"/>
  <c r="D13" i="12"/>
  <c r="C13" i="12"/>
  <c r="B13" i="12"/>
  <c r="B14" i="12" s="1"/>
  <c r="G12" i="12"/>
  <c r="F12" i="12"/>
  <c r="E12" i="12"/>
  <c r="D12" i="12"/>
  <c r="C12" i="12"/>
  <c r="B12" i="12"/>
  <c r="G11" i="12"/>
  <c r="F11" i="12"/>
  <c r="E11" i="12"/>
  <c r="D11" i="12"/>
  <c r="C11" i="12"/>
  <c r="C14" i="12" s="1"/>
  <c r="B11" i="12"/>
  <c r="G9" i="12"/>
  <c r="F9" i="12"/>
  <c r="E9" i="12"/>
  <c r="D9" i="12"/>
  <c r="C9" i="12"/>
  <c r="B9" i="12"/>
  <c r="G8" i="12"/>
  <c r="F8" i="12"/>
  <c r="E8" i="12"/>
  <c r="D8" i="12"/>
  <c r="C8" i="12"/>
  <c r="B8" i="12"/>
  <c r="G6" i="12"/>
  <c r="F6" i="12"/>
  <c r="E6" i="12"/>
  <c r="D6" i="12"/>
  <c r="C6" i="12"/>
  <c r="B6" i="12"/>
  <c r="G5" i="12"/>
  <c r="F5" i="12"/>
  <c r="E5" i="12"/>
  <c r="D5" i="12"/>
  <c r="C5" i="12"/>
  <c r="B5" i="12"/>
  <c r="G4" i="12"/>
  <c r="D4" i="12"/>
  <c r="H3" i="12"/>
  <c r="G3" i="12"/>
  <c r="F3" i="12"/>
  <c r="E3" i="12"/>
  <c r="D3" i="12"/>
  <c r="C3" i="12"/>
  <c r="B3" i="12"/>
  <c r="C2" i="12"/>
  <c r="D2" i="12" s="1"/>
  <c r="E2" i="12" s="1"/>
  <c r="F2" i="12" s="1"/>
  <c r="G2" i="12" s="1"/>
  <c r="C19" i="11"/>
  <c r="C17" i="11"/>
  <c r="B22" i="13" s="1"/>
  <c r="D22" i="13" s="1"/>
  <c r="I16" i="11"/>
  <c r="J16" i="11" s="1"/>
  <c r="K16" i="11" s="1"/>
  <c r="H16" i="11"/>
  <c r="G16" i="11" s="1"/>
  <c r="L65" i="10"/>
  <c r="L64" i="10"/>
  <c r="L63" i="10"/>
  <c r="L62" i="10"/>
  <c r="L61" i="10"/>
  <c r="L60" i="10"/>
  <c r="L59" i="10"/>
  <c r="L58" i="10"/>
  <c r="L57" i="10"/>
  <c r="L56" i="10"/>
  <c r="L55" i="10"/>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9" i="10"/>
  <c r="L28" i="10"/>
  <c r="L27" i="10"/>
  <c r="L26" i="10"/>
  <c r="C26" i="10"/>
  <c r="C28" i="10" s="1"/>
  <c r="L25" i="10"/>
  <c r="L24" i="10"/>
  <c r="L23" i="10"/>
  <c r="L22" i="10"/>
  <c r="L21" i="10"/>
  <c r="L20" i="10"/>
  <c r="C20" i="10"/>
  <c r="C23" i="10" s="1"/>
  <c r="L19" i="10"/>
  <c r="L18" i="10"/>
  <c r="L17" i="10"/>
  <c r="L16" i="10"/>
  <c r="L15" i="10"/>
  <c r="C15" i="10"/>
  <c r="L14" i="10"/>
  <c r="C14" i="10"/>
  <c r="C16" i="10" s="1"/>
  <c r="L13" i="10"/>
  <c r="L12" i="10"/>
  <c r="L11" i="10"/>
  <c r="C11" i="10"/>
  <c r="L10" i="10"/>
  <c r="L9" i="10"/>
  <c r="F9" i="10"/>
  <c r="L8" i="10"/>
  <c r="L7" i="10"/>
  <c r="L6" i="10"/>
  <c r="O7" i="10" s="1"/>
  <c r="O8" i="10" s="1"/>
  <c r="C22" i="10" s="1"/>
  <c r="C6" i="10"/>
  <c r="G5" i="10"/>
  <c r="C27" i="10" s="1"/>
  <c r="B14" i="9"/>
  <c r="D12" i="9"/>
  <c r="H11" i="9"/>
  <c r="G11" i="9"/>
  <c r="F11" i="9"/>
  <c r="E11" i="9"/>
  <c r="D11" i="9"/>
  <c r="C11" i="9"/>
  <c r="B11" i="9"/>
  <c r="E9" i="9"/>
  <c r="H8" i="9"/>
  <c r="G8" i="9"/>
  <c r="F8" i="9"/>
  <c r="E8" i="9"/>
  <c r="D8" i="9"/>
  <c r="C8" i="9"/>
  <c r="B8" i="9"/>
  <c r="H7" i="9"/>
  <c r="H9" i="9" s="1"/>
  <c r="G7" i="9"/>
  <c r="G9" i="9" s="1"/>
  <c r="F7" i="9"/>
  <c r="F9" i="9" s="1"/>
  <c r="E7" i="9"/>
  <c r="D7" i="9"/>
  <c r="D9" i="9" s="1"/>
  <c r="C7" i="9"/>
  <c r="C9" i="9" s="1"/>
  <c r="B7" i="9"/>
  <c r="B9" i="9" s="1"/>
  <c r="H6" i="9"/>
  <c r="H10" i="9" s="1"/>
  <c r="E6" i="9"/>
  <c r="B10" i="8"/>
  <c r="G14" i="7"/>
  <c r="B14" i="7"/>
  <c r="C13" i="7"/>
  <c r="J12" i="7"/>
  <c r="G12" i="7"/>
  <c r="H10" i="7"/>
  <c r="G10" i="7"/>
  <c r="F10" i="7"/>
  <c r="E10" i="7"/>
  <c r="D10" i="7"/>
  <c r="C10" i="7"/>
  <c r="B10" i="7"/>
  <c r="H9" i="7"/>
  <c r="G9" i="7"/>
  <c r="F9" i="7"/>
  <c r="E9" i="7"/>
  <c r="D9" i="7"/>
  <c r="C9" i="7"/>
  <c r="B9" i="7"/>
  <c r="H6" i="7"/>
  <c r="D6" i="7"/>
  <c r="H5" i="7"/>
  <c r="H14" i="7" s="1"/>
  <c r="I14" i="7" s="1"/>
  <c r="G5" i="7"/>
  <c r="F5" i="7"/>
  <c r="F14" i="7" s="1"/>
  <c r="E5" i="7"/>
  <c r="E14" i="7" s="1"/>
  <c r="D5" i="7"/>
  <c r="D14" i="7" s="1"/>
  <c r="C5" i="7"/>
  <c r="C14" i="7" s="1"/>
  <c r="B5" i="7"/>
  <c r="H4" i="7"/>
  <c r="H13" i="7" s="1"/>
  <c r="I13" i="7" s="1"/>
  <c r="G4" i="7"/>
  <c r="G13" i="7" s="1"/>
  <c r="F4" i="7"/>
  <c r="F13" i="7" s="1"/>
  <c r="E4" i="7"/>
  <c r="D4" i="7"/>
  <c r="D13" i="7" s="1"/>
  <c r="C4" i="7"/>
  <c r="B4" i="7"/>
  <c r="B13" i="7" s="1"/>
  <c r="H3" i="7"/>
  <c r="H12" i="7" s="1"/>
  <c r="I12" i="7" s="1"/>
  <c r="G3" i="7"/>
  <c r="G6" i="7" s="1"/>
  <c r="F3" i="7"/>
  <c r="F6" i="7" s="1"/>
  <c r="E3" i="7"/>
  <c r="E12" i="7" s="1"/>
  <c r="D3" i="7"/>
  <c r="D12" i="7" s="1"/>
  <c r="C3" i="7"/>
  <c r="C12" i="7" s="1"/>
  <c r="B3" i="7"/>
  <c r="B12" i="7" s="1"/>
  <c r="H23" i="6"/>
  <c r="G23" i="6"/>
  <c r="F23" i="6"/>
  <c r="E23" i="6"/>
  <c r="D23" i="6"/>
  <c r="C23" i="6"/>
  <c r="H22" i="6"/>
  <c r="G22" i="6"/>
  <c r="F22" i="6"/>
  <c r="E22" i="6"/>
  <c r="D22" i="6"/>
  <c r="C22" i="6"/>
  <c r="C21" i="6" s="1"/>
  <c r="B21" i="6"/>
  <c r="I20" i="6"/>
  <c r="H20" i="6"/>
  <c r="G20" i="6"/>
  <c r="F20" i="6"/>
  <c r="E20" i="6"/>
  <c r="D20" i="6"/>
  <c r="C20" i="6"/>
  <c r="H15" i="6"/>
  <c r="I12" i="6" s="1"/>
  <c r="G15" i="6"/>
  <c r="F15" i="6"/>
  <c r="G12" i="6" s="1"/>
  <c r="E15" i="6"/>
  <c r="D15" i="6"/>
  <c r="E12" i="6" s="1"/>
  <c r="C15" i="6"/>
  <c r="B15" i="6"/>
  <c r="C12" i="6" s="1"/>
  <c r="H14" i="6"/>
  <c r="G14" i="6"/>
  <c r="F14" i="6"/>
  <c r="E14" i="6"/>
  <c r="D14" i="6"/>
  <c r="C14" i="6"/>
  <c r="B14" i="6"/>
  <c r="H13" i="6"/>
  <c r="G13" i="6"/>
  <c r="F13" i="6"/>
  <c r="E13" i="6"/>
  <c r="D13" i="6"/>
  <c r="C13" i="6"/>
  <c r="B13" i="6"/>
  <c r="H12" i="6"/>
  <c r="F12" i="6"/>
  <c r="D12" i="6"/>
  <c r="H7" i="6"/>
  <c r="G7" i="6"/>
  <c r="H3" i="6" s="1"/>
  <c r="F7" i="6"/>
  <c r="E7" i="6"/>
  <c r="D7" i="6"/>
  <c r="C7" i="6"/>
  <c r="D3" i="6" s="1"/>
  <c r="B7" i="6"/>
  <c r="H6" i="6"/>
  <c r="G6" i="6"/>
  <c r="F6" i="6"/>
  <c r="E6" i="6"/>
  <c r="D6" i="6"/>
  <c r="C6" i="6"/>
  <c r="B6" i="6"/>
  <c r="H5" i="6"/>
  <c r="H12" i="9" s="1"/>
  <c r="G5" i="6"/>
  <c r="F5" i="6"/>
  <c r="F12" i="9" s="1"/>
  <c r="E5" i="6"/>
  <c r="E12" i="9" s="1"/>
  <c r="D5" i="6"/>
  <c r="C5" i="6"/>
  <c r="B5" i="6"/>
  <c r="B12" i="9" s="1"/>
  <c r="H4" i="6"/>
  <c r="G4" i="6"/>
  <c r="G13" i="9" s="1"/>
  <c r="F4" i="6"/>
  <c r="F13" i="9" s="1"/>
  <c r="E4" i="6"/>
  <c r="E13" i="9" s="1"/>
  <c r="D4" i="6"/>
  <c r="D13" i="9" s="1"/>
  <c r="C4" i="6"/>
  <c r="C13" i="9" s="1"/>
  <c r="B4" i="6"/>
  <c r="B13" i="9" s="1"/>
  <c r="I3" i="6"/>
  <c r="G3" i="6"/>
  <c r="F3" i="6"/>
  <c r="E3" i="6"/>
  <c r="C3" i="6"/>
  <c r="B67" i="5"/>
  <c r="I66" i="5"/>
  <c r="J66" i="5" s="1"/>
  <c r="K66" i="5" s="1"/>
  <c r="L66" i="5" s="1"/>
  <c r="M66" i="5" s="1"/>
  <c r="I59" i="5"/>
  <c r="L55" i="5"/>
  <c r="M55" i="5" s="1"/>
  <c r="I55" i="5"/>
  <c r="J55" i="5" s="1"/>
  <c r="K55" i="5" s="1"/>
  <c r="M54" i="5"/>
  <c r="J54" i="5"/>
  <c r="K54" i="5" s="1"/>
  <c r="L54" i="5" s="1"/>
  <c r="H46" i="5"/>
  <c r="G46" i="5"/>
  <c r="F46" i="5"/>
  <c r="E46" i="5"/>
  <c r="D46" i="5"/>
  <c r="C46" i="5"/>
  <c r="B46" i="5"/>
  <c r="I42" i="5"/>
  <c r="K35" i="5"/>
  <c r="L35" i="5" s="1"/>
  <c r="M35" i="5" s="1"/>
  <c r="J35" i="5"/>
  <c r="M15" i="5"/>
  <c r="L15" i="5"/>
  <c r="J15" i="5"/>
  <c r="K15" i="5" s="1"/>
  <c r="M11" i="5"/>
  <c r="L11" i="5"/>
  <c r="J11" i="5"/>
  <c r="K11" i="5" s="1"/>
  <c r="J10" i="5"/>
  <c r="K10" i="5" s="1"/>
  <c r="L10" i="5" s="1"/>
  <c r="M10" i="5" s="1"/>
  <c r="H4" i="5"/>
  <c r="E4" i="5"/>
  <c r="G52" i="4"/>
  <c r="F52" i="4"/>
  <c r="E52" i="4"/>
  <c r="D52" i="4"/>
  <c r="C52" i="4"/>
  <c r="B52" i="4"/>
  <c r="M49" i="4"/>
  <c r="L49" i="4"/>
  <c r="I49" i="4"/>
  <c r="J49" i="4" s="1"/>
  <c r="K49" i="4" s="1"/>
  <c r="J48" i="4"/>
  <c r="K48" i="4" s="1"/>
  <c r="L48" i="4" s="1"/>
  <c r="M48" i="4" s="1"/>
  <c r="I48" i="4"/>
  <c r="I47" i="4"/>
  <c r="K45" i="4"/>
  <c r="L45" i="4" s="1"/>
  <c r="M45" i="4" s="1"/>
  <c r="J45" i="4"/>
  <c r="I44" i="4"/>
  <c r="J44" i="4" s="1"/>
  <c r="K44" i="4" s="1"/>
  <c r="L44" i="4" s="1"/>
  <c r="M44" i="4" s="1"/>
  <c r="I43" i="4"/>
  <c r="J43" i="4" s="1"/>
  <c r="K43" i="4" s="1"/>
  <c r="L43" i="4" s="1"/>
  <c r="M43" i="4" s="1"/>
  <c r="M38" i="4"/>
  <c r="L38" i="4"/>
  <c r="K38" i="4"/>
  <c r="I38" i="4"/>
  <c r="J38" i="4" s="1"/>
  <c r="M37" i="4"/>
  <c r="L37" i="4"/>
  <c r="J37" i="4"/>
  <c r="K37" i="4" s="1"/>
  <c r="I37" i="4"/>
  <c r="M36" i="4"/>
  <c r="K36" i="4"/>
  <c r="L36" i="4" s="1"/>
  <c r="J36" i="4"/>
  <c r="I36" i="4"/>
  <c r="L31" i="4"/>
  <c r="M31" i="4" s="1"/>
  <c r="J31" i="4"/>
  <c r="K31" i="4" s="1"/>
  <c r="I31" i="4"/>
  <c r="K27" i="4"/>
  <c r="L27" i="4" s="1"/>
  <c r="M27" i="4" s="1"/>
  <c r="I27" i="4"/>
  <c r="J27" i="4" s="1"/>
  <c r="J26" i="4"/>
  <c r="I26" i="4"/>
  <c r="H20" i="4"/>
  <c r="G20" i="4"/>
  <c r="F20" i="4"/>
  <c r="E20" i="4"/>
  <c r="D20" i="4"/>
  <c r="C20" i="4"/>
  <c r="K18" i="4"/>
  <c r="L18" i="4" s="1"/>
  <c r="M18" i="4" s="1"/>
  <c r="I18" i="4"/>
  <c r="J18" i="4" s="1"/>
  <c r="G12" i="4"/>
  <c r="C12" i="4"/>
  <c r="B12" i="4"/>
  <c r="K10" i="4"/>
  <c r="L10" i="4" s="1"/>
  <c r="M10" i="4" s="1"/>
  <c r="J10" i="4"/>
  <c r="I10" i="4"/>
  <c r="I7" i="4"/>
  <c r="J7" i="4" s="1"/>
  <c r="K7" i="4" s="1"/>
  <c r="L7" i="4" s="1"/>
  <c r="M7" i="4" s="1"/>
  <c r="H7" i="4"/>
  <c r="G7" i="4"/>
  <c r="F7" i="4"/>
  <c r="F12" i="4" s="1"/>
  <c r="E7" i="4"/>
  <c r="E12" i="4" s="1"/>
  <c r="D7" i="4"/>
  <c r="D12" i="4" s="1"/>
  <c r="C7" i="4"/>
  <c r="H38" i="3"/>
  <c r="G38" i="3"/>
  <c r="F38" i="3"/>
  <c r="E38" i="3"/>
  <c r="D38" i="3"/>
  <c r="C38" i="3"/>
  <c r="B38" i="3"/>
  <c r="I37" i="3"/>
  <c r="I38" i="3" s="1"/>
  <c r="I3" i="3" s="1"/>
  <c r="I36" i="3"/>
  <c r="E31" i="3"/>
  <c r="D31" i="3"/>
  <c r="C31" i="3"/>
  <c r="B31" i="3"/>
  <c r="H27" i="3"/>
  <c r="G15" i="3"/>
  <c r="F15" i="3"/>
  <c r="B15" i="3"/>
  <c r="H8" i="3"/>
  <c r="G8" i="3"/>
  <c r="F8" i="3"/>
  <c r="E8" i="3"/>
  <c r="D8" i="3"/>
  <c r="D15" i="3" s="1"/>
  <c r="C8" i="3"/>
  <c r="C15" i="3" s="1"/>
  <c r="B8" i="3"/>
  <c r="L7" i="3"/>
  <c r="K6" i="1" s="1"/>
  <c r="I7" i="3"/>
  <c r="J7" i="3" s="1"/>
  <c r="K7" i="3" s="1"/>
  <c r="M37" i="2"/>
  <c r="J37" i="2"/>
  <c r="K37" i="2" s="1"/>
  <c r="L37" i="2" s="1"/>
  <c r="I37" i="2"/>
  <c r="H37" i="2"/>
  <c r="G37" i="2"/>
  <c r="F37" i="2"/>
  <c r="E37" i="2"/>
  <c r="D37" i="2"/>
  <c r="C37" i="2"/>
  <c r="B37" i="2"/>
  <c r="M36" i="2"/>
  <c r="J36" i="2"/>
  <c r="K36" i="2" s="1"/>
  <c r="L36" i="2" s="1"/>
  <c r="H36" i="2"/>
  <c r="G36" i="2"/>
  <c r="F36" i="2"/>
  <c r="E36" i="2"/>
  <c r="D36" i="2"/>
  <c r="C36" i="2"/>
  <c r="B36" i="2"/>
  <c r="L33" i="2"/>
  <c r="M33" i="2" s="1"/>
  <c r="I33" i="2"/>
  <c r="J33" i="2" s="1"/>
  <c r="K33" i="2" s="1"/>
  <c r="H33" i="2"/>
  <c r="G33" i="2"/>
  <c r="F33" i="2"/>
  <c r="E33" i="2"/>
  <c r="D33" i="2"/>
  <c r="C33" i="2"/>
  <c r="L31" i="2"/>
  <c r="M31" i="2" s="1"/>
  <c r="K31" i="2"/>
  <c r="H31" i="2"/>
  <c r="I31" i="2" s="1"/>
  <c r="J31" i="2" s="1"/>
  <c r="G31" i="2"/>
  <c r="F31" i="2"/>
  <c r="E31" i="2"/>
  <c r="D31" i="2"/>
  <c r="C31" i="2"/>
  <c r="B31" i="2"/>
  <c r="H29" i="2"/>
  <c r="G29" i="2"/>
  <c r="F29" i="2"/>
  <c r="E29" i="2"/>
  <c r="D29" i="2"/>
  <c r="C29" i="2"/>
  <c r="B29" i="2"/>
  <c r="H26" i="2"/>
  <c r="I26" i="2" s="1"/>
  <c r="J26" i="2" s="1"/>
  <c r="K26" i="2" s="1"/>
  <c r="L26" i="2" s="1"/>
  <c r="M26" i="2" s="1"/>
  <c r="G26" i="2"/>
  <c r="F26" i="2"/>
  <c r="E26" i="2"/>
  <c r="D26" i="2"/>
  <c r="C26" i="2"/>
  <c r="B26" i="2"/>
  <c r="K23" i="2"/>
  <c r="L23" i="2" s="1"/>
  <c r="M23" i="2" s="1"/>
  <c r="H23" i="2"/>
  <c r="I23" i="2" s="1"/>
  <c r="J23" i="2" s="1"/>
  <c r="G23" i="2"/>
  <c r="F23" i="2"/>
  <c r="E23" i="2"/>
  <c r="D23" i="2"/>
  <c r="C23" i="2"/>
  <c r="B23" i="2"/>
  <c r="L20" i="2"/>
  <c r="M20" i="2" s="1"/>
  <c r="K20" i="2"/>
  <c r="H20" i="2"/>
  <c r="I20" i="2" s="1"/>
  <c r="J20" i="2" s="1"/>
  <c r="G20" i="2"/>
  <c r="F20" i="2"/>
  <c r="E20" i="2"/>
  <c r="D20" i="2"/>
  <c r="C20" i="2"/>
  <c r="B20" i="2"/>
  <c r="H17" i="2"/>
  <c r="G17" i="2"/>
  <c r="F17" i="2"/>
  <c r="E17" i="2"/>
  <c r="D17" i="2"/>
  <c r="C17" i="2"/>
  <c r="B17" i="2"/>
  <c r="H14" i="2"/>
  <c r="G14" i="2"/>
  <c r="F14" i="2"/>
  <c r="E14" i="2"/>
  <c r="D14" i="2"/>
  <c r="C14" i="2"/>
  <c r="B14" i="2"/>
  <c r="K9" i="2"/>
  <c r="L9" i="2" s="1"/>
  <c r="M9" i="2" s="1"/>
  <c r="J9" i="2"/>
  <c r="H9" i="2"/>
  <c r="G9" i="2"/>
  <c r="F9" i="2"/>
  <c r="E9" i="2"/>
  <c r="D9" i="2"/>
  <c r="C9" i="2"/>
  <c r="B9" i="2"/>
  <c r="K6" i="2"/>
  <c r="L6" i="2" s="1"/>
  <c r="M6" i="2" s="1"/>
  <c r="J6" i="2"/>
  <c r="J37" i="3" s="1"/>
  <c r="H6" i="2"/>
  <c r="G6" i="2"/>
  <c r="F6" i="2"/>
  <c r="E6" i="2"/>
  <c r="D6" i="2"/>
  <c r="C6" i="2"/>
  <c r="J5" i="2"/>
  <c r="J36" i="3" s="1"/>
  <c r="H5" i="2"/>
  <c r="G5" i="2"/>
  <c r="F5" i="2"/>
  <c r="E5" i="2"/>
  <c r="D5" i="2"/>
  <c r="C5" i="2"/>
  <c r="L9" i="1"/>
  <c r="K9" i="1"/>
  <c r="J9" i="1"/>
  <c r="I9" i="1"/>
  <c r="H9" i="1"/>
  <c r="G7" i="1"/>
  <c r="G8" i="1" s="1"/>
  <c r="J6" i="1"/>
  <c r="I6" i="1"/>
  <c r="H6" i="1"/>
  <c r="G5" i="1"/>
  <c r="E5" i="1"/>
  <c r="D5" i="1"/>
  <c r="C5" i="1"/>
  <c r="B5" i="1"/>
  <c r="G4" i="1"/>
  <c r="H5" i="9" s="1"/>
  <c r="F4" i="1"/>
  <c r="G5" i="9" s="1"/>
  <c r="E4" i="1"/>
  <c r="F5" i="9" s="1"/>
  <c r="D4" i="1"/>
  <c r="E5" i="9" s="1"/>
  <c r="C4" i="1"/>
  <c r="D5" i="9" s="1"/>
  <c r="B4" i="1"/>
  <c r="C5" i="9" s="1"/>
  <c r="K37" i="3" l="1"/>
  <c r="L37" i="3" s="1"/>
  <c r="M37" i="3" s="1"/>
  <c r="J38" i="3"/>
  <c r="J3" i="3" s="1"/>
  <c r="I5" i="9"/>
  <c r="I21" i="6"/>
  <c r="I6" i="5" s="1"/>
  <c r="I13" i="6"/>
  <c r="I40" i="5" s="1"/>
  <c r="I9" i="7"/>
  <c r="I16" i="3"/>
  <c r="I10" i="3"/>
  <c r="I4" i="3"/>
  <c r="I10" i="7" s="1"/>
  <c r="I3" i="7" s="1"/>
  <c r="I11" i="3"/>
  <c r="I6" i="3"/>
  <c r="H5" i="1" s="1"/>
  <c r="H4" i="1"/>
  <c r="C4" i="12"/>
  <c r="D4" i="5"/>
  <c r="D6" i="9"/>
  <c r="D10" i="9" s="1"/>
  <c r="M7" i="3"/>
  <c r="L6" i="1" s="1"/>
  <c r="G6" i="9"/>
  <c r="G10" i="9" s="1"/>
  <c r="F4" i="12"/>
  <c r="I6" i="4"/>
  <c r="J6" i="4" s="1"/>
  <c r="K6" i="4" s="1"/>
  <c r="L6" i="4" s="1"/>
  <c r="M6" i="4" s="1"/>
  <c r="K26" i="4"/>
  <c r="J29" i="2"/>
  <c r="I14" i="2"/>
  <c r="J14" i="2" s="1"/>
  <c r="K14" i="2" s="1"/>
  <c r="L14" i="2" s="1"/>
  <c r="M14" i="2" s="1"/>
  <c r="E4" i="12"/>
  <c r="F6" i="9"/>
  <c r="F10" i="9" s="1"/>
  <c r="F4" i="5"/>
  <c r="I17" i="2"/>
  <c r="I29" i="2"/>
  <c r="C6" i="9"/>
  <c r="C10" i="9" s="1"/>
  <c r="B4" i="12"/>
  <c r="C4" i="5"/>
  <c r="B6" i="9"/>
  <c r="B10" i="9" s="1"/>
  <c r="B15" i="9" s="1"/>
  <c r="B4" i="5"/>
  <c r="G4" i="5"/>
  <c r="I4" i="6"/>
  <c r="H13" i="9"/>
  <c r="J13" i="7"/>
  <c r="I4" i="7"/>
  <c r="K12" i="7"/>
  <c r="K5" i="2"/>
  <c r="F7" i="7"/>
  <c r="F14" i="9" s="1"/>
  <c r="G7" i="7"/>
  <c r="G14" i="9" s="1"/>
  <c r="H7" i="7"/>
  <c r="H14" i="9" s="1"/>
  <c r="B12" i="8"/>
  <c r="B13" i="8" s="1"/>
  <c r="B4" i="8"/>
  <c r="E10" i="9"/>
  <c r="I14" i="6"/>
  <c r="I15" i="6" s="1"/>
  <c r="I22" i="6"/>
  <c r="J14" i="7"/>
  <c r="I5" i="7"/>
  <c r="G3" i="11"/>
  <c r="H15" i="9"/>
  <c r="G4" i="11" s="1"/>
  <c r="I5" i="6"/>
  <c r="C12" i="9"/>
  <c r="G12" i="9"/>
  <c r="E13" i="7"/>
  <c r="E6" i="7"/>
  <c r="E7" i="7" s="1"/>
  <c r="E14" i="9" s="1"/>
  <c r="F12" i="7"/>
  <c r="D14" i="12"/>
  <c r="B26" i="13"/>
  <c r="B27" i="13"/>
  <c r="B6" i="7"/>
  <c r="F10" i="10"/>
  <c r="E14" i="12"/>
  <c r="D27" i="13"/>
  <c r="C6" i="7"/>
  <c r="C7" i="7" s="1"/>
  <c r="C14" i="9" s="1"/>
  <c r="C18" i="11"/>
  <c r="B23" i="13" s="1"/>
  <c r="D23" i="13" s="1"/>
  <c r="C12" i="10"/>
  <c r="C17" i="10" s="1"/>
  <c r="D19" i="13"/>
  <c r="D26" i="13" s="1"/>
  <c r="J12" i="6" l="1"/>
  <c r="I8" i="4"/>
  <c r="I6" i="7"/>
  <c r="I25" i="5"/>
  <c r="C6" i="8"/>
  <c r="E6" i="8"/>
  <c r="D6" i="8"/>
  <c r="B6" i="8"/>
  <c r="F6" i="8"/>
  <c r="L5" i="2"/>
  <c r="M5" i="2" s="1"/>
  <c r="K36" i="3"/>
  <c r="I26" i="5"/>
  <c r="I16" i="4"/>
  <c r="J17" i="2"/>
  <c r="C3" i="11"/>
  <c r="H7" i="1"/>
  <c r="I9" i="3"/>
  <c r="B5" i="8"/>
  <c r="B7" i="8" s="1"/>
  <c r="D7" i="7"/>
  <c r="D14" i="9" s="1"/>
  <c r="D15" i="9" s="1"/>
  <c r="C4" i="11" s="1"/>
  <c r="L12" i="7"/>
  <c r="K13" i="7"/>
  <c r="J4" i="7"/>
  <c r="C15" i="9"/>
  <c r="B4" i="11" s="1"/>
  <c r="B3" i="11"/>
  <c r="I5" i="3"/>
  <c r="J13" i="6"/>
  <c r="J40" i="5" s="1"/>
  <c r="J9" i="7"/>
  <c r="J5" i="9"/>
  <c r="J21" i="6"/>
  <c r="J6" i="5" s="1"/>
  <c r="J9" i="3"/>
  <c r="J4" i="3"/>
  <c r="J10" i="7" s="1"/>
  <c r="J3" i="7" s="1"/>
  <c r="J10" i="3"/>
  <c r="J5" i="3"/>
  <c r="J11" i="3"/>
  <c r="J6" i="3"/>
  <c r="I5" i="1" s="1"/>
  <c r="I4" i="1"/>
  <c r="I7" i="1" s="1"/>
  <c r="J16" i="3"/>
  <c r="I30" i="5"/>
  <c r="I42" i="4"/>
  <c r="I50" i="4" s="1"/>
  <c r="I13" i="9"/>
  <c r="I7" i="6"/>
  <c r="J4" i="6"/>
  <c r="I39" i="5"/>
  <c r="I46" i="5" s="1"/>
  <c r="F15" i="9"/>
  <c r="E4" i="11" s="1"/>
  <c r="E3" i="11"/>
  <c r="J9" i="9"/>
  <c r="I12" i="9"/>
  <c r="I8" i="5"/>
  <c r="K14" i="7"/>
  <c r="J5" i="7"/>
  <c r="I11" i="9"/>
  <c r="I9" i="5"/>
  <c r="C30" i="10"/>
  <c r="I23" i="6"/>
  <c r="D3" i="11"/>
  <c r="E15" i="9"/>
  <c r="D4" i="11" s="1"/>
  <c r="I9" i="9"/>
  <c r="K29" i="2"/>
  <c r="K9" i="9" s="1"/>
  <c r="L26" i="4"/>
  <c r="G15" i="9"/>
  <c r="F4" i="11" s="1"/>
  <c r="F3" i="11"/>
  <c r="C4" i="8" l="1"/>
  <c r="I35" i="4"/>
  <c r="J3" i="6"/>
  <c r="I5" i="4"/>
  <c r="J3" i="12"/>
  <c r="J8" i="3"/>
  <c r="J15" i="3" s="1"/>
  <c r="C13" i="11"/>
  <c r="K5" i="11"/>
  <c r="L5" i="11"/>
  <c r="H5" i="11"/>
  <c r="F19" i="11" s="1"/>
  <c r="J5" i="11"/>
  <c r="I5" i="11"/>
  <c r="L14" i="7"/>
  <c r="J6" i="7"/>
  <c r="J25" i="5"/>
  <c r="M12" i="7"/>
  <c r="K38" i="3"/>
  <c r="K3" i="3" s="1"/>
  <c r="L36" i="3"/>
  <c r="I15" i="4"/>
  <c r="I7" i="7"/>
  <c r="I14" i="9" s="1"/>
  <c r="M26" i="4"/>
  <c r="J13" i="9"/>
  <c r="K4" i="6"/>
  <c r="J39" i="5"/>
  <c r="J46" i="5" s="1"/>
  <c r="K17" i="2"/>
  <c r="J26" i="5"/>
  <c r="J16" i="4"/>
  <c r="L29" i="2"/>
  <c r="L9" i="9" s="1"/>
  <c r="J20" i="6"/>
  <c r="I9" i="4"/>
  <c r="J30" i="5"/>
  <c r="J42" i="4"/>
  <c r="J50" i="4" s="1"/>
  <c r="I3" i="12"/>
  <c r="I8" i="3"/>
  <c r="I15" i="3" s="1"/>
  <c r="L13" i="7"/>
  <c r="I49" i="5"/>
  <c r="I17" i="3"/>
  <c r="I51" i="5"/>
  <c r="J15" i="6"/>
  <c r="J14" i="6"/>
  <c r="M17" i="2" l="1"/>
  <c r="L17" i="2"/>
  <c r="H11" i="1"/>
  <c r="I18" i="3"/>
  <c r="H4" i="12"/>
  <c r="I6" i="9"/>
  <c r="I10" i="9" s="1"/>
  <c r="I4" i="5"/>
  <c r="I24" i="5" s="1"/>
  <c r="I31" i="5" s="1"/>
  <c r="I19" i="3"/>
  <c r="H10" i="1"/>
  <c r="H8" i="1" s="1"/>
  <c r="K12" i="6"/>
  <c r="J8" i="4"/>
  <c r="K5" i="9"/>
  <c r="K13" i="6"/>
  <c r="K40" i="5" s="1"/>
  <c r="K9" i="7"/>
  <c r="K4" i="7" s="1"/>
  <c r="K21" i="6"/>
  <c r="K6" i="5" s="1"/>
  <c r="K11" i="3"/>
  <c r="K6" i="3"/>
  <c r="J5" i="1" s="1"/>
  <c r="K10" i="3"/>
  <c r="J4" i="1"/>
  <c r="J7" i="1" s="1"/>
  <c r="K16" i="3"/>
  <c r="K9" i="3"/>
  <c r="K4" i="3"/>
  <c r="K10" i="7" s="1"/>
  <c r="J7" i="7"/>
  <c r="J14" i="9" s="1"/>
  <c r="J15" i="4"/>
  <c r="I12" i="4"/>
  <c r="M13" i="7"/>
  <c r="M29" i="2"/>
  <c r="M9" i="9" s="1"/>
  <c r="J7" i="6"/>
  <c r="J5" i="6"/>
  <c r="M14" i="7"/>
  <c r="F20" i="11"/>
  <c r="F21" i="11" s="1"/>
  <c r="F18" i="11"/>
  <c r="F17" i="11" s="1"/>
  <c r="I4" i="12"/>
  <c r="J6" i="9"/>
  <c r="J10" i="9" s="1"/>
  <c r="J4" i="5"/>
  <c r="I10" i="1"/>
  <c r="I8" i="1" s="1"/>
  <c r="I39" i="4"/>
  <c r="I51" i="4" s="1"/>
  <c r="J11" i="9"/>
  <c r="J9" i="5"/>
  <c r="I56" i="5"/>
  <c r="J22" i="6"/>
  <c r="J23" i="6"/>
  <c r="K13" i="9"/>
  <c r="L4" i="6"/>
  <c r="K39" i="5"/>
  <c r="K46" i="5" s="1"/>
  <c r="L38" i="3"/>
  <c r="L3" i="3" s="1"/>
  <c r="M36" i="3"/>
  <c r="M38" i="3" s="1"/>
  <c r="M3" i="3" s="1"/>
  <c r="C5" i="8"/>
  <c r="C7" i="8" s="1"/>
  <c r="D4" i="8" l="1"/>
  <c r="J35" i="4"/>
  <c r="K16" i="4"/>
  <c r="K26" i="5"/>
  <c r="J15" i="9"/>
  <c r="I4" i="11" s="1"/>
  <c r="I6" i="11" s="1"/>
  <c r="I3" i="11"/>
  <c r="K15" i="6"/>
  <c r="K14" i="6"/>
  <c r="H3" i="11"/>
  <c r="I15" i="9"/>
  <c r="H4" i="11" s="1"/>
  <c r="H6" i="11" s="1"/>
  <c r="L9" i="7"/>
  <c r="L4" i="7" s="1"/>
  <c r="L21" i="6"/>
  <c r="L6" i="5" s="1"/>
  <c r="L5" i="9"/>
  <c r="L13" i="6"/>
  <c r="L40" i="5" s="1"/>
  <c r="L11" i="3"/>
  <c r="L6" i="3"/>
  <c r="K5" i="1" s="1"/>
  <c r="L16" i="3"/>
  <c r="L10" i="3"/>
  <c r="K4" i="1"/>
  <c r="K7" i="1" s="1"/>
  <c r="L9" i="3"/>
  <c r="L4" i="3"/>
  <c r="L10" i="7" s="1"/>
  <c r="K3" i="6"/>
  <c r="J5" i="4"/>
  <c r="J49" i="5"/>
  <c r="J56" i="5" s="1"/>
  <c r="J17" i="3"/>
  <c r="J51" i="5"/>
  <c r="M4" i="6"/>
  <c r="L39" i="5"/>
  <c r="L46" i="5" s="1"/>
  <c r="K20" i="6"/>
  <c r="J9" i="4"/>
  <c r="J24" i="5"/>
  <c r="J31" i="5" s="1"/>
  <c r="M9" i="7"/>
  <c r="M21" i="6"/>
  <c r="M6" i="5" s="1"/>
  <c r="M5" i="9"/>
  <c r="M13" i="6"/>
  <c r="M40" i="5" s="1"/>
  <c r="M16" i="3"/>
  <c r="M10" i="3"/>
  <c r="M5" i="3"/>
  <c r="M8" i="3" s="1"/>
  <c r="M9" i="3"/>
  <c r="M4" i="3"/>
  <c r="M10" i="7" s="1"/>
  <c r="M3" i="7" s="1"/>
  <c r="L4" i="1"/>
  <c r="L7" i="1" s="1"/>
  <c r="M11" i="3"/>
  <c r="M6" i="3"/>
  <c r="L5" i="1" s="1"/>
  <c r="J12" i="9"/>
  <c r="J8" i="5"/>
  <c r="M4" i="7"/>
  <c r="K3" i="7"/>
  <c r="K5" i="7"/>
  <c r="K5" i="3"/>
  <c r="I8" i="9"/>
  <c r="I20" i="3"/>
  <c r="H12" i="1"/>
  <c r="I21" i="3"/>
  <c r="I11" i="1" l="1"/>
  <c r="J18" i="3"/>
  <c r="J19" i="3" s="1"/>
  <c r="L12" i="6"/>
  <c r="K8" i="4"/>
  <c r="K3" i="12"/>
  <c r="K8" i="3"/>
  <c r="K15" i="3" s="1"/>
  <c r="M15" i="3"/>
  <c r="M25" i="5"/>
  <c r="K22" i="6"/>
  <c r="K23" i="6" s="1"/>
  <c r="L13" i="9"/>
  <c r="J12" i="4"/>
  <c r="J39" i="4"/>
  <c r="J51" i="4" s="1"/>
  <c r="M16" i="4"/>
  <c r="M26" i="5"/>
  <c r="L3" i="7"/>
  <c r="L5" i="7"/>
  <c r="H5" i="12"/>
  <c r="H11" i="12"/>
  <c r="I28" i="4"/>
  <c r="H14" i="1"/>
  <c r="I26" i="3"/>
  <c r="I25" i="3"/>
  <c r="M13" i="9"/>
  <c r="M39" i="5"/>
  <c r="M46" i="5" s="1"/>
  <c r="K30" i="5"/>
  <c r="K42" i="4"/>
  <c r="K50" i="4" s="1"/>
  <c r="I7" i="9"/>
  <c r="H6" i="12"/>
  <c r="I33" i="5"/>
  <c r="I36" i="5" s="1"/>
  <c r="I58" i="5" s="1"/>
  <c r="I62" i="5" s="1"/>
  <c r="H13" i="1"/>
  <c r="K6" i="7"/>
  <c r="K25" i="5"/>
  <c r="M5" i="7"/>
  <c r="M6" i="7" s="1"/>
  <c r="K5" i="6"/>
  <c r="K7" i="6"/>
  <c r="L5" i="3"/>
  <c r="L26" i="5"/>
  <c r="L16" i="4"/>
  <c r="K11" i="9"/>
  <c r="K9" i="5"/>
  <c r="D5" i="8"/>
  <c r="D7" i="8" s="1"/>
  <c r="E4" i="8" l="1"/>
  <c r="K35" i="4"/>
  <c r="M15" i="4"/>
  <c r="L20" i="6"/>
  <c r="K9" i="4"/>
  <c r="I30" i="4"/>
  <c r="I32" i="4" s="1"/>
  <c r="I67" i="5"/>
  <c r="I65" i="5" s="1"/>
  <c r="I19" i="4" s="1"/>
  <c r="J59" i="5"/>
  <c r="L3" i="6"/>
  <c r="K5" i="4"/>
  <c r="K12" i="4" s="1"/>
  <c r="L6" i="7"/>
  <c r="L25" i="5"/>
  <c r="K6" i="9"/>
  <c r="K10" i="9" s="1"/>
  <c r="J4" i="12"/>
  <c r="K4" i="5"/>
  <c r="J10" i="1"/>
  <c r="J8" i="1" s="1"/>
  <c r="L3" i="12"/>
  <c r="L8" i="3"/>
  <c r="L15" i="3" s="1"/>
  <c r="L42" i="4"/>
  <c r="L50" i="4" s="1"/>
  <c r="L30" i="5"/>
  <c r="K12" i="9"/>
  <c r="K8" i="5"/>
  <c r="K7" i="7"/>
  <c r="K14" i="9" s="1"/>
  <c r="K15" i="4"/>
  <c r="L4" i="12"/>
  <c r="M6" i="9"/>
  <c r="M10" i="9" s="1"/>
  <c r="M4" i="5"/>
  <c r="L10" i="1"/>
  <c r="L8" i="1" s="1"/>
  <c r="L14" i="6"/>
  <c r="M30" i="5"/>
  <c r="M42" i="4"/>
  <c r="M50" i="4" s="1"/>
  <c r="J8" i="9"/>
  <c r="I12" i="1"/>
  <c r="J20" i="3"/>
  <c r="K49" i="5"/>
  <c r="K17" i="3"/>
  <c r="K51" i="5"/>
  <c r="I27" i="3"/>
  <c r="I29" i="3"/>
  <c r="I6" i="12" l="1"/>
  <c r="J7" i="9"/>
  <c r="I13" i="1"/>
  <c r="J33" i="5"/>
  <c r="J36" i="5" s="1"/>
  <c r="J58" i="5" s="1"/>
  <c r="J62" i="5" s="1"/>
  <c r="K15" i="9"/>
  <c r="J4" i="11" s="1"/>
  <c r="J6" i="11" s="1"/>
  <c r="J3" i="11"/>
  <c r="I20" i="4"/>
  <c r="I21" i="4"/>
  <c r="K39" i="4"/>
  <c r="K51" i="4" s="1"/>
  <c r="J11" i="1"/>
  <c r="K18" i="3"/>
  <c r="K19" i="3" s="1"/>
  <c r="L11" i="9"/>
  <c r="L9" i="5"/>
  <c r="K56" i="5"/>
  <c r="L15" i="6"/>
  <c r="L3" i="11"/>
  <c r="L6" i="9"/>
  <c r="L10" i="9" s="1"/>
  <c r="K4" i="12"/>
  <c r="L4" i="5"/>
  <c r="K10" i="1"/>
  <c r="K8" i="1" s="1"/>
  <c r="K24" i="5"/>
  <c r="K31" i="5" s="1"/>
  <c r="H18" i="12"/>
  <c r="I52" i="4"/>
  <c r="H8" i="12"/>
  <c r="J21" i="3"/>
  <c r="L7" i="7"/>
  <c r="L14" i="9" s="1"/>
  <c r="L15" i="4"/>
  <c r="M7" i="7"/>
  <c r="M14" i="9" s="1"/>
  <c r="L7" i="6"/>
  <c r="L5" i="6"/>
  <c r="L22" i="6"/>
  <c r="L23" i="6"/>
  <c r="E7" i="8"/>
  <c r="E5" i="8"/>
  <c r="M3" i="6" l="1"/>
  <c r="L5" i="4"/>
  <c r="M12" i="6"/>
  <c r="L8" i="4"/>
  <c r="F4" i="8"/>
  <c r="L35" i="4"/>
  <c r="I11" i="12"/>
  <c r="I5" i="12"/>
  <c r="J26" i="3"/>
  <c r="J25" i="3"/>
  <c r="I14" i="1"/>
  <c r="J28" i="4"/>
  <c r="J67" i="5"/>
  <c r="J65" i="5" s="1"/>
  <c r="J19" i="4" s="1"/>
  <c r="K59" i="5"/>
  <c r="K3" i="11"/>
  <c r="K8" i="9"/>
  <c r="K20" i="3"/>
  <c r="K21" i="3" s="1"/>
  <c r="J12" i="1"/>
  <c r="H17" i="12"/>
  <c r="H16" i="12"/>
  <c r="I22" i="4"/>
  <c r="M20" i="6"/>
  <c r="L9" i="4"/>
  <c r="L49" i="5"/>
  <c r="L17" i="3"/>
  <c r="L51" i="5"/>
  <c r="L12" i="9"/>
  <c r="L15" i="9" s="1"/>
  <c r="K4" i="11" s="1"/>
  <c r="K6" i="11" s="1"/>
  <c r="L8" i="5"/>
  <c r="L24" i="5" s="1"/>
  <c r="L31" i="5" s="1"/>
  <c r="J11" i="12" l="1"/>
  <c r="J5" i="12"/>
  <c r="K25" i="3"/>
  <c r="K26" i="3"/>
  <c r="J14" i="1"/>
  <c r="H13" i="12"/>
  <c r="H12" i="12"/>
  <c r="H14" i="12" s="1"/>
  <c r="H9" i="12"/>
  <c r="J29" i="3"/>
  <c r="J27" i="3"/>
  <c r="M22" i="6"/>
  <c r="M23" i="6"/>
  <c r="M9" i="4" s="1"/>
  <c r="J20" i="4"/>
  <c r="J21" i="4"/>
  <c r="L12" i="4"/>
  <c r="J6" i="12"/>
  <c r="K7" i="9"/>
  <c r="K33" i="5"/>
  <c r="K36" i="5" s="1"/>
  <c r="K58" i="5" s="1"/>
  <c r="K62" i="5" s="1"/>
  <c r="J13" i="1"/>
  <c r="F5" i="8"/>
  <c r="K11" i="1"/>
  <c r="L18" i="3"/>
  <c r="L19" i="3" s="1"/>
  <c r="L56" i="5"/>
  <c r="K28" i="4"/>
  <c r="J30" i="4"/>
  <c r="J32" i="4"/>
  <c r="L39" i="4"/>
  <c r="L51" i="4" s="1"/>
  <c r="M14" i="6"/>
  <c r="M5" i="6"/>
  <c r="M7" i="6"/>
  <c r="M5" i="4" s="1"/>
  <c r="M11" i="9" l="1"/>
  <c r="M9" i="5"/>
  <c r="I18" i="12"/>
  <c r="J52" i="4"/>
  <c r="I8" i="12"/>
  <c r="M15" i="6"/>
  <c r="M8" i="4" s="1"/>
  <c r="M12" i="4" s="1"/>
  <c r="K67" i="5"/>
  <c r="K65" i="5" s="1"/>
  <c r="K19" i="4" s="1"/>
  <c r="L59" i="5"/>
  <c r="K29" i="3"/>
  <c r="K27" i="3"/>
  <c r="L8" i="9"/>
  <c r="L20" i="3"/>
  <c r="L21" i="3" s="1"/>
  <c r="K12" i="1"/>
  <c r="K30" i="4"/>
  <c r="K32" i="4" s="1"/>
  <c r="M49" i="5"/>
  <c r="M17" i="3"/>
  <c r="M51" i="5"/>
  <c r="I16" i="12"/>
  <c r="I17" i="12"/>
  <c r="J22" i="4"/>
  <c r="M12" i="9"/>
  <c r="M8" i="5"/>
  <c r="M24" i="5" s="1"/>
  <c r="M31" i="5" s="1"/>
  <c r="F7" i="8"/>
  <c r="M35" i="4" s="1"/>
  <c r="K11" i="12" l="1"/>
  <c r="K5" i="12"/>
  <c r="K14" i="1"/>
  <c r="L26" i="3"/>
  <c r="L25" i="3"/>
  <c r="L28" i="4"/>
  <c r="J18" i="12"/>
  <c r="K52" i="4"/>
  <c r="J8" i="12"/>
  <c r="K20" i="4"/>
  <c r="K21" i="4"/>
  <c r="I13" i="12"/>
  <c r="I12" i="12"/>
  <c r="I9" i="12"/>
  <c r="M56" i="5"/>
  <c r="L11" i="1"/>
  <c r="M18" i="3"/>
  <c r="M19" i="3" s="1"/>
  <c r="K6" i="12"/>
  <c r="L7" i="9"/>
  <c r="L33" i="5"/>
  <c r="L36" i="5" s="1"/>
  <c r="L58" i="5" s="1"/>
  <c r="L62" i="5" s="1"/>
  <c r="K13" i="1"/>
  <c r="M39" i="4"/>
  <c r="M51" i="4" s="1"/>
  <c r="M15" i="9"/>
  <c r="L4" i="11" s="1"/>
  <c r="M8" i="9" l="1"/>
  <c r="M20" i="3"/>
  <c r="M21" i="3" s="1"/>
  <c r="L12" i="1"/>
  <c r="I14" i="12"/>
  <c r="L30" i="4"/>
  <c r="L32" i="4"/>
  <c r="L67" i="5"/>
  <c r="L65" i="5" s="1"/>
  <c r="L19" i="4" s="1"/>
  <c r="M59" i="5"/>
  <c r="C14" i="11"/>
  <c r="C15" i="11" s="1"/>
  <c r="L6" i="11"/>
  <c r="C11" i="11" s="1"/>
  <c r="C16" i="11" s="1"/>
  <c r="C20" i="11" s="1"/>
  <c r="C22" i="11" s="1"/>
  <c r="L27" i="3"/>
  <c r="L29" i="3"/>
  <c r="J17" i="12"/>
  <c r="J16" i="12"/>
  <c r="K22" i="4"/>
  <c r="L11" i="12" l="1"/>
  <c r="L5" i="12"/>
  <c r="L14" i="1"/>
  <c r="M26" i="3"/>
  <c r="M25" i="3"/>
  <c r="M28" i="4"/>
  <c r="C24" i="11"/>
  <c r="F16" i="11"/>
  <c r="C25" i="11"/>
  <c r="K18" i="12"/>
  <c r="L52" i="4"/>
  <c r="K8" i="12"/>
  <c r="J13" i="12"/>
  <c r="J12" i="12"/>
  <c r="J14" i="12" s="1"/>
  <c r="J9" i="12"/>
  <c r="L6" i="12"/>
  <c r="M7" i="9"/>
  <c r="M33" i="5"/>
  <c r="M36" i="5" s="1"/>
  <c r="M58" i="5" s="1"/>
  <c r="M62" i="5" s="1"/>
  <c r="M67" i="5" s="1"/>
  <c r="M65" i="5" s="1"/>
  <c r="M19" i="4" s="1"/>
  <c r="L13" i="1"/>
  <c r="L20" i="4"/>
  <c r="L21" i="4"/>
  <c r="M30" i="4" l="1"/>
  <c r="M32" i="4" s="1"/>
  <c r="M20" i="4"/>
  <c r="M21" i="4"/>
  <c r="M27" i="3"/>
  <c r="M29" i="3"/>
  <c r="K17" i="12"/>
  <c r="K16" i="12"/>
  <c r="L22" i="4"/>
  <c r="L18" i="12" l="1"/>
  <c r="M52" i="4"/>
  <c r="L8" i="12"/>
  <c r="K13" i="12"/>
  <c r="K12" i="12"/>
  <c r="K9" i="12"/>
  <c r="L16" i="12"/>
  <c r="L17" i="12"/>
  <c r="M22" i="4"/>
  <c r="L13" i="12" l="1"/>
  <c r="L12" i="12"/>
  <c r="L14" i="12" s="1"/>
  <c r="L9" i="12"/>
  <c r="K1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100-000002000000}">
      <text>
        <r>
          <rPr>
            <sz val="11"/>
            <color theme="1"/>
            <rFont val="Aptos Narrow"/>
            <scheme val="minor"/>
          </rPr>
          <t>======
ID#AAABrONaPQQ
Chalani    (2025-09-18 14:41:26)
12% YoY, reflecting steady demand recovery in Sri Lanka, supported by tourism rebound, HORECA channel expansion, and premiumisation trends.</t>
        </r>
      </text>
    </comment>
    <comment ref="A6" authorId="0" shapeId="0" xr:uid="{00000000-0006-0000-0100-000001000000}">
      <text>
        <r>
          <rPr>
            <sz val="11"/>
            <color theme="1"/>
            <rFont val="Aptos Narrow"/>
            <scheme val="minor"/>
          </rPr>
          <t>======
ID#AAABrONaPQc
Chalani    (2025-09-18 14:41:26)
15% YoY, based on CBH’s focused expansion into high-growth markets in Africa, South Asia, and the Middle East</t>
        </r>
      </text>
    </comment>
  </commentList>
  <extLst>
    <ext xmlns:r="http://schemas.openxmlformats.org/officeDocument/2006/relationships" uri="GoogleSheetsCustomDataVersion2">
      <go:sheetsCustomData xmlns:go="http://customooxmlschemas.google.com/" r:id="rId1" roundtripDataSignature="AMtx7mgbs4RJ7iGltN6NogmYTn+wiDYcJ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8" authorId="0" shapeId="0" xr:uid="{00000000-0006-0000-0300-000001000000}">
      <text>
        <r>
          <rPr>
            <sz val="11"/>
            <color theme="1"/>
            <rFont val="Aptos Narrow"/>
            <scheme val="minor"/>
          </rPr>
          <t>======
ID#AAABrONaPQg
Chalani    (2025-09-18 14:41:26)
Calculated by summing the Opening balance with the net income</t>
        </r>
      </text>
    </comment>
    <comment ref="A47" authorId="0" shapeId="0" xr:uid="{00000000-0006-0000-0300-000002000000}">
      <text>
        <r>
          <rPr>
            <sz val="11"/>
            <color theme="1"/>
            <rFont val="Aptos Narrow"/>
            <scheme val="minor"/>
          </rPr>
          <t>======
ID#AAABrONaPQI
Chalani    (2025-09-18 14:41:26)
A few loans borrowed to be settled in one month's time is recognized as CL</t>
        </r>
      </text>
    </comment>
  </commentList>
  <extLst>
    <ext xmlns:r="http://schemas.openxmlformats.org/officeDocument/2006/relationships" uri="GoogleSheetsCustomDataVersion2">
      <go:sheetsCustomData xmlns:go="http://customooxmlschemas.google.com/" r:id="rId1" roundtripDataSignature="AMtx7mjSTA2h2b3MDg/fDBN7vZXIAX0Yk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1" authorId="0" shapeId="0" xr:uid="{00000000-0006-0000-0700-000002000000}">
      <text>
        <r>
          <rPr>
            <sz val="11"/>
            <color theme="1"/>
            <rFont val="Aptos Narrow"/>
            <scheme val="minor"/>
          </rPr>
          <t>======
ID#AAABrONaPP8
Chalani    (2025-09-18 14:41:26)
The interest rate used in the loan schedule was calculated using a weighted average method. Since individual interest rates for each loan were not disclosed in the financial statements, the total finance cost was divided by the cumulative loan balance to estimate an average rate.</t>
        </r>
      </text>
    </comment>
    <comment ref="A12" authorId="0" shapeId="0" xr:uid="{00000000-0006-0000-0700-000001000000}">
      <text>
        <r>
          <rPr>
            <sz val="11"/>
            <color theme="1"/>
            <rFont val="Aptos Narrow"/>
            <scheme val="minor"/>
          </rPr>
          <t>======
ID#AAABrONaPQY
Chalani    (2025-09-18 14:41:26)
The time period for each loan was calculated using the Weighted Average Maturity (WAM) method. Given the loan portfolio comprises multiple loans with different terms and conditions, an overall period was estimated using this approach.</t>
        </r>
      </text>
    </comment>
  </commentList>
  <extLst>
    <ext xmlns:r="http://schemas.openxmlformats.org/officeDocument/2006/relationships" uri="GoogleSheetsCustomDataVersion2">
      <go:sheetsCustomData xmlns:go="http://customooxmlschemas.google.com/" r:id="rId1" roundtripDataSignature="AMtx7miMLjMd/0Nf7htlbp7uYrWQmdsBl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1" authorId="0" shapeId="0" xr:uid="{00000000-0006-0000-0800-000002000000}">
      <text>
        <r>
          <rPr>
            <sz val="11"/>
            <color theme="1"/>
            <rFont val="Aptos Narrow"/>
            <scheme val="minor"/>
          </rPr>
          <t>======
ID#AAABrONaPQU
Chalani    (2025-09-18 14:41:26)
Ammortization of intangible assets</t>
        </r>
      </text>
    </comment>
    <comment ref="A12" authorId="0" shapeId="0" xr:uid="{00000000-0006-0000-0800-000001000000}">
      <text>
        <r>
          <rPr>
            <sz val="11"/>
            <color theme="1"/>
            <rFont val="Aptos Narrow"/>
            <scheme val="minor"/>
          </rPr>
          <t>======
ID#AAABrONaPQk
Chalani    (2025-09-18 14:41:26)
Depreciation of both PPE and ROU assets are considered</t>
        </r>
      </text>
    </comment>
    <comment ref="A13" authorId="0" shapeId="0" xr:uid="{00000000-0006-0000-0800-000003000000}">
      <text>
        <r>
          <rPr>
            <sz val="11"/>
            <color theme="1"/>
            <rFont val="Aptos Narrow"/>
            <scheme val="minor"/>
          </rPr>
          <t>======
ID#AAABrONaPQA
Chalani    (2025-09-18 14:41:26)
Additions for both PPE and Intangible assets are considered</t>
        </r>
      </text>
    </comment>
  </commentList>
  <extLst>
    <ext xmlns:r="http://schemas.openxmlformats.org/officeDocument/2006/relationships" uri="GoogleSheetsCustomDataVersion2">
      <go:sheetsCustomData xmlns:go="http://customooxmlschemas.google.com/" r:id="rId1" roundtripDataSignature="AMtx7mi8YPXNNE0/Q1UimWJ1Cp9ZAvpwk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21" authorId="0" shapeId="0" xr:uid="{00000000-0006-0000-0900-000001000000}">
      <text>
        <r>
          <rPr>
            <sz val="11"/>
            <color theme="1"/>
            <rFont val="Aptos Narrow"/>
            <scheme val="minor"/>
          </rPr>
          <t>======
ID#AAABrONaPQE
Chalani    (2025-09-18 14:41:26)
From Damodran's site</t>
        </r>
      </text>
    </comment>
  </commentList>
  <extLst>
    <ext xmlns:r="http://schemas.openxmlformats.org/officeDocument/2006/relationships" uri="GoogleSheetsCustomDataVersion2">
      <go:sheetsCustomData xmlns:go="http://customooxmlschemas.google.com/" r:id="rId1" roundtripDataSignature="AMtx7mh4TtKCvQun3zdFxvDRljbrzfB+d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12" authorId="0" shapeId="0" xr:uid="{00000000-0006-0000-0A00-000001000000}">
      <text>
        <r>
          <rPr>
            <sz val="11"/>
            <color theme="1"/>
            <rFont val="Aptos Narrow"/>
            <scheme val="minor"/>
          </rPr>
          <t>======
ID#AAABrONaPQM
    (2025-09-18 14:41:26)
GDP Growth Rate</t>
        </r>
      </text>
    </comment>
  </commentList>
  <extLst>
    <ext xmlns:r="http://schemas.openxmlformats.org/officeDocument/2006/relationships" uri="GoogleSheetsCustomDataVersion2">
      <go:sheetsCustomData xmlns:go="http://customooxmlschemas.google.com/" r:id="rId1" roundtripDataSignature="AMtx7mjMXHMfluVBXG9n4DvV8YYD18XrQQ=="/>
    </ext>
  </extLst>
</comments>
</file>

<file path=xl/sharedStrings.xml><?xml version="1.0" encoding="utf-8"?>
<sst xmlns="http://schemas.openxmlformats.org/spreadsheetml/2006/main" count="6539" uniqueCount="298">
  <si>
    <t>Financial Summary - Ceylon Beverage Holdings</t>
  </si>
  <si>
    <t>OPERATING RESULTS</t>
  </si>
  <si>
    <t>Revenue</t>
  </si>
  <si>
    <t>Other income</t>
  </si>
  <si>
    <t>Net gains arising from changes in fair value of investment properties</t>
  </si>
  <si>
    <t>-</t>
  </si>
  <si>
    <t>51,516,023</t>
  </si>
  <si>
    <t>Total expenditure</t>
  </si>
  <si>
    <t>(46,194,221)</t>
  </si>
  <si>
    <t>Reversal / (provision) impairment of intangible assets</t>
  </si>
  <si>
    <t>(449,084)</t>
  </si>
  <si>
    <t>EBIT</t>
  </si>
  <si>
    <t>4,872,718</t>
  </si>
  <si>
    <t>Net finance income/(costs)</t>
  </si>
  <si>
    <t>(588,211)</t>
  </si>
  <si>
    <t>EBT</t>
  </si>
  <si>
    <t>4,284,507</t>
  </si>
  <si>
    <t>Income tax expense</t>
  </si>
  <si>
    <t>(1,850,010)</t>
  </si>
  <si>
    <t>Net Income</t>
  </si>
  <si>
    <t>2,434,497</t>
  </si>
  <si>
    <t>Assumptions Sheet</t>
  </si>
  <si>
    <t>Revenue Assumptions</t>
  </si>
  <si>
    <t>Revenue Growth Rates</t>
  </si>
  <si>
    <t>Domestic Revenue</t>
  </si>
  <si>
    <t>Export revenue</t>
  </si>
  <si>
    <t>Other Income</t>
  </si>
  <si>
    <t>As a % of revenue</t>
  </si>
  <si>
    <t>Cost Assumptions</t>
  </si>
  <si>
    <t>Cost of Sales</t>
  </si>
  <si>
    <t>Distribution expenses</t>
  </si>
  <si>
    <t>Administrative expenses</t>
  </si>
  <si>
    <t>Other expenses</t>
  </si>
  <si>
    <t>Finance income</t>
  </si>
  <si>
    <t>Effective Tax Rate</t>
  </si>
  <si>
    <t xml:space="preserve">Depreciation Rate </t>
  </si>
  <si>
    <t xml:space="preserve">Ammortization Rate (5years -&gt; 20% ) </t>
  </si>
  <si>
    <t>Lease Rate (20%)</t>
  </si>
  <si>
    <t>PPE Addition (As a % of GDP)</t>
  </si>
  <si>
    <t>Intangible Additions (As a % to Revenue)</t>
  </si>
  <si>
    <t>ROU Addition (Lease to revenue)</t>
  </si>
  <si>
    <t>STATEMENT OF PROFIT OR LOSS</t>
  </si>
  <si>
    <t>For the year ended 31st March (In Rs.’000s)</t>
  </si>
  <si>
    <t>Cost of sales</t>
  </si>
  <si>
    <t>Gross profit</t>
  </si>
  <si>
    <t>Net gains arising from changes in fair
value of investment properties</t>
  </si>
  <si>
    <t>Reversal / (provision) - impairment of
intercompany receivable</t>
  </si>
  <si>
    <t>Impairment of investments in
subsidiaries</t>
  </si>
  <si>
    <t xml:space="preserve">Reversal / (provision) - impairment of  intangible assets
</t>
  </si>
  <si>
    <t>Operating Income (EBIT)</t>
  </si>
  <si>
    <t>Finance costs</t>
  </si>
  <si>
    <t>Net finance income / (costs)</t>
  </si>
  <si>
    <t>Income before Tax (EBT)</t>
  </si>
  <si>
    <t>Less: Income tax expenses</t>
  </si>
  <si>
    <t>Profit/(loss) attributable to</t>
  </si>
  <si>
    <t>- Equity holders of the company</t>
  </si>
  <si>
    <t>- Non controlling interest</t>
  </si>
  <si>
    <t>Profit available for appropriation</t>
  </si>
  <si>
    <t>Earnings per Ordinary Share (Rs.)</t>
  </si>
  <si>
    <t>Revenue Breakdown</t>
  </si>
  <si>
    <t>Net Revenue by Geographical Split</t>
  </si>
  <si>
    <t>Export Revenue</t>
  </si>
  <si>
    <t>Total Revenue</t>
  </si>
  <si>
    <t>STATEMENT OF FINANCIAL POSITION</t>
  </si>
  <si>
    <t>As at 31st March (In Rs.’000s)</t>
  </si>
  <si>
    <t>ASSETS</t>
  </si>
  <si>
    <t>Non-current assets</t>
  </si>
  <si>
    <t>Property, plant &amp; equipment</t>
  </si>
  <si>
    <t>Investment properties</t>
  </si>
  <si>
    <t>YoY%</t>
  </si>
  <si>
    <t>Intangible assets</t>
  </si>
  <si>
    <t>Right of use assets</t>
  </si>
  <si>
    <t>Deferred tax assets</t>
  </si>
  <si>
    <t>Investments in subsidiaries</t>
  </si>
  <si>
    <t>Total non-current assets</t>
  </si>
  <si>
    <t>Current assets</t>
  </si>
  <si>
    <t>Inventories</t>
  </si>
  <si>
    <t>Trade &amp; other receivables</t>
  </si>
  <si>
    <t>Amounts due from related companies</t>
  </si>
  <si>
    <t>Current taxation</t>
  </si>
  <si>
    <t>Cash and cash equivalents</t>
  </si>
  <si>
    <t>Total current assets</t>
  </si>
  <si>
    <t>Total assets</t>
  </si>
  <si>
    <t>EQUITY AND LIABILITIES</t>
  </si>
  <si>
    <t>Equity</t>
  </si>
  <si>
    <t>Stated capital</t>
  </si>
  <si>
    <t>Capital reserves</t>
  </si>
  <si>
    <t>Revenue reserves</t>
  </si>
  <si>
    <t>Translation reserve</t>
  </si>
  <si>
    <t xml:space="preserve">Equity attributable to equity holders of the company
</t>
  </si>
  <si>
    <t>Non controlling interest</t>
  </si>
  <si>
    <t>Total equity</t>
  </si>
  <si>
    <t>Non current liabilities</t>
  </si>
  <si>
    <t>Loans and borrowings</t>
  </si>
  <si>
    <t>Lease liabilities</t>
  </si>
  <si>
    <t>Employee benefits</t>
  </si>
  <si>
    <t>Deferred tax liabilities</t>
  </si>
  <si>
    <t>Total non- current liabilities</t>
  </si>
  <si>
    <t>Current liabilities</t>
  </si>
  <si>
    <t>Trade and other payables</t>
  </si>
  <si>
    <t>Amounts due to related companies</t>
  </si>
  <si>
    <t>Refundable deposits</t>
  </si>
  <si>
    <t>Current tax liabilities</t>
  </si>
  <si>
    <t>Debentures</t>
  </si>
  <si>
    <t>Bank overdraft</t>
  </si>
  <si>
    <t>Total current liabilities</t>
  </si>
  <si>
    <t>Total liabilities</t>
  </si>
  <si>
    <t>Total equity and liabilities</t>
  </si>
  <si>
    <t xml:space="preserve">STATEMENT OF CASH FLOWS </t>
  </si>
  <si>
    <t>Cash flows from operating activities</t>
  </si>
  <si>
    <t>Profit before interest and taxation</t>
  </si>
  <si>
    <t>Adjustments for:</t>
  </si>
  <si>
    <t>Depreciation on right of use assets</t>
  </si>
  <si>
    <t>Gain on de-recognition of right of use assets</t>
  </si>
  <si>
    <t>Depreciation on property, plant and equipment</t>
  </si>
  <si>
    <t>Amortisation of intangible assets</t>
  </si>
  <si>
    <t>Net inventory provisions/(reversal)</t>
  </si>
  <si>
    <t>Provision for retirement benefit obligations</t>
  </si>
  <si>
    <t>Impairment of property plant and equipment</t>
  </si>
  <si>
    <t>Loss on disposal of returnable containers</t>
  </si>
  <si>
    <t xml:space="preserve">Impairment of intangible assets
</t>
  </si>
  <si>
    <t>Provision/(reversal) for impairment of doubtful debtors</t>
  </si>
  <si>
    <t>Impairment of investments</t>
  </si>
  <si>
    <t xml:space="preserve">Net gain arising from changes in fair value of investment properties
</t>
  </si>
  <si>
    <t>Loss on disposal of property, plant and equipment</t>
  </si>
  <si>
    <t>Loss on disposal of intangible asset</t>
  </si>
  <si>
    <t>ESC write off</t>
  </si>
  <si>
    <t>Deposit written back</t>
  </si>
  <si>
    <t>Lease interest expense</t>
  </si>
  <si>
    <t>Unrealised foreign exchange gain</t>
  </si>
  <si>
    <t>Operating cash flow before working capital changes</t>
  </si>
  <si>
    <t>Increase in inventories</t>
  </si>
  <si>
    <t xml:space="preserve">(Increase)/decrease in trade and other 
receivables
</t>
  </si>
  <si>
    <t xml:space="preserve">(Increase)/decrease in amounts due from related companies
</t>
  </si>
  <si>
    <t>Increase/(decrease) in amounts due to related companies</t>
  </si>
  <si>
    <t xml:space="preserve">Increase/(decrease) tax payables
</t>
  </si>
  <si>
    <t>Increase/(decrease) in trade and other payables</t>
  </si>
  <si>
    <t>Cash generated from operations</t>
  </si>
  <si>
    <t>Finance expenses paid</t>
  </si>
  <si>
    <t>Tax paid</t>
  </si>
  <si>
    <t>Surcharge Tax Paid</t>
  </si>
  <si>
    <t>Retirement benefits paid</t>
  </si>
  <si>
    <t>Net cash generated from operating activities</t>
  </si>
  <si>
    <t>Cash Flows from Investing Activities</t>
  </si>
  <si>
    <t>Purchase and construction of property, plant and equipment</t>
  </si>
  <si>
    <t>Purchase of intangible assets</t>
  </si>
  <si>
    <t>Movement in other financial assets</t>
  </si>
  <si>
    <t>Proceeds from disposal of property,
plant and equipment</t>
  </si>
  <si>
    <t>Agent deposits received</t>
  </si>
  <si>
    <t>Agent deposits refunded</t>
  </si>
  <si>
    <t>Interest received</t>
  </si>
  <si>
    <t>Net cash used in investing activities</t>
  </si>
  <si>
    <t>Cash Flows from Financing Activities</t>
  </si>
  <si>
    <t>Borrowings obtained</t>
  </si>
  <si>
    <t>Repayment of loans and borrowings</t>
  </si>
  <si>
    <t>Repayment of debentures</t>
  </si>
  <si>
    <t>Repayment lease rentals</t>
  </si>
  <si>
    <t>Forfeiture of unclaimed dividends</t>
  </si>
  <si>
    <t>Dividends paid net of tax</t>
  </si>
  <si>
    <t>Net cash used in financing activities</t>
  </si>
  <si>
    <t>Net increase/(decrease) in cash and cash equivalents</t>
  </si>
  <si>
    <t>Cash and cash equivalents at the beginning of the year</t>
  </si>
  <si>
    <t>Effect of movements in exchange rate on
translation reserve</t>
  </si>
  <si>
    <t>Effect of exchange rate changes on
cash and cash equivalents</t>
  </si>
  <si>
    <t>Cash and cash equivalents at the end of the year</t>
  </si>
  <si>
    <t>Analysis of Cash and Cash Equivalents</t>
  </si>
  <si>
    <t>Capital Expenditure</t>
  </si>
  <si>
    <t>Fiscal Year</t>
  </si>
  <si>
    <t>Beginning PPE</t>
  </si>
  <si>
    <t>Additions (Capex)</t>
  </si>
  <si>
    <t>- Depreciation</t>
  </si>
  <si>
    <t>- Disposal</t>
  </si>
  <si>
    <t>Ending PPE</t>
  </si>
  <si>
    <t>Ammotization Expenditure</t>
  </si>
  <si>
    <t>- Ammortization</t>
  </si>
  <si>
    <t>ROU Asset Expenditure</t>
  </si>
  <si>
    <t>Net Working Capital Changes</t>
  </si>
  <si>
    <t>Inventory</t>
  </si>
  <si>
    <t>Receivables</t>
  </si>
  <si>
    <t>Payables</t>
  </si>
  <si>
    <t>WC Cycle</t>
  </si>
  <si>
    <t>WC requirement</t>
  </si>
  <si>
    <t>COS</t>
  </si>
  <si>
    <t>Inventory Days</t>
  </si>
  <si>
    <t>Receivable Days</t>
  </si>
  <si>
    <t>Payable days</t>
  </si>
  <si>
    <t>Loan Schedule</t>
  </si>
  <si>
    <t>Term</t>
  </si>
  <si>
    <t>Beginning Value</t>
  </si>
  <si>
    <t xml:space="preserve">Interest </t>
  </si>
  <si>
    <t>Total Payment</t>
  </si>
  <si>
    <t>Ending Value</t>
  </si>
  <si>
    <t>Loan Amount</t>
  </si>
  <si>
    <t>Interest rate</t>
  </si>
  <si>
    <t>Time Period -&gt; WAM</t>
  </si>
  <si>
    <t>PMT</t>
  </si>
  <si>
    <t>NOPLAT</t>
  </si>
  <si>
    <t>All figures are in LKR Currency</t>
  </si>
  <si>
    <t>Historical</t>
  </si>
  <si>
    <t>Forcast</t>
  </si>
  <si>
    <t>Income Tax</t>
  </si>
  <si>
    <t>Tax Rate</t>
  </si>
  <si>
    <t>NOPLAT ( EBIT × (1 - Tax Rate))</t>
  </si>
  <si>
    <t>Amortization</t>
  </si>
  <si>
    <t>Depreciation</t>
  </si>
  <si>
    <t>Less: Capital Expenditure</t>
  </si>
  <si>
    <t>FCFF</t>
  </si>
  <si>
    <t>WACC Calculation</t>
  </si>
  <si>
    <t>Cost of Debt calculation</t>
  </si>
  <si>
    <t>= Current share price × Number of outstanding shares</t>
  </si>
  <si>
    <t xml:space="preserve">S&amp;P Sri Lanka 20 </t>
  </si>
  <si>
    <t>= 2,625.75 X 20988.090</t>
  </si>
  <si>
    <t>Date</t>
  </si>
  <si>
    <t>Price</t>
  </si>
  <si>
    <t>Market return(%)</t>
  </si>
  <si>
    <t>Long term debt</t>
  </si>
  <si>
    <t xml:space="preserve">Debt </t>
  </si>
  <si>
    <t>= Short-Term Debt + Long-Term Debt</t>
  </si>
  <si>
    <t>Expected(rm) monthly</t>
  </si>
  <si>
    <t>Expected(rm) yearly</t>
  </si>
  <si>
    <t>Weight of Debt</t>
  </si>
  <si>
    <t>Weight of Equity</t>
  </si>
  <si>
    <t>Total Debt</t>
  </si>
  <si>
    <t>Cost of debt</t>
  </si>
  <si>
    <t>Finance Costs</t>
  </si>
  <si>
    <t>From CBSL :</t>
  </si>
  <si>
    <t>Income Tax expense</t>
  </si>
  <si>
    <t xml:space="preserve">Income before tax </t>
  </si>
  <si>
    <t>Maturity</t>
  </si>
  <si>
    <t>Yield (%)</t>
  </si>
  <si>
    <t>3-year</t>
  </si>
  <si>
    <t>Cost of debt * (1-T)</t>
  </si>
  <si>
    <t>5-year</t>
  </si>
  <si>
    <t>10-year</t>
  </si>
  <si>
    <t>Cost of Equity</t>
  </si>
  <si>
    <t>Risk Free Rate</t>
  </si>
  <si>
    <t xml:space="preserve">Beta </t>
  </si>
  <si>
    <t>Market Return</t>
  </si>
  <si>
    <t>Cost of equity</t>
  </si>
  <si>
    <t>Weight of Debt and Equity</t>
  </si>
  <si>
    <t xml:space="preserve">Total Debt </t>
  </si>
  <si>
    <t xml:space="preserve">Total Equity </t>
  </si>
  <si>
    <t>Total</t>
  </si>
  <si>
    <t>WACC</t>
  </si>
  <si>
    <t>Discounted CashFlow</t>
  </si>
  <si>
    <t>YEAR</t>
  </si>
  <si>
    <t>PV</t>
  </si>
  <si>
    <t>Implied Share Price Calculation</t>
  </si>
  <si>
    <t>Sum of PV of FCF</t>
  </si>
  <si>
    <t>Growth Rate</t>
  </si>
  <si>
    <t>Sensitivity Table</t>
  </si>
  <si>
    <t>Terminal Value</t>
  </si>
  <si>
    <t>PV of Terminal Value</t>
  </si>
  <si>
    <t>Enterprise Value</t>
  </si>
  <si>
    <t>(+) Cash</t>
  </si>
  <si>
    <t>(-) Debt</t>
  </si>
  <si>
    <t>(-) Minority Interest</t>
  </si>
  <si>
    <t>Equity Value</t>
  </si>
  <si>
    <t xml:space="preserve">Diluted Shares Outstanding </t>
  </si>
  <si>
    <t>Implied Share Price</t>
  </si>
  <si>
    <t xml:space="preserve">Market Price as at 18th Sep </t>
  </si>
  <si>
    <t>Gap</t>
  </si>
  <si>
    <t>% Upside/Downside</t>
  </si>
  <si>
    <t xml:space="preserve">Ratios  </t>
  </si>
  <si>
    <t xml:space="preserve">Gross Profit Margin </t>
  </si>
  <si>
    <t>EBIT Margin</t>
  </si>
  <si>
    <t xml:space="preserve">Net Profit Margin </t>
  </si>
  <si>
    <t>Effective tax rate</t>
  </si>
  <si>
    <t>ROE</t>
  </si>
  <si>
    <t>ROA</t>
  </si>
  <si>
    <t>Net Margin</t>
  </si>
  <si>
    <t>Asset Turnover</t>
  </si>
  <si>
    <t>Financial Leverage</t>
  </si>
  <si>
    <t>ROE DU PONT</t>
  </si>
  <si>
    <t>Current Ratio</t>
  </si>
  <si>
    <t>Quick Ratio</t>
  </si>
  <si>
    <t>Debt to Equity</t>
  </si>
  <si>
    <t xml:space="preserve">Price earnings ratio (times)   </t>
  </si>
  <si>
    <t xml:space="preserve">Dividends per share (Rs.)  </t>
  </si>
  <si>
    <t xml:space="preserve">Dividend payout ratio (%) </t>
  </si>
  <si>
    <t>Relative Valuation (As at 31st March 2025)</t>
  </si>
  <si>
    <t>EV/EBITDA - Latest</t>
  </si>
  <si>
    <t>P/E ratio - Latest</t>
  </si>
  <si>
    <t>EV/Sales - Latest</t>
  </si>
  <si>
    <t>P/B ratio - Latest</t>
  </si>
  <si>
    <t>LION BREWERY (CEYLON) PLC</t>
  </si>
  <si>
    <t>CEYLON COLD STORES PLC</t>
  </si>
  <si>
    <t>DISTILLERIES COMPANY OF SRI LANKA PLC</t>
  </si>
  <si>
    <t>Mean</t>
  </si>
  <si>
    <t>Median</t>
  </si>
  <si>
    <t>EBITDA</t>
  </si>
  <si>
    <t>Earnings</t>
  </si>
  <si>
    <t>BV</t>
  </si>
  <si>
    <t>EV</t>
  </si>
  <si>
    <t xml:space="preserve">Mean </t>
  </si>
  <si>
    <t>Additions</t>
  </si>
  <si>
    <t>Deductions</t>
  </si>
  <si>
    <t>Medain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</si>
</sst>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d/m/yyyy"/>
    <numFmt numFmtId="167" formatCode="0.0"/>
    <numFmt numFmtId="168" formatCode="#,##0.0\x"/>
  </numFmts>
  <fonts count="61">
    <font>
      <sz val="11"/>
      <color theme="1"/>
      <name val="Aptos Narrow"/>
      <scheme val="minor"/>
    </font>
    <font>
      <b/>
      <sz val="20"/>
      <color theme="0"/>
      <name val="Aptos Narrow"/>
    </font>
    <font>
      <sz val="11"/>
      <name val="Aptos Narrow"/>
    </font>
    <font>
      <b/>
      <sz val="16"/>
      <color theme="0"/>
      <name val="Aptos Narrow"/>
    </font>
    <font>
      <b/>
      <sz val="11"/>
      <color theme="1"/>
      <name val="Aptos Narrow"/>
    </font>
    <font>
      <b/>
      <sz val="11"/>
      <color theme="0"/>
      <name val="Aptos Narrow"/>
    </font>
    <font>
      <sz val="11"/>
      <color theme="1"/>
      <name val="Aptos Narrow"/>
    </font>
    <font>
      <u/>
      <sz val="11"/>
      <color theme="1"/>
      <name val="Aptos Narrow"/>
    </font>
    <font>
      <sz val="11"/>
      <color theme="1"/>
      <name val="Aptos Narrow"/>
      <scheme val="minor"/>
    </font>
    <font>
      <b/>
      <sz val="14"/>
      <color theme="0"/>
      <name val="Aptos Narrow"/>
    </font>
    <font>
      <i/>
      <sz val="11"/>
      <color rgb="FF00B050"/>
      <name val="Aptos Narrow"/>
    </font>
    <font>
      <sz val="11"/>
      <color theme="0"/>
      <name val="Calibri"/>
    </font>
    <font>
      <u/>
      <sz val="11"/>
      <color theme="1"/>
      <name val="Aptos Narrow"/>
    </font>
    <font>
      <b/>
      <sz val="11"/>
      <color theme="1"/>
      <name val="Calibri"/>
    </font>
    <font>
      <b/>
      <sz val="12"/>
      <color theme="1"/>
      <name val="Aptos Narrow"/>
    </font>
    <font>
      <u/>
      <sz val="11"/>
      <color theme="1"/>
      <name val="Aptos Narrow"/>
    </font>
    <font>
      <b/>
      <i/>
      <sz val="11"/>
      <color rgb="FFFF0000"/>
      <name val="Aptos Narrow"/>
    </font>
    <font>
      <i/>
      <sz val="11"/>
      <color rgb="FFFF0000"/>
      <name val="Aptos Narrow"/>
    </font>
    <font>
      <b/>
      <u/>
      <sz val="11"/>
      <color theme="1"/>
      <name val="Aptos Narrow"/>
    </font>
    <font>
      <b/>
      <sz val="16"/>
      <color theme="0"/>
      <name val="Play"/>
    </font>
    <font>
      <sz val="11"/>
      <color theme="1"/>
      <name val="Play"/>
    </font>
    <font>
      <b/>
      <sz val="11"/>
      <color theme="1"/>
      <name val="Play"/>
    </font>
    <font>
      <b/>
      <sz val="13"/>
      <color theme="1"/>
      <name val="Arial"/>
    </font>
    <font>
      <sz val="12"/>
      <color rgb="FF000000"/>
      <name val="Play"/>
    </font>
    <font>
      <b/>
      <sz val="18"/>
      <color theme="0"/>
      <name val="Play"/>
    </font>
    <font>
      <b/>
      <sz val="14"/>
      <color theme="1"/>
      <name val="Aptos Narrow"/>
    </font>
    <font>
      <i/>
      <sz val="11"/>
      <color theme="1"/>
      <name val="Aptos Narrow"/>
    </font>
    <font>
      <b/>
      <sz val="12"/>
      <color theme="0"/>
      <name val="Aptos Narrow"/>
    </font>
    <font>
      <sz val="12"/>
      <color rgb="FF000000"/>
      <name val="Times New Roman"/>
    </font>
    <font>
      <b/>
      <sz val="12"/>
      <color rgb="FF000000"/>
      <name val="Times New Roman"/>
    </font>
    <font>
      <b/>
      <sz val="12"/>
      <color theme="1"/>
      <name val="Times New Roman"/>
    </font>
    <font>
      <sz val="11"/>
      <color theme="1"/>
      <name val="Arial"/>
    </font>
    <font>
      <b/>
      <sz val="14"/>
      <color theme="0"/>
      <name val="Play"/>
    </font>
    <font>
      <b/>
      <u/>
      <sz val="11"/>
      <color rgb="FF000000"/>
      <name val="Play"/>
    </font>
    <font>
      <b/>
      <sz val="11"/>
      <color rgb="FF000000"/>
      <name val="Play"/>
    </font>
    <font>
      <sz val="11"/>
      <color rgb="FF000000"/>
      <name val="Play"/>
    </font>
    <font>
      <b/>
      <u/>
      <sz val="11"/>
      <color theme="1"/>
      <name val="Play"/>
    </font>
    <font>
      <b/>
      <sz val="11"/>
      <color rgb="FF1F4E78"/>
      <name val="Play"/>
    </font>
    <font>
      <sz val="11"/>
      <color rgb="FF1F4E78"/>
      <name val="Play"/>
    </font>
    <font>
      <sz val="11"/>
      <color rgb="FF203764"/>
      <name val="Play"/>
    </font>
    <font>
      <b/>
      <sz val="12"/>
      <color rgb="FF000000"/>
      <name val="Play"/>
    </font>
    <font>
      <b/>
      <sz val="12"/>
      <color rgb="FFFFFFFF"/>
      <name val="Aptos Narrow"/>
    </font>
    <font>
      <b/>
      <sz val="12"/>
      <color rgb="FF000000"/>
      <name val="Aptos Narrow"/>
    </font>
    <font>
      <sz val="12"/>
      <color rgb="FF000000"/>
      <name val="Aptos Narrow"/>
    </font>
    <font>
      <sz val="12"/>
      <color theme="1"/>
      <name val="Aptos Narrow"/>
    </font>
    <font>
      <sz val="12"/>
      <color rgb="FF00B050"/>
      <name val="Aptos Narrow"/>
    </font>
    <font>
      <b/>
      <sz val="14"/>
      <color theme="0"/>
      <name val="Calibri"/>
    </font>
    <font>
      <sz val="11"/>
      <color theme="1"/>
      <name val="Calibri"/>
    </font>
    <font>
      <sz val="11"/>
      <color rgb="FF0000FF"/>
      <name val="Calibri"/>
    </font>
    <font>
      <b/>
      <sz val="12"/>
      <color theme="0"/>
      <name val="Calibri"/>
    </font>
    <font>
      <sz val="11"/>
      <color rgb="FFFF0000"/>
      <name val="Aptos Narrow"/>
    </font>
    <font>
      <sz val="11"/>
      <color rgb="FF000000"/>
      <name val="Calibri"/>
    </font>
    <font>
      <sz val="14"/>
      <color theme="1"/>
      <name val="Aptos Narrow"/>
    </font>
    <font>
      <sz val="16"/>
      <color theme="1"/>
      <name val="Aptos Narrow"/>
    </font>
    <font>
      <sz val="9"/>
      <color theme="1"/>
      <name val="Arial"/>
    </font>
    <font>
      <b/>
      <sz val="11"/>
      <color theme="0"/>
      <name val="Arial"/>
    </font>
    <font>
      <b/>
      <sz val="9"/>
      <color rgb="FF000000"/>
      <name val="Arial"/>
    </font>
    <font>
      <sz val="9"/>
      <color rgb="FF000000"/>
      <name val="Arial"/>
    </font>
    <font>
      <sz val="9"/>
      <color theme="1"/>
      <name val="Inter"/>
    </font>
    <font>
      <b/>
      <sz val="9"/>
      <color theme="1"/>
      <name val="Arial"/>
    </font>
    <font>
      <b/>
      <u/>
      <sz val="9"/>
      <color theme="1"/>
      <name val="Arial"/>
    </font>
  </fonts>
  <fills count="14">
    <fill>
      <patternFill patternType="none"/>
    </fill>
    <fill>
      <patternFill patternType="gray125"/>
    </fill>
    <fill>
      <patternFill patternType="solid">
        <fgColor rgb="FF153D64"/>
        <bgColor rgb="FF153D64"/>
      </patternFill>
    </fill>
    <fill>
      <patternFill patternType="solid">
        <fgColor rgb="FFA6C9EB"/>
        <bgColor rgb="FFA6C9EB"/>
      </patternFill>
    </fill>
    <fill>
      <patternFill patternType="solid">
        <fgColor rgb="FF4D94D8"/>
        <bgColor rgb="FF4D94D8"/>
      </patternFill>
    </fill>
    <fill>
      <patternFill patternType="solid">
        <fgColor rgb="FFD8D8D8"/>
        <bgColor rgb="FFD8D8D8"/>
      </patternFill>
    </fill>
    <fill>
      <patternFill patternType="solid">
        <fgColor rgb="FFF2F2F2"/>
        <bgColor rgb="FFF2F2F2"/>
      </patternFill>
    </fill>
    <fill>
      <patternFill patternType="solid">
        <fgColor rgb="FF215E99"/>
        <bgColor rgb="FF215E99"/>
      </patternFill>
    </fill>
    <fill>
      <patternFill patternType="solid">
        <fgColor rgb="FF2A3E68"/>
        <bgColor rgb="FF2A3E68"/>
      </patternFill>
    </fill>
    <fill>
      <patternFill patternType="solid">
        <fgColor rgb="FFD9E2F3"/>
        <bgColor rgb="FFD9E2F3"/>
      </patternFill>
    </fill>
    <fill>
      <patternFill patternType="solid">
        <fgColor rgb="FFE8E8E8"/>
        <bgColor rgb="FFE8E8E8"/>
      </patternFill>
    </fill>
    <fill>
      <patternFill patternType="solid">
        <fgColor rgb="FFD0D0D0"/>
        <bgColor rgb="FFD0D0D0"/>
      </patternFill>
    </fill>
    <fill>
      <patternFill patternType="solid">
        <fgColor rgb="FFFFFF99"/>
        <bgColor rgb="FFFFFF99"/>
      </patternFill>
    </fill>
    <fill>
      <patternFill patternType="solid">
        <fgColor rgb="FF073763"/>
        <bgColor rgb="FF073763"/>
      </patternFill>
    </fill>
  </fills>
  <borders count="62">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top/>
      <bottom style="double">
        <color rgb="FF000000"/>
      </bottom>
      <diagonal/>
    </border>
    <border>
      <left/>
      <right style="thin">
        <color rgb="FF000000"/>
      </right>
      <top style="thin">
        <color rgb="FF000000"/>
      </top>
      <bottom style="double">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double">
        <color rgb="FF000000"/>
      </bottom>
      <diagonal/>
    </border>
    <border>
      <left/>
      <right style="thin">
        <color rgb="FF000000"/>
      </right>
      <top style="thin">
        <color rgb="FF000000"/>
      </top>
      <bottom/>
      <diagonal/>
    </border>
    <border>
      <left/>
      <right style="thin">
        <color rgb="FF000000"/>
      </right>
      <top style="thin">
        <color rgb="FF000000"/>
      </top>
      <bottom style="double">
        <color rgb="FF000000"/>
      </bottom>
      <diagonal/>
    </border>
    <border>
      <left/>
      <right/>
      <top style="thin">
        <color rgb="FF000000"/>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double">
        <color rgb="FF000000"/>
      </bottom>
      <diagonal/>
    </border>
    <border>
      <left style="thin">
        <color rgb="FF000000"/>
      </left>
      <right style="thin">
        <color rgb="FF000000"/>
      </right>
      <top/>
      <bottom style="double">
        <color rgb="FF000000"/>
      </bottom>
      <diagonal/>
    </border>
  </borders>
  <cellStyleXfs count="1">
    <xf numFmtId="0" fontId="0" fillId="0" borderId="0"/>
  </cellStyleXfs>
  <cellXfs count="435">
    <xf numFmtId="0" fontId="0" fillId="0" borderId="0" xfId="0"/>
    <xf numFmtId="0" fontId="3" fillId="0" borderId="0" xfId="0" applyFont="1" applyAlignment="1">
      <alignment vertical="center"/>
    </xf>
    <xf numFmtId="0" fontId="4" fillId="3" borderId="4" xfId="0" applyFont="1" applyFill="1" applyBorder="1" applyAlignment="1">
      <alignment horizontal="right" vertical="center"/>
    </xf>
    <xf numFmtId="0" fontId="5" fillId="4" borderId="5" xfId="0" applyFont="1" applyFill="1" applyBorder="1" applyAlignment="1">
      <alignment horizontal="right" vertical="center"/>
    </xf>
    <xf numFmtId="0" fontId="5" fillId="4" borderId="4" xfId="0" applyFont="1" applyFill="1" applyBorder="1" applyAlignment="1">
      <alignment horizontal="right" vertical="center"/>
    </xf>
    <xf numFmtId="0" fontId="6" fillId="0" borderId="0" xfId="0" applyFont="1" applyAlignment="1">
      <alignment horizontal="right" vertical="center"/>
    </xf>
    <xf numFmtId="0" fontId="7" fillId="0" borderId="0" xfId="0" applyFont="1"/>
    <xf numFmtId="0" fontId="6" fillId="0" borderId="0" xfId="0" applyFont="1" applyAlignment="1">
      <alignment horizontal="right"/>
    </xf>
    <xf numFmtId="164" fontId="6" fillId="0" borderId="0" xfId="0" applyNumberFormat="1" applyFont="1" applyAlignment="1">
      <alignment horizontal="right"/>
    </xf>
    <xf numFmtId="164" fontId="6" fillId="0" borderId="6" xfId="0" applyNumberFormat="1" applyFont="1" applyBorder="1" applyAlignment="1">
      <alignment horizontal="right"/>
    </xf>
    <xf numFmtId="0" fontId="8" fillId="0" borderId="0" xfId="0" applyFont="1"/>
    <xf numFmtId="41" fontId="6" fillId="0" borderId="0" xfId="0" applyNumberFormat="1" applyFont="1"/>
    <xf numFmtId="0" fontId="6" fillId="0" borderId="7" xfId="0" applyFont="1" applyBorder="1"/>
    <xf numFmtId="164" fontId="6" fillId="0" borderId="7" xfId="0" applyNumberFormat="1" applyFont="1" applyBorder="1" applyAlignment="1">
      <alignment horizontal="right"/>
    </xf>
    <xf numFmtId="164" fontId="6" fillId="0" borderId="8" xfId="0" applyNumberFormat="1" applyFont="1" applyBorder="1" applyAlignment="1">
      <alignment horizontal="right"/>
    </xf>
    <xf numFmtId="0" fontId="4" fillId="0" borderId="0" xfId="0" applyFont="1"/>
    <xf numFmtId="164" fontId="4" fillId="0" borderId="0" xfId="0" applyNumberFormat="1" applyFont="1" applyAlignment="1">
      <alignment horizontal="right"/>
    </xf>
    <xf numFmtId="164" fontId="4" fillId="0" borderId="9" xfId="0" applyNumberFormat="1" applyFont="1" applyBorder="1" applyAlignment="1">
      <alignment horizontal="right"/>
    </xf>
    <xf numFmtId="164" fontId="4" fillId="0" borderId="6" xfId="0" applyNumberFormat="1" applyFont="1" applyBorder="1" applyAlignment="1">
      <alignment horizontal="right"/>
    </xf>
    <xf numFmtId="0" fontId="4" fillId="0" borderId="10" xfId="0" applyFont="1" applyBorder="1"/>
    <xf numFmtId="164" fontId="4" fillId="0" borderId="10" xfId="0" applyNumberFormat="1" applyFont="1" applyBorder="1" applyAlignment="1">
      <alignment horizontal="right"/>
    </xf>
    <xf numFmtId="164" fontId="4" fillId="0" borderId="11" xfId="0" applyNumberFormat="1" applyFont="1" applyBorder="1" applyAlignment="1">
      <alignment horizontal="right"/>
    </xf>
    <xf numFmtId="0" fontId="6" fillId="0" borderId="6" xfId="0" applyFont="1" applyBorder="1"/>
    <xf numFmtId="0" fontId="3" fillId="2" borderId="12" xfId="0" applyFont="1" applyFill="1" applyBorder="1"/>
    <xf numFmtId="0" fontId="4" fillId="3" borderId="12" xfId="0" applyFont="1" applyFill="1" applyBorder="1"/>
    <xf numFmtId="0" fontId="5" fillId="4" borderId="13" xfId="0" applyFont="1" applyFill="1" applyBorder="1"/>
    <xf numFmtId="0" fontId="5" fillId="4" borderId="12" xfId="0" applyFont="1" applyFill="1" applyBorder="1"/>
    <xf numFmtId="0" fontId="9" fillId="2" borderId="12" xfId="0" applyFont="1" applyFill="1" applyBorder="1" applyAlignment="1">
      <alignment horizontal="left" vertical="center"/>
    </xf>
    <xf numFmtId="0" fontId="9" fillId="2" borderId="13" xfId="0" applyFont="1" applyFill="1" applyBorder="1" applyAlignment="1">
      <alignment horizontal="left" vertical="center"/>
    </xf>
    <xf numFmtId="0" fontId="6" fillId="5" borderId="12" xfId="0" applyFont="1" applyFill="1" applyBorder="1"/>
    <xf numFmtId="0" fontId="6" fillId="5" borderId="13" xfId="0" applyFont="1" applyFill="1" applyBorder="1"/>
    <xf numFmtId="10" fontId="6" fillId="0" borderId="0" xfId="0" applyNumberFormat="1" applyFont="1"/>
    <xf numFmtId="9" fontId="6" fillId="0" borderId="6" xfId="0" applyNumberFormat="1" applyFont="1" applyBorder="1"/>
    <xf numFmtId="9" fontId="6" fillId="0" borderId="0" xfId="0" applyNumberFormat="1" applyFont="1"/>
    <xf numFmtId="10" fontId="6" fillId="5" borderId="12" xfId="0" applyNumberFormat="1" applyFont="1" applyFill="1" applyBorder="1"/>
    <xf numFmtId="9" fontId="6" fillId="5" borderId="13" xfId="0" applyNumberFormat="1" applyFont="1" applyFill="1" applyBorder="1"/>
    <xf numFmtId="9" fontId="6" fillId="5" borderId="12" xfId="0" applyNumberFormat="1" applyFont="1" applyFill="1" applyBorder="1"/>
    <xf numFmtId="10" fontId="6" fillId="0" borderId="6" xfId="0" applyNumberFormat="1" applyFont="1" applyBorder="1"/>
    <xf numFmtId="10" fontId="10" fillId="0" borderId="0" xfId="0" applyNumberFormat="1" applyFont="1"/>
    <xf numFmtId="41" fontId="6" fillId="5" borderId="12" xfId="0" applyNumberFormat="1" applyFont="1" applyFill="1" applyBorder="1"/>
    <xf numFmtId="9" fontId="10" fillId="0" borderId="0" xfId="0" applyNumberFormat="1" applyFont="1"/>
    <xf numFmtId="0" fontId="6" fillId="0" borderId="0" xfId="0" applyFont="1"/>
    <xf numFmtId="9" fontId="10" fillId="0" borderId="6" xfId="0" applyNumberFormat="1" applyFont="1" applyBorder="1"/>
    <xf numFmtId="0" fontId="10" fillId="0" borderId="0" xfId="0" applyFont="1"/>
    <xf numFmtId="165" fontId="6" fillId="0" borderId="6" xfId="0" applyNumberFormat="1" applyFont="1" applyBorder="1"/>
    <xf numFmtId="165" fontId="6" fillId="0" borderId="0" xfId="0" applyNumberFormat="1" applyFont="1"/>
    <xf numFmtId="41" fontId="6" fillId="0" borderId="6" xfId="0" applyNumberFormat="1" applyFont="1" applyBorder="1"/>
    <xf numFmtId="41" fontId="4" fillId="3" borderId="12" xfId="0" applyNumberFormat="1" applyFont="1" applyFill="1" applyBorder="1"/>
    <xf numFmtId="41" fontId="5" fillId="4" borderId="13" xfId="0" applyNumberFormat="1" applyFont="1" applyFill="1" applyBorder="1"/>
    <xf numFmtId="41" fontId="5" fillId="4" borderId="12" xfId="0" applyNumberFormat="1" applyFont="1" applyFill="1" applyBorder="1"/>
    <xf numFmtId="41" fontId="6" fillId="6" borderId="13" xfId="0" applyNumberFormat="1" applyFont="1" applyFill="1" applyBorder="1"/>
    <xf numFmtId="41" fontId="6" fillId="6" borderId="12" xfId="0" applyNumberFormat="1" applyFont="1" applyFill="1" applyBorder="1"/>
    <xf numFmtId="41" fontId="6" fillId="0" borderId="7" xfId="0" applyNumberFormat="1" applyFont="1" applyBorder="1"/>
    <xf numFmtId="41" fontId="6" fillId="6" borderId="5" xfId="0" applyNumberFormat="1" applyFont="1" applyFill="1" applyBorder="1"/>
    <xf numFmtId="41" fontId="6" fillId="6" borderId="4" xfId="0" applyNumberFormat="1" applyFont="1" applyFill="1" applyBorder="1"/>
    <xf numFmtId="41" fontId="4" fillId="0" borderId="0" xfId="0" applyNumberFormat="1" applyFont="1"/>
    <xf numFmtId="41" fontId="6" fillId="0" borderId="9" xfId="0" applyNumberFormat="1" applyFont="1" applyBorder="1"/>
    <xf numFmtId="41" fontId="6" fillId="6" borderId="13" xfId="0" applyNumberFormat="1" applyFont="1" applyFill="1" applyBorder="1" applyAlignment="1">
      <alignment horizontal="right"/>
    </xf>
    <xf numFmtId="41" fontId="6" fillId="6" borderId="12" xfId="0" applyNumberFormat="1" applyFont="1" applyFill="1" applyBorder="1" applyAlignment="1">
      <alignment horizontal="right"/>
    </xf>
    <xf numFmtId="41" fontId="6" fillId="0" borderId="10" xfId="0" applyNumberFormat="1" applyFont="1" applyBorder="1"/>
    <xf numFmtId="41" fontId="6" fillId="6" borderId="14" xfId="0" applyNumberFormat="1" applyFont="1" applyFill="1" applyBorder="1"/>
    <xf numFmtId="41" fontId="6" fillId="6" borderId="15" xfId="0" applyNumberFormat="1" applyFont="1" applyFill="1" applyBorder="1"/>
    <xf numFmtId="41" fontId="6" fillId="0" borderId="7" xfId="0" applyNumberFormat="1" applyFont="1" applyBorder="1" applyAlignment="1">
      <alignment horizontal="right"/>
    </xf>
    <xf numFmtId="41" fontId="6" fillId="0" borderId="0" xfId="0" applyNumberFormat="1" applyFont="1" applyAlignment="1">
      <alignment horizontal="right"/>
    </xf>
    <xf numFmtId="41" fontId="4" fillId="0" borderId="16" xfId="0" applyNumberFormat="1" applyFont="1" applyBorder="1"/>
    <xf numFmtId="41" fontId="4" fillId="6" borderId="17" xfId="0" applyNumberFormat="1" applyFont="1" applyFill="1" applyBorder="1"/>
    <xf numFmtId="41" fontId="4" fillId="6" borderId="18" xfId="0" applyNumberFormat="1" applyFont="1" applyFill="1" applyBorder="1"/>
    <xf numFmtId="41" fontId="6" fillId="0" borderId="0" xfId="0" quotePrefix="1" applyNumberFormat="1" applyFont="1"/>
    <xf numFmtId="41" fontId="6" fillId="0" borderId="16" xfId="0" applyNumberFormat="1" applyFont="1" applyBorder="1"/>
    <xf numFmtId="41" fontId="6" fillId="0" borderId="19" xfId="0" applyNumberFormat="1" applyFont="1" applyBorder="1"/>
    <xf numFmtId="41" fontId="6" fillId="0" borderId="20" xfId="0" applyNumberFormat="1" applyFont="1" applyBorder="1"/>
    <xf numFmtId="41" fontId="6" fillId="0" borderId="21" xfId="0" applyNumberFormat="1" applyFont="1" applyBorder="1"/>
    <xf numFmtId="41" fontId="11" fillId="0" borderId="0" xfId="0" applyNumberFormat="1" applyFont="1"/>
    <xf numFmtId="41" fontId="11" fillId="0" borderId="6" xfId="0" applyNumberFormat="1" applyFont="1" applyBorder="1"/>
    <xf numFmtId="41" fontId="4" fillId="3" borderId="13" xfId="0" applyNumberFormat="1" applyFont="1" applyFill="1" applyBorder="1"/>
    <xf numFmtId="41" fontId="12" fillId="0" borderId="0" xfId="0" applyNumberFormat="1" applyFont="1"/>
    <xf numFmtId="41" fontId="13" fillId="0" borderId="21" xfId="0" applyNumberFormat="1" applyFont="1" applyBorder="1"/>
    <xf numFmtId="41" fontId="13" fillId="0" borderId="20" xfId="0" applyNumberFormat="1" applyFont="1" applyBorder="1"/>
    <xf numFmtId="41" fontId="4" fillId="0" borderId="6" xfId="0" applyNumberFormat="1" applyFont="1" applyBorder="1"/>
    <xf numFmtId="164" fontId="6" fillId="0" borderId="6" xfId="0" applyNumberFormat="1" applyFont="1" applyBorder="1"/>
    <xf numFmtId="164" fontId="6" fillId="0" borderId="0" xfId="0" applyNumberFormat="1" applyFont="1"/>
    <xf numFmtId="164" fontId="4" fillId="3" borderId="12" xfId="0" applyNumberFormat="1" applyFont="1" applyFill="1" applyBorder="1" applyAlignment="1">
      <alignment vertical="center"/>
    </xf>
    <xf numFmtId="164" fontId="5" fillId="4" borderId="13" xfId="0" applyNumberFormat="1" applyFont="1" applyFill="1" applyBorder="1" applyAlignment="1">
      <alignment horizontal="right" vertical="center"/>
    </xf>
    <xf numFmtId="164" fontId="5" fillId="4" borderId="12" xfId="0" applyNumberFormat="1" applyFont="1" applyFill="1" applyBorder="1" applyAlignment="1">
      <alignment horizontal="right" vertical="center"/>
    </xf>
    <xf numFmtId="164" fontId="14" fillId="0" borderId="6" xfId="0" applyNumberFormat="1" applyFont="1" applyBorder="1" applyAlignment="1">
      <alignment vertical="center"/>
    </xf>
    <xf numFmtId="164" fontId="14" fillId="0" borderId="0" xfId="0" applyNumberFormat="1" applyFont="1" applyAlignment="1">
      <alignment vertical="center"/>
    </xf>
    <xf numFmtId="164" fontId="6" fillId="0" borderId="0" xfId="0" applyNumberFormat="1" applyFont="1" applyAlignment="1">
      <alignment vertical="center"/>
    </xf>
    <xf numFmtId="164" fontId="4" fillId="0" borderId="0" xfId="0" applyNumberFormat="1" applyFont="1"/>
    <xf numFmtId="164" fontId="6" fillId="6" borderId="13" xfId="0" applyNumberFormat="1" applyFont="1" applyFill="1" applyBorder="1"/>
    <xf numFmtId="164" fontId="6" fillId="6" borderId="12" xfId="0" applyNumberFormat="1" applyFont="1" applyFill="1" applyBorder="1"/>
    <xf numFmtId="164" fontId="15" fillId="0" borderId="0" xfId="0" applyNumberFormat="1" applyFont="1"/>
    <xf numFmtId="164" fontId="10" fillId="0" borderId="0" xfId="0" applyNumberFormat="1" applyFont="1"/>
    <xf numFmtId="9" fontId="10" fillId="6" borderId="13" xfId="0" applyNumberFormat="1" applyFont="1" applyFill="1" applyBorder="1"/>
    <xf numFmtId="9" fontId="10" fillId="6" borderId="12" xfId="0" applyNumberFormat="1" applyFont="1" applyFill="1" applyBorder="1"/>
    <xf numFmtId="164" fontId="4" fillId="0" borderId="9" xfId="0" applyNumberFormat="1" applyFont="1" applyBorder="1"/>
    <xf numFmtId="164" fontId="4" fillId="6" borderId="22" xfId="0" applyNumberFormat="1" applyFont="1" applyFill="1" applyBorder="1"/>
    <xf numFmtId="164" fontId="4" fillId="6" borderId="23" xfId="0" applyNumberFormat="1" applyFont="1" applyFill="1" applyBorder="1"/>
    <xf numFmtId="164" fontId="4" fillId="0" borderId="6" xfId="0" applyNumberFormat="1" applyFont="1" applyBorder="1"/>
    <xf numFmtId="164" fontId="10" fillId="0" borderId="6" xfId="0" applyNumberFormat="1" applyFont="1" applyBorder="1"/>
    <xf numFmtId="164" fontId="6" fillId="0" borderId="9" xfId="0" applyNumberFormat="1" applyFont="1" applyBorder="1"/>
    <xf numFmtId="164" fontId="6" fillId="0" borderId="10" xfId="0" applyNumberFormat="1" applyFont="1" applyBorder="1"/>
    <xf numFmtId="164" fontId="6" fillId="6" borderId="22" xfId="0" applyNumberFormat="1" applyFont="1" applyFill="1" applyBorder="1"/>
    <xf numFmtId="164" fontId="6" fillId="6" borderId="23" xfId="0" applyNumberFormat="1" applyFont="1" applyFill="1" applyBorder="1"/>
    <xf numFmtId="164" fontId="4" fillId="0" borderId="16" xfId="0" applyNumberFormat="1" applyFont="1" applyBorder="1"/>
    <xf numFmtId="164" fontId="4" fillId="6" borderId="17" xfId="0" applyNumberFormat="1" applyFont="1" applyFill="1" applyBorder="1"/>
    <xf numFmtId="164" fontId="4" fillId="6" borderId="18" xfId="0" applyNumberFormat="1" applyFont="1" applyFill="1" applyBorder="1"/>
    <xf numFmtId="164" fontId="6" fillId="6" borderId="4" xfId="0" applyNumberFormat="1" applyFont="1" applyFill="1" applyBorder="1"/>
    <xf numFmtId="164" fontId="4" fillId="6" borderId="12" xfId="0" applyNumberFormat="1" applyFont="1" applyFill="1" applyBorder="1"/>
    <xf numFmtId="164" fontId="4" fillId="0" borderId="10" xfId="0" applyNumberFormat="1" applyFont="1" applyBorder="1"/>
    <xf numFmtId="164" fontId="4" fillId="6" borderId="14" xfId="0" applyNumberFormat="1" applyFont="1" applyFill="1" applyBorder="1"/>
    <xf numFmtId="164" fontId="4" fillId="6" borderId="15" xfId="0" applyNumberFormat="1" applyFont="1" applyFill="1" applyBorder="1"/>
    <xf numFmtId="164" fontId="4" fillId="6" borderId="13" xfId="0" applyNumberFormat="1" applyFont="1" applyFill="1" applyBorder="1"/>
    <xf numFmtId="164" fontId="16" fillId="0" borderId="0" xfId="0" applyNumberFormat="1" applyFont="1"/>
    <xf numFmtId="164" fontId="16" fillId="0" borderId="6" xfId="0" applyNumberFormat="1" applyFont="1" applyBorder="1"/>
    <xf numFmtId="164" fontId="17" fillId="0" borderId="6" xfId="0" applyNumberFormat="1" applyFont="1" applyBorder="1"/>
    <xf numFmtId="164" fontId="17" fillId="0" borderId="0" xfId="0" applyNumberFormat="1" applyFont="1"/>
    <xf numFmtId="41" fontId="5" fillId="4" borderId="13" xfId="0" applyNumberFormat="1" applyFont="1" applyFill="1" applyBorder="1" applyAlignment="1">
      <alignment horizontal="right"/>
    </xf>
    <xf numFmtId="41" fontId="5" fillId="4" borderId="12" xfId="0" applyNumberFormat="1" applyFont="1" applyFill="1" applyBorder="1" applyAlignment="1">
      <alignment horizontal="right"/>
    </xf>
    <xf numFmtId="41" fontId="18" fillId="0" borderId="0" xfId="0" applyNumberFormat="1" applyFont="1"/>
    <xf numFmtId="41" fontId="6" fillId="0" borderId="0" xfId="0" applyNumberFormat="1" applyFont="1" applyAlignment="1">
      <alignment horizontal="left"/>
    </xf>
    <xf numFmtId="41" fontId="4" fillId="0" borderId="9" xfId="0" applyNumberFormat="1" applyFont="1" applyBorder="1"/>
    <xf numFmtId="41" fontId="4" fillId="6" borderId="22" xfId="0" applyNumberFormat="1" applyFont="1" applyFill="1" applyBorder="1"/>
    <xf numFmtId="41" fontId="4" fillId="6" borderId="12" xfId="0" applyNumberFormat="1" applyFont="1" applyFill="1" applyBorder="1"/>
    <xf numFmtId="41" fontId="4" fillId="0" borderId="21" xfId="0" applyNumberFormat="1" applyFont="1" applyBorder="1"/>
    <xf numFmtId="41" fontId="4" fillId="6" borderId="24" xfId="0" applyNumberFormat="1" applyFont="1" applyFill="1" applyBorder="1"/>
    <xf numFmtId="41" fontId="4" fillId="6" borderId="25" xfId="0" applyNumberFormat="1" applyFont="1" applyFill="1" applyBorder="1"/>
    <xf numFmtId="41" fontId="4" fillId="6" borderId="13" xfId="0" applyNumberFormat="1" applyFont="1" applyFill="1" applyBorder="1"/>
    <xf numFmtId="41" fontId="4" fillId="6" borderId="26" xfId="0" applyNumberFormat="1" applyFont="1" applyFill="1" applyBorder="1"/>
    <xf numFmtId="41" fontId="4" fillId="6" borderId="27" xfId="0" applyNumberFormat="1" applyFont="1" applyFill="1" applyBorder="1"/>
    <xf numFmtId="41" fontId="6" fillId="6" borderId="17" xfId="0" applyNumberFormat="1" applyFont="1" applyFill="1" applyBorder="1"/>
    <xf numFmtId="41" fontId="6" fillId="6" borderId="18" xfId="0" applyNumberFormat="1" applyFont="1" applyFill="1" applyBorder="1"/>
    <xf numFmtId="41" fontId="4" fillId="6" borderId="28" xfId="0" applyNumberFormat="1" applyFont="1" applyFill="1" applyBorder="1"/>
    <xf numFmtId="41" fontId="4" fillId="6" borderId="29" xfId="0" applyNumberFormat="1" applyFont="1" applyFill="1" applyBorder="1"/>
    <xf numFmtId="164" fontId="19" fillId="8" borderId="12" xfId="0" applyNumberFormat="1" applyFont="1" applyFill="1" applyBorder="1" applyAlignment="1">
      <alignment horizontal="center" vertical="center"/>
    </xf>
    <xf numFmtId="164" fontId="19" fillId="8" borderId="13" xfId="0" applyNumberFormat="1" applyFont="1" applyFill="1" applyBorder="1" applyAlignment="1">
      <alignment horizontal="center" vertical="center"/>
    </xf>
    <xf numFmtId="164" fontId="19" fillId="8" borderId="30" xfId="0" applyNumberFormat="1" applyFont="1" applyFill="1" applyBorder="1" applyAlignment="1">
      <alignment horizontal="center" vertical="center"/>
    </xf>
    <xf numFmtId="164" fontId="20" fillId="0" borderId="0" xfId="0" applyNumberFormat="1" applyFont="1"/>
    <xf numFmtId="164" fontId="20" fillId="9" borderId="4" xfId="0" applyNumberFormat="1" applyFont="1" applyFill="1" applyBorder="1"/>
    <xf numFmtId="164" fontId="20" fillId="9" borderId="5" xfId="0" applyNumberFormat="1" applyFont="1" applyFill="1" applyBorder="1"/>
    <xf numFmtId="164" fontId="20" fillId="9" borderId="31" xfId="0" applyNumberFormat="1" applyFont="1" applyFill="1" applyBorder="1"/>
    <xf numFmtId="164" fontId="20" fillId="0" borderId="6" xfId="0" applyNumberFormat="1" applyFont="1" applyBorder="1"/>
    <xf numFmtId="164" fontId="20" fillId="6" borderId="13" xfId="0" applyNumberFormat="1" applyFont="1" applyFill="1" applyBorder="1"/>
    <xf numFmtId="164" fontId="20" fillId="6" borderId="12" xfId="0" applyNumberFormat="1" applyFont="1" applyFill="1" applyBorder="1"/>
    <xf numFmtId="164" fontId="20" fillId="6" borderId="30" xfId="0" applyNumberFormat="1" applyFont="1" applyFill="1" applyBorder="1"/>
    <xf numFmtId="164" fontId="21" fillId="0" borderId="0" xfId="0" applyNumberFormat="1" applyFont="1"/>
    <xf numFmtId="164" fontId="21" fillId="0" borderId="6" xfId="0" applyNumberFormat="1" applyFont="1" applyBorder="1"/>
    <xf numFmtId="164" fontId="21" fillId="6" borderId="13" xfId="0" applyNumberFormat="1" applyFont="1" applyFill="1" applyBorder="1"/>
    <xf numFmtId="164" fontId="21" fillId="6" borderId="12" xfId="0" applyNumberFormat="1" applyFont="1" applyFill="1" applyBorder="1"/>
    <xf numFmtId="164" fontId="21" fillId="6" borderId="30" xfId="0" applyNumberFormat="1" applyFont="1" applyFill="1" applyBorder="1"/>
    <xf numFmtId="164" fontId="20" fillId="0" borderId="0" xfId="0" quotePrefix="1" applyNumberFormat="1" applyFont="1"/>
    <xf numFmtId="164" fontId="21" fillId="0" borderId="16" xfId="0" applyNumberFormat="1" applyFont="1" applyBorder="1"/>
    <xf numFmtId="164" fontId="21" fillId="0" borderId="19" xfId="0" applyNumberFormat="1" applyFont="1" applyBorder="1"/>
    <xf numFmtId="164" fontId="21" fillId="6" borderId="17" xfId="0" applyNumberFormat="1" applyFont="1" applyFill="1" applyBorder="1"/>
    <xf numFmtId="164" fontId="21" fillId="6" borderId="32" xfId="0" applyNumberFormat="1" applyFont="1" applyFill="1" applyBorder="1"/>
    <xf numFmtId="164" fontId="19" fillId="8" borderId="12" xfId="0" applyNumberFormat="1" applyFont="1" applyFill="1" applyBorder="1" applyAlignment="1">
      <alignment horizontal="left" vertical="center"/>
    </xf>
    <xf numFmtId="164" fontId="20" fillId="6" borderId="4" xfId="0" applyNumberFormat="1" applyFont="1" applyFill="1" applyBorder="1"/>
    <xf numFmtId="164" fontId="21" fillId="6" borderId="28" xfId="0" applyNumberFormat="1" applyFont="1" applyFill="1" applyBorder="1"/>
    <xf numFmtId="164" fontId="21" fillId="6" borderId="29" xfId="0" applyNumberFormat="1" applyFont="1" applyFill="1" applyBorder="1"/>
    <xf numFmtId="0" fontId="20" fillId="9" borderId="5" xfId="0" applyFont="1" applyFill="1" applyBorder="1"/>
    <xf numFmtId="0" fontId="20" fillId="9" borderId="4" xfId="0" applyFont="1" applyFill="1" applyBorder="1"/>
    <xf numFmtId="164" fontId="20" fillId="9" borderId="12" xfId="0" applyNumberFormat="1" applyFont="1" applyFill="1" applyBorder="1"/>
    <xf numFmtId="164" fontId="6" fillId="6" borderId="30" xfId="0" applyNumberFormat="1" applyFont="1" applyFill="1" applyBorder="1"/>
    <xf numFmtId="43" fontId="6" fillId="0" borderId="0" xfId="0" applyNumberFormat="1" applyFont="1"/>
    <xf numFmtId="0" fontId="6" fillId="0" borderId="36" xfId="0" applyFont="1" applyBorder="1"/>
    <xf numFmtId="164" fontId="21" fillId="0" borderId="36" xfId="0" applyNumberFormat="1" applyFont="1" applyBorder="1"/>
    <xf numFmtId="164" fontId="21" fillId="0" borderId="9" xfId="0" applyNumberFormat="1" applyFont="1" applyBorder="1"/>
    <xf numFmtId="164" fontId="21" fillId="6" borderId="22" xfId="0" applyNumberFormat="1" applyFont="1" applyFill="1" applyBorder="1"/>
    <xf numFmtId="164" fontId="21" fillId="6" borderId="37" xfId="0" applyNumberFormat="1" applyFont="1" applyFill="1" applyBorder="1"/>
    <xf numFmtId="0" fontId="6" fillId="0" borderId="8" xfId="0" applyFont="1" applyBorder="1"/>
    <xf numFmtId="164" fontId="20" fillId="0" borderId="8" xfId="0" applyNumberFormat="1" applyFont="1" applyBorder="1"/>
    <xf numFmtId="164" fontId="20" fillId="0" borderId="7" xfId="0" applyNumberFormat="1" applyFont="1" applyBorder="1"/>
    <xf numFmtId="164" fontId="20" fillId="6" borderId="5" xfId="0" applyNumberFormat="1" applyFont="1" applyFill="1" applyBorder="1"/>
    <xf numFmtId="164" fontId="20" fillId="6" borderId="31" xfId="0" applyNumberFormat="1" applyFont="1" applyFill="1" applyBorder="1"/>
    <xf numFmtId="0" fontId="6" fillId="6" borderId="13" xfId="0" applyFont="1" applyFill="1" applyBorder="1"/>
    <xf numFmtId="0" fontId="6" fillId="6" borderId="12" xfId="0" applyFont="1" applyFill="1" applyBorder="1"/>
    <xf numFmtId="0" fontId="6" fillId="6" borderId="30" xfId="0" applyFont="1" applyFill="1" applyBorder="1"/>
    <xf numFmtId="0" fontId="20" fillId="0" borderId="6" xfId="0" applyFont="1" applyBorder="1"/>
    <xf numFmtId="0" fontId="6" fillId="6" borderId="5" xfId="0" applyFont="1" applyFill="1" applyBorder="1"/>
    <xf numFmtId="0" fontId="6" fillId="6" borderId="4" xfId="0" applyFont="1" applyFill="1" applyBorder="1"/>
    <xf numFmtId="0" fontId="6" fillId="6" borderId="31" xfId="0" applyFont="1" applyFill="1" applyBorder="1"/>
    <xf numFmtId="0" fontId="22" fillId="0" borderId="0" xfId="0" applyFont="1" applyAlignment="1">
      <alignment vertical="center" wrapText="1"/>
    </xf>
    <xf numFmtId="0" fontId="6" fillId="0" borderId="0" xfId="0" applyFont="1" applyAlignment="1">
      <alignment vertical="center" wrapText="1"/>
    </xf>
    <xf numFmtId="0" fontId="6" fillId="6" borderId="13" xfId="0" applyFont="1" applyFill="1" applyBorder="1" applyAlignment="1">
      <alignment vertical="center" wrapText="1"/>
    </xf>
    <xf numFmtId="0" fontId="6" fillId="6" borderId="12" xfId="0" applyFont="1" applyFill="1" applyBorder="1" applyAlignment="1">
      <alignment vertical="center" wrapText="1"/>
    </xf>
    <xf numFmtId="0" fontId="20" fillId="9" borderId="38" xfId="0" applyFont="1" applyFill="1" applyBorder="1"/>
    <xf numFmtId="164" fontId="20" fillId="9" borderId="14" xfId="0" applyNumberFormat="1" applyFont="1" applyFill="1" applyBorder="1"/>
    <xf numFmtId="164" fontId="20" fillId="9" borderId="38" xfId="0" applyNumberFormat="1" applyFont="1" applyFill="1" applyBorder="1"/>
    <xf numFmtId="164" fontId="20" fillId="9" borderId="15" xfId="0" applyNumberFormat="1" applyFont="1" applyFill="1" applyBorder="1"/>
    <xf numFmtId="164" fontId="20" fillId="9" borderId="39" xfId="0" applyNumberFormat="1" applyFont="1" applyFill="1" applyBorder="1"/>
    <xf numFmtId="0" fontId="6" fillId="0" borderId="11" xfId="0" applyFont="1" applyBorder="1"/>
    <xf numFmtId="0" fontId="6" fillId="0" borderId="38" xfId="0" applyFont="1" applyBorder="1"/>
    <xf numFmtId="0" fontId="6" fillId="0" borderId="10" xfId="0" applyFont="1" applyBorder="1"/>
    <xf numFmtId="0" fontId="6" fillId="0" borderId="40" xfId="0" applyFont="1" applyBorder="1"/>
    <xf numFmtId="164" fontId="6" fillId="0" borderId="41" xfId="0" applyNumberFormat="1" applyFont="1" applyBorder="1"/>
    <xf numFmtId="0" fontId="4" fillId="0" borderId="8" xfId="0" applyFont="1" applyBorder="1"/>
    <xf numFmtId="164" fontId="4" fillId="0" borderId="8" xfId="0" applyNumberFormat="1" applyFont="1" applyBorder="1"/>
    <xf numFmtId="164" fontId="4" fillId="0" borderId="42" xfId="0" applyNumberFormat="1" applyFont="1" applyBorder="1"/>
    <xf numFmtId="164" fontId="4" fillId="0" borderId="7" xfId="0" applyNumberFormat="1" applyFont="1" applyBorder="1"/>
    <xf numFmtId="164" fontId="4" fillId="0" borderId="43" xfId="0" applyNumberFormat="1" applyFont="1" applyBorder="1"/>
    <xf numFmtId="164" fontId="6" fillId="0" borderId="44" xfId="0" applyNumberFormat="1" applyFont="1" applyBorder="1"/>
    <xf numFmtId="10" fontId="6" fillId="0" borderId="41" xfId="0" applyNumberFormat="1" applyFont="1" applyBorder="1"/>
    <xf numFmtId="10" fontId="23" fillId="0" borderId="0" xfId="0" applyNumberFormat="1" applyFont="1" applyAlignment="1">
      <alignment horizontal="right"/>
    </xf>
    <xf numFmtId="43" fontId="6" fillId="0" borderId="41" xfId="0" applyNumberFormat="1" applyFont="1" applyBorder="1"/>
    <xf numFmtId="164" fontId="6" fillId="0" borderId="42" xfId="0" applyNumberFormat="1" applyFont="1" applyBorder="1"/>
    <xf numFmtId="0" fontId="25" fillId="0" borderId="0" xfId="0" applyFont="1"/>
    <xf numFmtId="0" fontId="26" fillId="0" borderId="0" xfId="0" applyFont="1"/>
    <xf numFmtId="0" fontId="27" fillId="2" borderId="49" xfId="0" applyFont="1" applyFill="1" applyBorder="1" applyAlignment="1">
      <alignment horizontal="right"/>
    </xf>
    <xf numFmtId="0" fontId="27" fillId="2" borderId="14" xfId="0" applyFont="1" applyFill="1" applyBorder="1" applyAlignment="1">
      <alignment horizontal="right"/>
    </xf>
    <xf numFmtId="0" fontId="27" fillId="2" borderId="38" xfId="0" applyFont="1" applyFill="1" applyBorder="1" applyAlignment="1">
      <alignment horizontal="right"/>
    </xf>
    <xf numFmtId="0" fontId="27" fillId="2" borderId="15" xfId="0" applyFont="1" applyFill="1" applyBorder="1" applyAlignment="1">
      <alignment horizontal="right"/>
    </xf>
    <xf numFmtId="0" fontId="27" fillId="2" borderId="39" xfId="0" applyFont="1" applyFill="1" applyBorder="1" applyAlignment="1">
      <alignment horizontal="right"/>
    </xf>
    <xf numFmtId="0" fontId="14" fillId="3" borderId="14" xfId="0" applyFont="1" applyFill="1" applyBorder="1" applyAlignment="1">
      <alignment horizontal="right"/>
    </xf>
    <xf numFmtId="0" fontId="14" fillId="3" borderId="38" xfId="0" applyFont="1" applyFill="1" applyBorder="1" applyAlignment="1">
      <alignment horizontal="right"/>
    </xf>
    <xf numFmtId="0" fontId="14" fillId="3" borderId="15" xfId="0" applyFont="1" applyFill="1" applyBorder="1" applyAlignment="1">
      <alignment horizontal="right"/>
    </xf>
    <xf numFmtId="0" fontId="14" fillId="3" borderId="39" xfId="0" applyFont="1" applyFill="1" applyBorder="1" applyAlignment="1">
      <alignment horizontal="right"/>
    </xf>
    <xf numFmtId="164" fontId="28" fillId="0" borderId="0" xfId="0" applyNumberFormat="1" applyFont="1"/>
    <xf numFmtId="164" fontId="6" fillId="0" borderId="41" xfId="0" applyNumberFormat="1" applyFont="1" applyBorder="1" applyAlignment="1">
      <alignment horizontal="right"/>
    </xf>
    <xf numFmtId="164" fontId="6" fillId="6" borderId="49" xfId="0" applyNumberFormat="1" applyFont="1" applyFill="1" applyBorder="1"/>
    <xf numFmtId="164" fontId="6" fillId="6" borderId="37" xfId="0" applyNumberFormat="1" applyFont="1" applyFill="1" applyBorder="1"/>
    <xf numFmtId="164" fontId="6" fillId="6" borderId="50" xfId="0" applyNumberFormat="1" applyFont="1" applyFill="1" applyBorder="1"/>
    <xf numFmtId="9" fontId="6" fillId="0" borderId="42" xfId="0" applyNumberFormat="1" applyFont="1" applyBorder="1"/>
    <xf numFmtId="9" fontId="6" fillId="0" borderId="7" xfId="0" applyNumberFormat="1" applyFont="1" applyBorder="1"/>
    <xf numFmtId="9" fontId="17" fillId="6" borderId="5" xfId="0" applyNumberFormat="1" applyFont="1" applyFill="1" applyBorder="1"/>
    <xf numFmtId="9" fontId="17" fillId="6" borderId="51" xfId="0" applyNumberFormat="1" applyFont="1" applyFill="1" applyBorder="1"/>
    <xf numFmtId="9" fontId="17" fillId="6" borderId="4" xfId="0" applyNumberFormat="1" applyFont="1" applyFill="1" applyBorder="1"/>
    <xf numFmtId="164" fontId="29" fillId="0" borderId="0" xfId="0" applyNumberFormat="1" applyFont="1"/>
    <xf numFmtId="164" fontId="29" fillId="0" borderId="41" xfId="0" applyNumberFormat="1" applyFont="1" applyBorder="1"/>
    <xf numFmtId="164" fontId="29" fillId="6" borderId="22" xfId="0" applyNumberFormat="1" applyFont="1" applyFill="1" applyBorder="1"/>
    <xf numFmtId="164" fontId="29" fillId="6" borderId="50" xfId="0" applyNumberFormat="1" applyFont="1" applyFill="1" applyBorder="1"/>
    <xf numFmtId="164" fontId="29" fillId="6" borderId="12" xfId="0" applyNumberFormat="1" applyFont="1" applyFill="1" applyBorder="1"/>
    <xf numFmtId="164" fontId="29" fillId="6" borderId="23" xfId="0" applyNumberFormat="1" applyFont="1" applyFill="1" applyBorder="1"/>
    <xf numFmtId="164" fontId="29" fillId="0" borderId="6" xfId="0" applyNumberFormat="1" applyFont="1" applyBorder="1"/>
    <xf numFmtId="164" fontId="6" fillId="6" borderId="51" xfId="0" applyNumberFormat="1" applyFont="1" applyFill="1" applyBorder="1"/>
    <xf numFmtId="164" fontId="30" fillId="6" borderId="18" xfId="0" applyNumberFormat="1" applyFont="1" applyFill="1" applyBorder="1"/>
    <xf numFmtId="164" fontId="30" fillId="6" borderId="17" xfId="0" applyNumberFormat="1" applyFont="1" applyFill="1" applyBorder="1"/>
    <xf numFmtId="0" fontId="31" fillId="0" borderId="0" xfId="0" applyFont="1"/>
    <xf numFmtId="0" fontId="31" fillId="0" borderId="6" xfId="0" applyFont="1" applyBorder="1"/>
    <xf numFmtId="3" fontId="6" fillId="0" borderId="0" xfId="0" applyNumberFormat="1" applyFont="1"/>
    <xf numFmtId="0" fontId="17" fillId="0" borderId="0" xfId="0" applyFont="1"/>
    <xf numFmtId="10" fontId="17" fillId="0" borderId="0" xfId="0" applyNumberFormat="1" applyFont="1"/>
    <xf numFmtId="0" fontId="6" fillId="0" borderId="6" xfId="0" applyFont="1" applyBorder="1" applyAlignment="1">
      <alignment vertical="center" wrapText="1"/>
    </xf>
    <xf numFmtId="0" fontId="20" fillId="0" borderId="0" xfId="0" applyFont="1"/>
    <xf numFmtId="0" fontId="32" fillId="0" borderId="0" xfId="0" applyFont="1" applyAlignment="1">
      <alignment vertical="center"/>
    </xf>
    <xf numFmtId="0" fontId="33" fillId="0" borderId="6" xfId="0" applyFont="1" applyBorder="1"/>
    <xf numFmtId="0" fontId="23" fillId="0" borderId="52" xfId="0" applyFont="1" applyBorder="1"/>
    <xf numFmtId="0" fontId="23" fillId="0" borderId="0" xfId="0" applyFont="1"/>
    <xf numFmtId="0" fontId="34" fillId="0" borderId="0" xfId="0" applyFont="1"/>
    <xf numFmtId="0" fontId="35" fillId="0" borderId="0" xfId="0" quotePrefix="1" applyFont="1"/>
    <xf numFmtId="0" fontId="36" fillId="0" borderId="0" xfId="0" applyFont="1"/>
    <xf numFmtId="43" fontId="20" fillId="0" borderId="6" xfId="0" applyNumberFormat="1" applyFont="1" applyBorder="1"/>
    <xf numFmtId="3" fontId="20" fillId="0" borderId="52" xfId="0" applyNumberFormat="1" applyFont="1" applyBorder="1"/>
    <xf numFmtId="3" fontId="20" fillId="0" borderId="0" xfId="0" applyNumberFormat="1" applyFont="1"/>
    <xf numFmtId="3" fontId="20" fillId="0" borderId="0" xfId="0" quotePrefix="1" applyNumberFormat="1" applyFont="1"/>
    <xf numFmtId="0" fontId="20" fillId="0" borderId="38" xfId="0" applyFont="1" applyBorder="1" applyAlignment="1">
      <alignment horizontal="center"/>
    </xf>
    <xf numFmtId="0" fontId="20" fillId="0" borderId="38" xfId="0" applyFont="1" applyBorder="1" applyAlignment="1">
      <alignment horizontal="center" wrapText="1"/>
    </xf>
    <xf numFmtId="43" fontId="20" fillId="0" borderId="8" xfId="0" applyNumberFormat="1" applyFont="1" applyBorder="1"/>
    <xf numFmtId="3" fontId="20" fillId="0" borderId="43" xfId="0" applyNumberFormat="1" applyFont="1" applyBorder="1"/>
    <xf numFmtId="43" fontId="20" fillId="0" borderId="53" xfId="0" applyNumberFormat="1" applyFont="1" applyBorder="1"/>
    <xf numFmtId="166" fontId="20" fillId="0" borderId="38" xfId="0" applyNumberFormat="1" applyFont="1" applyBorder="1"/>
    <xf numFmtId="4" fontId="20" fillId="0" borderId="38" xfId="0" applyNumberFormat="1" applyFont="1" applyBorder="1"/>
    <xf numFmtId="0" fontId="20" fillId="0" borderId="38" xfId="0" applyFont="1" applyBorder="1"/>
    <xf numFmtId="164" fontId="20" fillId="0" borderId="52" xfId="0" applyNumberFormat="1" applyFont="1" applyBorder="1"/>
    <xf numFmtId="10" fontId="20" fillId="0" borderId="38" xfId="0" applyNumberFormat="1" applyFont="1" applyBorder="1"/>
    <xf numFmtId="0" fontId="20" fillId="0" borderId="52" xfId="0" applyFont="1" applyBorder="1" applyAlignment="1">
      <alignment horizontal="right"/>
    </xf>
    <xf numFmtId="0" fontId="21" fillId="0" borderId="0" xfId="0" applyFont="1"/>
    <xf numFmtId="10" fontId="20" fillId="0" borderId="0" xfId="0" applyNumberFormat="1" applyFont="1"/>
    <xf numFmtId="0" fontId="21" fillId="11" borderId="12" xfId="0" applyFont="1" applyFill="1" applyBorder="1"/>
    <xf numFmtId="10" fontId="21" fillId="11" borderId="12" xfId="0" applyNumberFormat="1" applyFont="1" applyFill="1" applyBorder="1"/>
    <xf numFmtId="10" fontId="35" fillId="0" borderId="36" xfId="0" applyNumberFormat="1" applyFont="1" applyBorder="1" applyAlignment="1">
      <alignment horizontal="center"/>
    </xf>
    <xf numFmtId="10" fontId="35" fillId="0" borderId="8" xfId="0" applyNumberFormat="1" applyFont="1" applyBorder="1" applyAlignment="1">
      <alignment horizontal="center"/>
    </xf>
    <xf numFmtId="0" fontId="37" fillId="0" borderId="36" xfId="0" applyFont="1" applyBorder="1"/>
    <xf numFmtId="3" fontId="37" fillId="0" borderId="54" xfId="0" applyNumberFormat="1" applyFont="1" applyBorder="1"/>
    <xf numFmtId="3" fontId="38" fillId="0" borderId="0" xfId="0" applyNumberFormat="1" applyFont="1"/>
    <xf numFmtId="0" fontId="35" fillId="0" borderId="6" xfId="0" applyFont="1" applyBorder="1"/>
    <xf numFmtId="165" fontId="35" fillId="0" borderId="0" xfId="0" applyNumberFormat="1" applyFont="1"/>
    <xf numFmtId="10" fontId="23" fillId="0" borderId="6" xfId="0" applyNumberFormat="1" applyFont="1" applyBorder="1" applyAlignment="1">
      <alignment horizontal="right"/>
    </xf>
    <xf numFmtId="3" fontId="39" fillId="0" borderId="52" xfId="0" applyNumberFormat="1" applyFont="1" applyBorder="1" applyAlignment="1">
      <alignment horizontal="right"/>
    </xf>
    <xf numFmtId="3" fontId="39" fillId="0" borderId="0" xfId="0" applyNumberFormat="1" applyFont="1" applyAlignment="1">
      <alignment horizontal="right"/>
    </xf>
    <xf numFmtId="0" fontId="21" fillId="0" borderId="38" xfId="0" applyFont="1" applyBorder="1" applyAlignment="1">
      <alignment horizontal="center" vertical="center" wrapText="1"/>
    </xf>
    <xf numFmtId="10" fontId="39" fillId="0" borderId="52" xfId="0" applyNumberFormat="1" applyFont="1" applyBorder="1" applyAlignment="1">
      <alignment horizontal="right"/>
    </xf>
    <xf numFmtId="10" fontId="39" fillId="0" borderId="0" xfId="0" applyNumberFormat="1" applyFont="1" applyAlignment="1">
      <alignment horizontal="right"/>
    </xf>
    <xf numFmtId="0" fontId="20" fillId="0" borderId="38" xfId="0" applyFont="1" applyBorder="1" applyAlignment="1">
      <alignment vertical="center" wrapText="1"/>
    </xf>
    <xf numFmtId="10" fontId="20" fillId="0" borderId="38" xfId="0" applyNumberFormat="1" applyFont="1" applyBorder="1" applyAlignment="1">
      <alignment vertical="center" wrapText="1"/>
    </xf>
    <xf numFmtId="0" fontId="34" fillId="0" borderId="19" xfId="0" applyFont="1" applyBorder="1"/>
    <xf numFmtId="10" fontId="34" fillId="0" borderId="55" xfId="0" applyNumberFormat="1" applyFont="1" applyBorder="1" applyAlignment="1">
      <alignment horizontal="right"/>
    </xf>
    <xf numFmtId="10" fontId="34" fillId="0" borderId="0" xfId="0" applyNumberFormat="1" applyFont="1" applyAlignment="1">
      <alignment horizontal="right"/>
    </xf>
    <xf numFmtId="0" fontId="40" fillId="0" borderId="6" xfId="0" applyFont="1" applyBorder="1"/>
    <xf numFmtId="10" fontId="23" fillId="0" borderId="52" xfId="0" applyNumberFormat="1" applyFont="1" applyBorder="1" applyAlignment="1">
      <alignment horizontal="right"/>
    </xf>
    <xf numFmtId="0" fontId="21" fillId="0" borderId="38" xfId="0" applyFont="1" applyBorder="1" applyAlignment="1">
      <alignment vertical="center" wrapText="1"/>
    </xf>
    <xf numFmtId="10" fontId="21" fillId="0" borderId="38" xfId="0" applyNumberFormat="1" applyFont="1" applyBorder="1" applyAlignment="1">
      <alignment vertical="center" wrapText="1"/>
    </xf>
    <xf numFmtId="0" fontId="20" fillId="0" borderId="52" xfId="0" applyFont="1" applyBorder="1"/>
    <xf numFmtId="10" fontId="20" fillId="0" borderId="52" xfId="0" applyNumberFormat="1" applyFont="1" applyBorder="1"/>
    <xf numFmtId="0" fontId="35" fillId="0" borderId="6" xfId="0" applyFont="1" applyBorder="1" applyAlignment="1">
      <alignment wrapText="1"/>
    </xf>
    <xf numFmtId="167" fontId="35" fillId="0" borderId="0" xfId="0" applyNumberFormat="1" applyFont="1" applyAlignment="1">
      <alignment horizontal="right"/>
    </xf>
    <xf numFmtId="10" fontId="35" fillId="0" borderId="52" xfId="0" applyNumberFormat="1" applyFont="1" applyBorder="1" applyAlignment="1">
      <alignment horizontal="right"/>
    </xf>
    <xf numFmtId="10" fontId="35" fillId="0" borderId="0" xfId="0" applyNumberFormat="1" applyFont="1" applyAlignment="1">
      <alignment horizontal="right"/>
    </xf>
    <xf numFmtId="0" fontId="35" fillId="0" borderId="52" xfId="0" applyFont="1" applyBorder="1"/>
    <xf numFmtId="0" fontId="35" fillId="0" borderId="0" xfId="0" applyFont="1"/>
    <xf numFmtId="3" fontId="35" fillId="0" borderId="52" xfId="0" applyNumberFormat="1" applyFont="1" applyBorder="1"/>
    <xf numFmtId="3" fontId="35" fillId="0" borderId="0" xfId="0" applyNumberFormat="1" applyFont="1"/>
    <xf numFmtId="0" fontId="34" fillId="0" borderId="11" xfId="0" applyFont="1" applyBorder="1"/>
    <xf numFmtId="3" fontId="34" fillId="0" borderId="40" xfId="0" applyNumberFormat="1" applyFont="1" applyBorder="1"/>
    <xf numFmtId="3" fontId="34" fillId="0" borderId="0" xfId="0" applyNumberFormat="1" applyFont="1"/>
    <xf numFmtId="0" fontId="23" fillId="0" borderId="6" xfId="0" applyFont="1" applyBorder="1"/>
    <xf numFmtId="0" fontId="21" fillId="12" borderId="14" xfId="0" applyFont="1" applyFill="1" applyBorder="1"/>
    <xf numFmtId="10" fontId="21" fillId="12" borderId="39" xfId="0" applyNumberFormat="1" applyFont="1" applyFill="1" applyBorder="1"/>
    <xf numFmtId="10" fontId="21" fillId="0" borderId="0" xfId="0" applyNumberFormat="1" applyFont="1"/>
    <xf numFmtId="0" fontId="20" fillId="0" borderId="9" xfId="0" applyFont="1" applyBorder="1"/>
    <xf numFmtId="0" fontId="20" fillId="0" borderId="0" xfId="0" applyFont="1" applyAlignment="1">
      <alignment horizontal="center"/>
    </xf>
    <xf numFmtId="164" fontId="41" fillId="13" borderId="22" xfId="0" applyNumberFormat="1" applyFont="1" applyFill="1" applyBorder="1" applyAlignment="1">
      <alignment horizontal="center" vertical="center"/>
    </xf>
    <xf numFmtId="164" fontId="41" fillId="13" borderId="49" xfId="0" applyNumberFormat="1" applyFont="1" applyFill="1" applyBorder="1" applyAlignment="1">
      <alignment horizontal="center" vertical="center"/>
    </xf>
    <xf numFmtId="164" fontId="14" fillId="9" borderId="14" xfId="0" applyNumberFormat="1" applyFont="1" applyFill="1" applyBorder="1" applyAlignment="1">
      <alignment horizontal="center" vertical="center"/>
    </xf>
    <xf numFmtId="164" fontId="6" fillId="0" borderId="6" xfId="0" applyNumberFormat="1" applyFont="1" applyBorder="1" applyAlignment="1">
      <alignment vertical="center"/>
    </xf>
    <xf numFmtId="164" fontId="42" fillId="6" borderId="22" xfId="0" applyNumberFormat="1" applyFont="1" applyFill="1" applyBorder="1" applyAlignment="1">
      <alignment horizontal="center"/>
    </xf>
    <xf numFmtId="164" fontId="43" fillId="6" borderId="13" xfId="0" applyNumberFormat="1" applyFont="1" applyFill="1" applyBorder="1" applyAlignment="1">
      <alignment horizontal="right"/>
    </xf>
    <xf numFmtId="164" fontId="43" fillId="6" borderId="50" xfId="0" applyNumberFormat="1" applyFont="1" applyFill="1" applyBorder="1" applyAlignment="1">
      <alignment horizontal="right"/>
    </xf>
    <xf numFmtId="164" fontId="43" fillId="6" borderId="12" xfId="0" applyNumberFormat="1" applyFont="1" applyFill="1" applyBorder="1" applyAlignment="1">
      <alignment horizontal="right"/>
    </xf>
    <xf numFmtId="164" fontId="42" fillId="6" borderId="13" xfId="0" applyNumberFormat="1" applyFont="1" applyFill="1" applyBorder="1" applyAlignment="1">
      <alignment horizontal="center"/>
    </xf>
    <xf numFmtId="164" fontId="43" fillId="6" borderId="13" xfId="0" applyNumberFormat="1" applyFont="1" applyFill="1" applyBorder="1"/>
    <xf numFmtId="164" fontId="43" fillId="6" borderId="50" xfId="0" applyNumberFormat="1" applyFont="1" applyFill="1" applyBorder="1"/>
    <xf numFmtId="164" fontId="43" fillId="6" borderId="12" xfId="0" applyNumberFormat="1" applyFont="1" applyFill="1" applyBorder="1"/>
    <xf numFmtId="164" fontId="44" fillId="6" borderId="13" xfId="0" applyNumberFormat="1" applyFont="1" applyFill="1" applyBorder="1"/>
    <xf numFmtId="164" fontId="44" fillId="6" borderId="50" xfId="0" applyNumberFormat="1" applyFont="1" applyFill="1" applyBorder="1"/>
    <xf numFmtId="164" fontId="45" fillId="6" borderId="50" xfId="0" applyNumberFormat="1" applyFont="1" applyFill="1" applyBorder="1"/>
    <xf numFmtId="10" fontId="45" fillId="6" borderId="13" xfId="0" applyNumberFormat="1" applyFont="1" applyFill="1" applyBorder="1"/>
    <xf numFmtId="10" fontId="45" fillId="6" borderId="50" xfId="0" applyNumberFormat="1" applyFont="1" applyFill="1" applyBorder="1"/>
    <xf numFmtId="10" fontId="45" fillId="6" borderId="12" xfId="0" applyNumberFormat="1" applyFont="1" applyFill="1" applyBorder="1"/>
    <xf numFmtId="164" fontId="42" fillId="6" borderId="5" xfId="0" applyNumberFormat="1" applyFont="1" applyFill="1" applyBorder="1" applyAlignment="1">
      <alignment horizontal="center"/>
    </xf>
    <xf numFmtId="164" fontId="44" fillId="6" borderId="5" xfId="0" applyNumberFormat="1" applyFont="1" applyFill="1" applyBorder="1"/>
    <xf numFmtId="164" fontId="44" fillId="6" borderId="51" xfId="0" applyNumberFormat="1" applyFont="1" applyFill="1" applyBorder="1"/>
    <xf numFmtId="164" fontId="43" fillId="6" borderId="51" xfId="0" applyNumberFormat="1" applyFont="1" applyFill="1" applyBorder="1"/>
    <xf numFmtId="164" fontId="42" fillId="6" borderId="5" xfId="0" applyNumberFormat="1" applyFont="1" applyFill="1" applyBorder="1"/>
    <xf numFmtId="164" fontId="42" fillId="6" borderId="51" xfId="0" applyNumberFormat="1" applyFont="1" applyFill="1" applyBorder="1"/>
    <xf numFmtId="164" fontId="42" fillId="6" borderId="4" xfId="0" applyNumberFormat="1" applyFont="1" applyFill="1" applyBorder="1"/>
    <xf numFmtId="164" fontId="47" fillId="0" borderId="6" xfId="0" applyNumberFormat="1" applyFont="1" applyBorder="1"/>
    <xf numFmtId="164" fontId="47" fillId="0" borderId="44" xfId="0" applyNumberFormat="1" applyFont="1" applyBorder="1"/>
    <xf numFmtId="9" fontId="48" fillId="0" borderId="41" xfId="0" applyNumberFormat="1" applyFont="1" applyBorder="1"/>
    <xf numFmtId="10" fontId="47" fillId="0" borderId="41" xfId="0" applyNumberFormat="1" applyFont="1" applyBorder="1"/>
    <xf numFmtId="164" fontId="47" fillId="0" borderId="41" xfId="0" applyNumberFormat="1" applyFont="1" applyBorder="1"/>
    <xf numFmtId="164" fontId="47" fillId="0" borderId="0" xfId="0" applyNumberFormat="1" applyFont="1"/>
    <xf numFmtId="164" fontId="47" fillId="0" borderId="8" xfId="0" applyNumberFormat="1" applyFont="1" applyBorder="1"/>
    <xf numFmtId="164" fontId="47" fillId="0" borderId="42" xfId="0" applyNumberFormat="1" applyFont="1" applyBorder="1"/>
    <xf numFmtId="164" fontId="47" fillId="0" borderId="36" xfId="0" applyNumberFormat="1" applyFont="1" applyBorder="1"/>
    <xf numFmtId="164" fontId="47" fillId="0" borderId="9" xfId="0" applyNumberFormat="1" applyFont="1" applyBorder="1"/>
    <xf numFmtId="164" fontId="13" fillId="0" borderId="6" xfId="0" applyNumberFormat="1" applyFont="1" applyBorder="1"/>
    <xf numFmtId="164" fontId="13" fillId="0" borderId="41" xfId="0" applyNumberFormat="1" applyFont="1" applyBorder="1"/>
    <xf numFmtId="164" fontId="13" fillId="0" borderId="0" xfId="0" applyNumberFormat="1" applyFont="1"/>
    <xf numFmtId="10" fontId="47" fillId="9" borderId="38" xfId="0" applyNumberFormat="1" applyFont="1" applyFill="1" applyBorder="1"/>
    <xf numFmtId="164" fontId="47" fillId="0" borderId="6" xfId="0" applyNumberFormat="1" applyFont="1" applyBorder="1" applyAlignment="1">
      <alignment horizontal="left"/>
    </xf>
    <xf numFmtId="164" fontId="47" fillId="0" borderId="38" xfId="0" applyNumberFormat="1" applyFont="1" applyBorder="1"/>
    <xf numFmtId="164" fontId="47" fillId="9" borderId="38" xfId="0" applyNumberFormat="1" applyFont="1" applyFill="1" applyBorder="1"/>
    <xf numFmtId="164" fontId="11" fillId="8" borderId="38" xfId="0" applyNumberFormat="1" applyFont="1" applyFill="1" applyBorder="1"/>
    <xf numFmtId="43" fontId="6" fillId="0" borderId="44" xfId="0" applyNumberFormat="1" applyFont="1" applyBorder="1"/>
    <xf numFmtId="164" fontId="13" fillId="12" borderId="13" xfId="0" applyNumberFormat="1" applyFont="1" applyFill="1" applyBorder="1"/>
    <xf numFmtId="164" fontId="13" fillId="12" borderId="50" xfId="0" applyNumberFormat="1" applyFont="1" applyFill="1" applyBorder="1"/>
    <xf numFmtId="164" fontId="6" fillId="0" borderId="11" xfId="0" applyNumberFormat="1" applyFont="1" applyBorder="1"/>
    <xf numFmtId="164" fontId="6" fillId="0" borderId="38" xfId="0" applyNumberFormat="1" applyFont="1" applyBorder="1"/>
    <xf numFmtId="164" fontId="50" fillId="0" borderId="11" xfId="0" applyNumberFormat="1" applyFont="1" applyBorder="1"/>
    <xf numFmtId="9" fontId="50" fillId="0" borderId="38" xfId="0" applyNumberFormat="1" applyFont="1" applyBorder="1"/>
    <xf numFmtId="164" fontId="31" fillId="0" borderId="0" xfId="0" applyNumberFormat="1" applyFont="1" applyAlignment="1">
      <alignment horizontal="right"/>
    </xf>
    <xf numFmtId="164" fontId="31" fillId="0" borderId="0" xfId="0" applyNumberFormat="1" applyFont="1"/>
    <xf numFmtId="164" fontId="51" fillId="0" borderId="0" xfId="0" applyNumberFormat="1" applyFont="1"/>
    <xf numFmtId="164" fontId="52" fillId="0" borderId="0" xfId="0" applyNumberFormat="1" applyFont="1"/>
    <xf numFmtId="164" fontId="53" fillId="0" borderId="0" xfId="0" applyNumberFormat="1" applyFont="1"/>
    <xf numFmtId="43" fontId="6" fillId="0" borderId="6" xfId="0" applyNumberFormat="1" applyFont="1" applyBorder="1"/>
    <xf numFmtId="0" fontId="21" fillId="9" borderId="14" xfId="0" applyFont="1" applyFill="1" applyBorder="1"/>
    <xf numFmtId="164" fontId="21" fillId="9" borderId="14" xfId="0" applyNumberFormat="1" applyFont="1" applyFill="1" applyBorder="1"/>
    <xf numFmtId="164" fontId="21" fillId="9" borderId="15" xfId="0" applyNumberFormat="1" applyFont="1" applyFill="1" applyBorder="1"/>
    <xf numFmtId="164" fontId="21" fillId="9" borderId="39" xfId="0" applyNumberFormat="1" applyFont="1" applyFill="1" applyBorder="1"/>
    <xf numFmtId="43" fontId="4" fillId="6" borderId="12" xfId="0" applyNumberFormat="1" applyFont="1" applyFill="1" applyBorder="1"/>
    <xf numFmtId="43" fontId="6" fillId="0" borderId="0" xfId="0" applyNumberFormat="1" applyFont="1" applyAlignment="1">
      <alignment horizontal="center"/>
    </xf>
    <xf numFmtId="43" fontId="6" fillId="6" borderId="12" xfId="0" applyNumberFormat="1" applyFont="1" applyFill="1" applyBorder="1"/>
    <xf numFmtId="43" fontId="6" fillId="0" borderId="8" xfId="0" applyNumberFormat="1" applyFont="1" applyBorder="1"/>
    <xf numFmtId="43" fontId="6" fillId="0" borderId="9" xfId="0" applyNumberFormat="1" applyFont="1" applyBorder="1"/>
    <xf numFmtId="43" fontId="6" fillId="0" borderId="36" xfId="0" applyNumberFormat="1" applyFont="1" applyBorder="1"/>
    <xf numFmtId="43" fontId="1" fillId="0" borderId="0" xfId="0" applyNumberFormat="1" applyFont="1" applyAlignment="1">
      <alignment vertical="center"/>
    </xf>
    <xf numFmtId="0" fontId="54" fillId="0" borderId="0" xfId="0" applyFont="1"/>
    <xf numFmtId="0" fontId="54" fillId="2" borderId="22" xfId="0" applyFont="1" applyFill="1" applyBorder="1"/>
    <xf numFmtId="0" fontId="55" fillId="2" borderId="49" xfId="0" applyFont="1" applyFill="1" applyBorder="1" applyAlignment="1">
      <alignment horizontal="center" vertical="center" wrapText="1"/>
    </xf>
    <xf numFmtId="0" fontId="55" fillId="2" borderId="23" xfId="0" applyFont="1" applyFill="1" applyBorder="1" applyAlignment="1">
      <alignment horizontal="center" vertical="center" wrapText="1"/>
    </xf>
    <xf numFmtId="0" fontId="56" fillId="0" borderId="6" xfId="0" applyFont="1" applyBorder="1" applyAlignment="1">
      <alignment horizontal="left" vertical="top"/>
    </xf>
    <xf numFmtId="168" fontId="57" fillId="0" borderId="41" xfId="0" applyNumberFormat="1" applyFont="1" applyBorder="1" applyAlignment="1">
      <alignment horizontal="right" vertical="top"/>
    </xf>
    <xf numFmtId="168" fontId="57" fillId="0" borderId="0" xfId="0" applyNumberFormat="1" applyFont="1" applyAlignment="1">
      <alignment horizontal="right" vertical="top"/>
    </xf>
    <xf numFmtId="43" fontId="57" fillId="0" borderId="0" xfId="0" applyNumberFormat="1" applyFont="1" applyAlignment="1">
      <alignment horizontal="right" vertical="top"/>
    </xf>
    <xf numFmtId="0" fontId="57" fillId="0" borderId="0" xfId="0" applyFont="1" applyAlignment="1">
      <alignment horizontal="right" vertical="top"/>
    </xf>
    <xf numFmtId="0" fontId="54" fillId="0" borderId="6" xfId="0" applyFont="1" applyBorder="1"/>
    <xf numFmtId="0" fontId="54" fillId="0" borderId="41" xfId="0" applyFont="1" applyBorder="1"/>
    <xf numFmtId="168" fontId="54" fillId="0" borderId="41" xfId="0" applyNumberFormat="1" applyFont="1" applyBorder="1"/>
    <xf numFmtId="168" fontId="54" fillId="0" borderId="0" xfId="0" applyNumberFormat="1" applyFont="1"/>
    <xf numFmtId="0" fontId="58" fillId="0" borderId="6" xfId="0" applyFont="1" applyBorder="1"/>
    <xf numFmtId="3" fontId="54" fillId="0" borderId="41" xfId="0" applyNumberFormat="1" applyFont="1" applyBorder="1"/>
    <xf numFmtId="0" fontId="59" fillId="0" borderId="6" xfId="0" applyFont="1" applyBorder="1"/>
    <xf numFmtId="164" fontId="54" fillId="0" borderId="41" xfId="0" applyNumberFormat="1" applyFont="1" applyBorder="1"/>
    <xf numFmtId="164" fontId="54" fillId="0" borderId="0" xfId="0" applyNumberFormat="1" applyFont="1"/>
    <xf numFmtId="0" fontId="60" fillId="0" borderId="6" xfId="0" applyFont="1" applyBorder="1"/>
    <xf numFmtId="164" fontId="59" fillId="0" borderId="44" xfId="0" applyNumberFormat="1" applyFont="1" applyBorder="1"/>
    <xf numFmtId="164" fontId="59" fillId="0" borderId="9" xfId="0" applyNumberFormat="1" applyFont="1" applyBorder="1"/>
    <xf numFmtId="164" fontId="59" fillId="0" borderId="60" xfId="0" applyNumberFormat="1" applyFont="1" applyBorder="1"/>
    <xf numFmtId="164" fontId="59" fillId="0" borderId="61" xfId="0" applyNumberFormat="1" applyFont="1" applyBorder="1"/>
    <xf numFmtId="164" fontId="59" fillId="0" borderId="53" xfId="0" applyNumberFormat="1" applyFont="1" applyBorder="1"/>
    <xf numFmtId="0" fontId="54" fillId="0" borderId="8" xfId="0" applyFont="1" applyBorder="1"/>
    <xf numFmtId="0" fontId="54" fillId="0" borderId="42" xfId="0" applyFont="1" applyBorder="1"/>
    <xf numFmtId="0" fontId="54" fillId="0" borderId="7"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41"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164" fontId="1" fillId="7" borderId="1" xfId="0" applyNumberFormat="1" applyFont="1" applyFill="1" applyBorder="1" applyAlignment="1">
      <alignment horizontal="center" vertical="center"/>
    </xf>
    <xf numFmtId="0" fontId="19" fillId="8" borderId="33" xfId="0" applyFont="1" applyFill="1" applyBorder="1" applyAlignment="1">
      <alignment horizontal="center" vertical="center"/>
    </xf>
    <xf numFmtId="0" fontId="2" fillId="0" borderId="34" xfId="0" applyFont="1" applyBorder="1"/>
    <xf numFmtId="0" fontId="2" fillId="0" borderId="35" xfId="0" applyFont="1" applyBorder="1"/>
    <xf numFmtId="0" fontId="19" fillId="8" borderId="1" xfId="0" applyFont="1" applyFill="1" applyBorder="1" applyAlignment="1">
      <alignment horizontal="center" vertical="center"/>
    </xf>
    <xf numFmtId="0" fontId="24" fillId="8" borderId="1" xfId="0" applyFont="1" applyFill="1" applyBorder="1" applyAlignment="1">
      <alignment horizontal="center" vertical="center"/>
    </xf>
    <xf numFmtId="0" fontId="26" fillId="10" borderId="45" xfId="0" applyFont="1" applyFill="1" applyBorder="1" applyAlignment="1">
      <alignment horizontal="center" vertical="center"/>
    </xf>
    <xf numFmtId="0" fontId="2" fillId="0" borderId="48" xfId="0" applyFont="1" applyBorder="1"/>
    <xf numFmtId="0" fontId="5" fillId="2" borderId="46" xfId="0" applyFont="1" applyFill="1" applyBorder="1" applyAlignment="1">
      <alignment horizontal="center" vertical="center"/>
    </xf>
    <xf numFmtId="0" fontId="2" fillId="0" borderId="47" xfId="0" applyFont="1" applyBorder="1"/>
    <xf numFmtId="0" fontId="4" fillId="3" borderId="33" xfId="0" applyFont="1" applyFill="1" applyBorder="1" applyAlignment="1">
      <alignment horizontal="center" vertical="center"/>
    </xf>
    <xf numFmtId="0" fontId="32" fillId="8" borderId="33" xfId="0" applyFont="1" applyFill="1" applyBorder="1" applyAlignment="1">
      <alignment horizontal="center" vertical="center"/>
    </xf>
    <xf numFmtId="0" fontId="35" fillId="0" borderId="9" xfId="0" applyFont="1" applyBorder="1" applyAlignment="1">
      <alignment horizontal="center"/>
    </xf>
    <xf numFmtId="0" fontId="2" fillId="0" borderId="54" xfId="0" applyFont="1" applyBorder="1"/>
    <xf numFmtId="0" fontId="35" fillId="0" borderId="7" xfId="0" applyFont="1" applyBorder="1" applyAlignment="1">
      <alignment horizontal="center"/>
    </xf>
    <xf numFmtId="0" fontId="2" fillId="0" borderId="43" xfId="0" applyFont="1" applyBorder="1"/>
    <xf numFmtId="164" fontId="19" fillId="8" borderId="1" xfId="0" applyNumberFormat="1" applyFont="1" applyFill="1" applyBorder="1" applyAlignment="1">
      <alignment horizontal="center" vertical="center"/>
    </xf>
    <xf numFmtId="164" fontId="46" fillId="8" borderId="33" xfId="0" applyNumberFormat="1" applyFont="1" applyFill="1" applyBorder="1" applyAlignment="1">
      <alignment horizontal="center" vertical="center"/>
    </xf>
    <xf numFmtId="164" fontId="49" fillId="8" borderId="1" xfId="0" applyNumberFormat="1" applyFont="1" applyFill="1" applyBorder="1" applyAlignment="1">
      <alignment horizontal="center"/>
    </xf>
    <xf numFmtId="164" fontId="11" fillId="8" borderId="56" xfId="0" applyNumberFormat="1" applyFont="1" applyFill="1" applyBorder="1" applyAlignment="1">
      <alignment horizontal="center"/>
    </xf>
    <xf numFmtId="164" fontId="11" fillId="8" borderId="57" xfId="0" applyNumberFormat="1" applyFont="1" applyFill="1" applyBorder="1" applyAlignment="1">
      <alignment horizontal="center" vertical="center" textRotation="90"/>
    </xf>
    <xf numFmtId="0" fontId="2" fillId="0" borderId="58" xfId="0" applyFont="1" applyBorder="1"/>
    <xf numFmtId="0" fontId="2" fillId="0" borderId="59" xfId="0" applyFont="1" applyBorder="1"/>
    <xf numFmtId="43" fontId="1" fillId="2" borderId="1" xfId="0" applyNumberFormat="1" applyFont="1" applyFill="1" applyBorder="1" applyAlignment="1">
      <alignment horizontal="center" vertical="center"/>
    </xf>
    <xf numFmtId="43" fontId="1" fillId="7" borderId="1" xfId="0" applyNumberFormat="1" applyFont="1" applyFill="1" applyBorder="1" applyAlignment="1">
      <alignment horizontal="center" vertical="center"/>
    </xf>
    <xf numFmtId="164" fontId="19" fillId="8" borderId="12" xfId="0" applyNumberFormat="1" applyFont="1" applyFill="1" applyBorder="1" applyAlignment="1">
      <alignment horizontal="center" vertical="center"/>
    </xf>
    <xf numFmtId="164" fontId="19" fillId="8" borderId="5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 Gross profit </c:v>
          </c:tx>
          <c:spPr>
            <a:solidFill>
              <a:schemeClr val="accent2"/>
            </a:solidFill>
            <a:ln cmpd="sng">
              <a:solidFill>
                <a:srgbClr val="000000"/>
              </a:solidFill>
            </a:ln>
          </c:spPr>
          <c:invertIfNegative val="1"/>
          <c:cat>
            <c:numRef>
              <c:f>IS!$B$2:$H$2</c:f>
              <c:numCache>
                <c:formatCode>_(* #,##0_);_(* \(#,##0\);_(* "-"_);_(@_)</c:formatCode>
                <c:ptCount val="7"/>
                <c:pt idx="0">
                  <c:v>2019</c:v>
                </c:pt>
                <c:pt idx="1">
                  <c:v>2020</c:v>
                </c:pt>
                <c:pt idx="2">
                  <c:v>2021</c:v>
                </c:pt>
                <c:pt idx="3">
                  <c:v>2022</c:v>
                </c:pt>
                <c:pt idx="4">
                  <c:v>2023</c:v>
                </c:pt>
                <c:pt idx="5">
                  <c:v>2024</c:v>
                </c:pt>
                <c:pt idx="6">
                  <c:v>2025</c:v>
                </c:pt>
              </c:numCache>
            </c:numRef>
          </c:cat>
          <c:val>
            <c:numRef>
              <c:f>IS!$B$5:$H$5</c:f>
              <c:numCache>
                <c:formatCode>_(* #,##0_);_(* \(#,##0\);_(* "-"_);_(@_)</c:formatCode>
                <c:ptCount val="7"/>
                <c:pt idx="0">
                  <c:v>11263256</c:v>
                </c:pt>
                <c:pt idx="1">
                  <c:v>11012389</c:v>
                </c:pt>
                <c:pt idx="2">
                  <c:v>10506410</c:v>
                </c:pt>
                <c:pt idx="3">
                  <c:v>12377783</c:v>
                </c:pt>
                <c:pt idx="4">
                  <c:v>23182851</c:v>
                </c:pt>
                <c:pt idx="5">
                  <c:v>27066814</c:v>
                </c:pt>
                <c:pt idx="6">
                  <c:v>29576226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0F-445D-B17F-12FF16CFFA80}"/>
            </c:ext>
          </c:extLst>
        </c:ser>
        <c:ser>
          <c:idx val="1"/>
          <c:order val="1"/>
          <c:tx>
            <c:v> Income before Tax (EBT) </c:v>
          </c:tx>
          <c:spPr>
            <a:solidFill>
              <a:schemeClr val="accent2"/>
            </a:solidFill>
            <a:ln cmpd="sng">
              <a:solidFill>
                <a:srgbClr val="000000"/>
              </a:solidFill>
            </a:ln>
          </c:spPr>
          <c:invertIfNegative val="1"/>
          <c:cat>
            <c:numRef>
              <c:f>IS!$B$2:$H$2</c:f>
              <c:numCache>
                <c:formatCode>_(* #,##0_);_(* \(#,##0\);_(* "-"_);_(@_)</c:formatCode>
                <c:ptCount val="7"/>
                <c:pt idx="0">
                  <c:v>2019</c:v>
                </c:pt>
                <c:pt idx="1">
                  <c:v>2020</c:v>
                </c:pt>
                <c:pt idx="2">
                  <c:v>2021</c:v>
                </c:pt>
                <c:pt idx="3">
                  <c:v>2022</c:v>
                </c:pt>
                <c:pt idx="4">
                  <c:v>2023</c:v>
                </c:pt>
                <c:pt idx="5">
                  <c:v>2024</c:v>
                </c:pt>
                <c:pt idx="6">
                  <c:v>2025</c:v>
                </c:pt>
              </c:numCache>
            </c:numRef>
          </c:cat>
          <c:val>
            <c:numRef>
              <c:f>IS!$B$19:$H$19</c:f>
              <c:numCache>
                <c:formatCode>_(* #,##0_);_(* \(#,##0\);_(* "-"_);_(@_)</c:formatCode>
                <c:ptCount val="7"/>
                <c:pt idx="0">
                  <c:v>5215873</c:v>
                </c:pt>
                <c:pt idx="1">
                  <c:v>4494240</c:v>
                </c:pt>
                <c:pt idx="2">
                  <c:v>4284507</c:v>
                </c:pt>
                <c:pt idx="3">
                  <c:v>5885176</c:v>
                </c:pt>
                <c:pt idx="4">
                  <c:v>11260903</c:v>
                </c:pt>
                <c:pt idx="5">
                  <c:v>14023293</c:v>
                </c:pt>
                <c:pt idx="6">
                  <c:v>16036224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30F-445D-B17F-12FF16CFFA80}"/>
            </c:ext>
          </c:extLst>
        </c:ser>
        <c:ser>
          <c:idx val="2"/>
          <c:order val="2"/>
          <c:tx>
            <c:v> Net Income </c:v>
          </c:tx>
          <c:spPr>
            <a:solidFill>
              <a:schemeClr val="accent2"/>
            </a:solidFill>
            <a:ln cmpd="sng">
              <a:solidFill>
                <a:srgbClr val="000000"/>
              </a:solidFill>
            </a:ln>
          </c:spPr>
          <c:invertIfNegative val="1"/>
          <c:cat>
            <c:numRef>
              <c:f>IS!$B$2:$H$2</c:f>
              <c:numCache>
                <c:formatCode>_(* #,##0_);_(* \(#,##0\);_(* "-"_);_(@_)</c:formatCode>
                <c:ptCount val="7"/>
                <c:pt idx="0">
                  <c:v>2019</c:v>
                </c:pt>
                <c:pt idx="1">
                  <c:v>2020</c:v>
                </c:pt>
                <c:pt idx="2">
                  <c:v>2021</c:v>
                </c:pt>
                <c:pt idx="3">
                  <c:v>2022</c:v>
                </c:pt>
                <c:pt idx="4">
                  <c:v>2023</c:v>
                </c:pt>
                <c:pt idx="5">
                  <c:v>2024</c:v>
                </c:pt>
                <c:pt idx="6">
                  <c:v>2025</c:v>
                </c:pt>
              </c:numCache>
            </c:numRef>
          </c:cat>
          <c:val>
            <c:numRef>
              <c:f>IS!$B$21:$H$21</c:f>
              <c:numCache>
                <c:formatCode>_(* #,##0_);_(* \(#,##0\);_(* "-"_);_(@_)</c:formatCode>
                <c:ptCount val="7"/>
                <c:pt idx="0">
                  <c:v>3065263</c:v>
                </c:pt>
                <c:pt idx="1">
                  <c:v>2816263</c:v>
                </c:pt>
                <c:pt idx="2">
                  <c:v>2434497</c:v>
                </c:pt>
                <c:pt idx="3">
                  <c:v>3821798</c:v>
                </c:pt>
                <c:pt idx="4">
                  <c:v>6746104</c:v>
                </c:pt>
                <c:pt idx="5">
                  <c:v>7975609</c:v>
                </c:pt>
                <c:pt idx="6">
                  <c:v>9657662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30F-445D-B17F-12FF16CFFA80}"/>
            </c:ext>
          </c:extLst>
        </c:ser>
        <c:dLbls>
          <c:showLegendKey val="0"/>
          <c:showVal val="0"/>
          <c:showCatName val="0"/>
          <c:showSerName val="0"/>
          <c:showPercent val="0"/>
          <c:showBubbleSize val="0"/>
        </c:dLbls>
        <c:gapWidth val="150"/>
        <c:axId val="1908478646"/>
        <c:axId val="1069150655"/>
      </c:barChart>
      <c:catAx>
        <c:axId val="1908478646"/>
        <c:scaling>
          <c:orientation val="minMax"/>
        </c:scaling>
        <c:delete val="0"/>
        <c:axPos val="b"/>
        <c:title>
          <c:tx>
            <c:rich>
              <a:bodyPr/>
              <a:lstStyle/>
              <a:p>
                <a:pPr lvl="0">
                  <a:defRPr b="0">
                    <a:solidFill>
                      <a:srgbClr val="000000"/>
                    </a:solidFill>
                    <a:latin typeface="+mn-lt"/>
                  </a:defRPr>
                </a:pPr>
                <a:endParaRPr lang="en-US"/>
              </a:p>
            </c:rich>
          </c:tx>
          <c:overlay val="0"/>
        </c:title>
        <c:numFmt formatCode="_(* #,##0_);_(* \(#,##0\);_(* &quot;-&quot;_);_(@_)" sourceLinked="1"/>
        <c:majorTickMark val="none"/>
        <c:minorTickMark val="none"/>
        <c:tickLblPos val="nextTo"/>
        <c:txPr>
          <a:bodyPr/>
          <a:lstStyle/>
          <a:p>
            <a:pPr lvl="0">
              <a:defRPr sz="900" b="0" i="0">
                <a:solidFill>
                  <a:srgbClr val="000000"/>
                </a:solidFill>
                <a:latin typeface="+mn-lt"/>
              </a:defRPr>
            </a:pPr>
            <a:endParaRPr lang="en-US"/>
          </a:p>
        </c:txPr>
        <c:crossAx val="1069150655"/>
        <c:crosses val="autoZero"/>
        <c:auto val="1"/>
        <c:lblAlgn val="ctr"/>
        <c:lblOffset val="100"/>
        <c:noMultiLvlLbl val="1"/>
      </c:catAx>
      <c:valAx>
        <c:axId val="10691506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 #,##0_);_(* \(#,##0\);_(*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90847864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13</xdr:col>
      <xdr:colOff>304800</xdr:colOff>
      <xdr:row>2</xdr:row>
      <xdr:rowOff>171450</xdr:rowOff>
    </xdr:from>
    <xdr:ext cx="4972050" cy="2714625"/>
    <xdr:graphicFrame macro="">
      <xdr:nvGraphicFramePr>
        <xdr:cNvPr id="1057056862" name="Chart 1">
          <a:extLst>
            <a:ext uri="{FF2B5EF4-FFF2-40B4-BE49-F238E27FC236}">
              <a16:creationId xmlns:a16="http://schemas.microsoft.com/office/drawing/2014/main" id="{00000000-0008-0000-0200-00005E680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640625" defaultRowHeight="15" customHeight="1"/>
  <cols>
    <col min="1" max="1" width="55.109375" customWidth="1"/>
    <col min="2" max="2" width="11.77734375" customWidth="1"/>
    <col min="3" max="3" width="12.33203125" customWidth="1"/>
    <col min="4" max="5" width="11.77734375" customWidth="1"/>
    <col min="6" max="6" width="12.21875" customWidth="1"/>
    <col min="7" max="12" width="12.77734375" customWidth="1"/>
    <col min="13" max="26" width="8.6640625" customWidth="1"/>
  </cols>
  <sheetData>
    <row r="1" spans="1:26" ht="33" customHeight="1">
      <c r="A1" s="403" t="s">
        <v>0</v>
      </c>
      <c r="B1" s="404"/>
      <c r="C1" s="404"/>
      <c r="D1" s="404"/>
      <c r="E1" s="404"/>
      <c r="F1" s="404"/>
      <c r="G1" s="404"/>
      <c r="H1" s="404"/>
      <c r="I1" s="404"/>
      <c r="J1" s="404"/>
      <c r="K1" s="404"/>
      <c r="L1" s="405"/>
      <c r="M1" s="1"/>
    </row>
    <row r="2" spans="1:26" ht="24" customHeight="1">
      <c r="A2" s="2"/>
      <c r="B2" s="2">
        <v>2020</v>
      </c>
      <c r="C2" s="2">
        <v>2021</v>
      </c>
      <c r="D2" s="2">
        <v>2022</v>
      </c>
      <c r="E2" s="2">
        <v>2023</v>
      </c>
      <c r="F2" s="2">
        <v>2024</v>
      </c>
      <c r="G2" s="2">
        <v>2025</v>
      </c>
      <c r="H2" s="3">
        <v>2026</v>
      </c>
      <c r="I2" s="4">
        <v>2027</v>
      </c>
      <c r="J2" s="4">
        <v>2028</v>
      </c>
      <c r="K2" s="4">
        <v>2029</v>
      </c>
      <c r="L2" s="4">
        <v>2030</v>
      </c>
      <c r="M2" s="5"/>
      <c r="N2" s="5"/>
      <c r="O2" s="5"/>
      <c r="P2" s="5"/>
      <c r="Q2" s="5"/>
      <c r="R2" s="5"/>
      <c r="S2" s="5"/>
      <c r="T2" s="5"/>
      <c r="U2" s="5"/>
      <c r="V2" s="5"/>
      <c r="W2" s="5"/>
      <c r="X2" s="5"/>
      <c r="Y2" s="5"/>
      <c r="Z2" s="5"/>
    </row>
    <row r="3" spans="1:26" ht="14.25" customHeight="1">
      <c r="A3" s="6" t="s">
        <v>1</v>
      </c>
      <c r="B3" s="7"/>
      <c r="C3" s="7"/>
      <c r="D3" s="7"/>
      <c r="E3" s="7"/>
      <c r="F3" s="8"/>
      <c r="G3" s="8"/>
      <c r="H3" s="9"/>
      <c r="I3" s="8"/>
      <c r="J3" s="8"/>
      <c r="K3" s="8"/>
      <c r="L3" s="8"/>
    </row>
    <row r="4" spans="1:26" ht="18" customHeight="1">
      <c r="A4" s="10" t="s">
        <v>2</v>
      </c>
      <c r="B4" s="8">
        <f>IS!C3</f>
        <v>49215361</v>
      </c>
      <c r="C4" s="8">
        <f>IS!D3</f>
        <v>51172154</v>
      </c>
      <c r="D4" s="8">
        <f>IS!E3</f>
        <v>60211220</v>
      </c>
      <c r="E4" s="8">
        <f>IS!F3</f>
        <v>96938522</v>
      </c>
      <c r="F4" s="8">
        <f>IS!G3</f>
        <v>111930270</v>
      </c>
      <c r="G4" s="8">
        <f>IS!H3</f>
        <v>125172015</v>
      </c>
      <c r="H4" s="9">
        <f>IS!I3</f>
        <v>140360013.12</v>
      </c>
      <c r="I4" s="8">
        <f>IS!J3</f>
        <v>157395674.46240002</v>
      </c>
      <c r="J4" s="8">
        <f>IS!K3</f>
        <v>176504484.13108805</v>
      </c>
      <c r="K4" s="8">
        <f>IS!L3</f>
        <v>197939550.26999861</v>
      </c>
      <c r="L4" s="8">
        <f>IS!M3</f>
        <v>221985003.55205548</v>
      </c>
    </row>
    <row r="5" spans="1:26" ht="18" customHeight="1">
      <c r="A5" s="10" t="s">
        <v>3</v>
      </c>
      <c r="B5" s="8">
        <f>IS!$C5</f>
        <v>11012389</v>
      </c>
      <c r="C5" s="8">
        <f>IS!$D5</f>
        <v>10506410</v>
      </c>
      <c r="D5" s="8">
        <f>IS!$E5</f>
        <v>12377783</v>
      </c>
      <c r="E5" s="8">
        <f>IS!$F5</f>
        <v>23182851</v>
      </c>
      <c r="F5" s="11">
        <v>530383</v>
      </c>
      <c r="G5" s="8">
        <f>IS!$B5</f>
        <v>11263256</v>
      </c>
      <c r="H5" s="9">
        <f>IS!I6</f>
        <v>421080.03936</v>
      </c>
      <c r="I5" s="8">
        <f>IS!J6</f>
        <v>472187.02338720008</v>
      </c>
      <c r="J5" s="8">
        <f>IS!K6</f>
        <v>529513.45239326416</v>
      </c>
      <c r="K5" s="8">
        <f>IS!L6</f>
        <v>593818.65080999583</v>
      </c>
      <c r="L5" s="8">
        <f>IS!M6</f>
        <v>665955.01065616647</v>
      </c>
    </row>
    <row r="6" spans="1:26" ht="18" customHeight="1">
      <c r="A6" s="12" t="s">
        <v>4</v>
      </c>
      <c r="B6" s="13">
        <v>155609</v>
      </c>
      <c r="C6" s="13" t="s">
        <v>5</v>
      </c>
      <c r="D6" s="13">
        <v>160230</v>
      </c>
      <c r="E6" s="13">
        <v>163100</v>
      </c>
      <c r="F6" s="13">
        <v>5000</v>
      </c>
      <c r="G6" s="13">
        <v>350172</v>
      </c>
      <c r="H6" s="14">
        <f>IS!I7</f>
        <v>75677</v>
      </c>
      <c r="I6" s="13">
        <f>IS!J7</f>
        <v>75677</v>
      </c>
      <c r="J6" s="13">
        <f>IS!K7</f>
        <v>75677</v>
      </c>
      <c r="K6" s="13">
        <f>IS!L7</f>
        <v>75677</v>
      </c>
      <c r="L6" s="13">
        <f>IS!M7</f>
        <v>75677</v>
      </c>
    </row>
    <row r="7" spans="1:26" ht="18" customHeight="1">
      <c r="B7" s="8">
        <v>49524307</v>
      </c>
      <c r="C7" s="8" t="s">
        <v>6</v>
      </c>
      <c r="D7" s="8">
        <v>60565372</v>
      </c>
      <c r="E7" s="8">
        <v>97406036</v>
      </c>
      <c r="F7" s="8">
        <v>112465653</v>
      </c>
      <c r="G7" s="8">
        <f t="shared" ref="G7:L7" si="0">SUM(G4+G5+G6)</f>
        <v>136785443</v>
      </c>
      <c r="H7" s="9">
        <f t="shared" si="0"/>
        <v>140856770.15935999</v>
      </c>
      <c r="I7" s="8">
        <f t="shared" si="0"/>
        <v>157943538.48578721</v>
      </c>
      <c r="J7" s="8">
        <f t="shared" si="0"/>
        <v>177109674.58348131</v>
      </c>
      <c r="K7" s="8">
        <f t="shared" si="0"/>
        <v>198609045.92080861</v>
      </c>
      <c r="L7" s="8">
        <f t="shared" si="0"/>
        <v>222726635.56271166</v>
      </c>
    </row>
    <row r="8" spans="1:26" ht="18" customHeight="1">
      <c r="A8" s="10" t="s">
        <v>7</v>
      </c>
      <c r="B8" s="8">
        <v>-43550492</v>
      </c>
      <c r="C8" s="8" t="s">
        <v>8</v>
      </c>
      <c r="D8" s="8">
        <v>-54389494</v>
      </c>
      <c r="E8" s="8">
        <v>-83587984</v>
      </c>
      <c r="F8" s="8">
        <v>-97099425</v>
      </c>
      <c r="G8" s="8">
        <f t="shared" ref="G8:L8" si="1">G10-G7</f>
        <v>-120186589</v>
      </c>
      <c r="H8" s="9">
        <f t="shared" si="1"/>
        <v>-121535830.18589002</v>
      </c>
      <c r="I8" s="8">
        <f t="shared" si="1"/>
        <v>-136155321.40213853</v>
      </c>
      <c r="J8" s="8">
        <f t="shared" si="1"/>
        <v>-152697083.2740705</v>
      </c>
      <c r="K8" s="8">
        <f t="shared" si="1"/>
        <v>-171385393.55131662</v>
      </c>
      <c r="L8" s="8">
        <f t="shared" si="1"/>
        <v>-192341680.61746022</v>
      </c>
    </row>
    <row r="9" spans="1:26" ht="18" customHeight="1">
      <c r="A9" s="12" t="s">
        <v>9</v>
      </c>
      <c r="B9" s="13">
        <v>-740315</v>
      </c>
      <c r="C9" s="13" t="s">
        <v>10</v>
      </c>
      <c r="D9" s="13">
        <v>-463578</v>
      </c>
      <c r="E9" s="13">
        <v>-353229</v>
      </c>
      <c r="F9" s="13">
        <v>291063</v>
      </c>
      <c r="G9" s="8" t="s">
        <v>5</v>
      </c>
      <c r="H9" s="14">
        <f>IS!I12</f>
        <v>0</v>
      </c>
      <c r="I9" s="13">
        <f>IS!J12</f>
        <v>0</v>
      </c>
      <c r="J9" s="13">
        <f>IS!K12</f>
        <v>0</v>
      </c>
      <c r="K9" s="13">
        <f>IS!L12</f>
        <v>0</v>
      </c>
      <c r="L9" s="13">
        <f>IS!M12</f>
        <v>0</v>
      </c>
    </row>
    <row r="10" spans="1:26" ht="18" customHeight="1">
      <c r="A10" s="15" t="s">
        <v>11</v>
      </c>
      <c r="B10" s="16">
        <v>5233500</v>
      </c>
      <c r="C10" s="16" t="s">
        <v>12</v>
      </c>
      <c r="D10" s="16">
        <v>5712300</v>
      </c>
      <c r="E10" s="16">
        <v>13464823</v>
      </c>
      <c r="F10" s="16">
        <v>15657291</v>
      </c>
      <c r="G10" s="17">
        <v>16598854</v>
      </c>
      <c r="H10" s="18">
        <f>IS!I15</f>
        <v>19320939.97346998</v>
      </c>
      <c r="I10" s="16">
        <f>IS!J15</f>
        <v>21788217.083648693</v>
      </c>
      <c r="J10" s="16">
        <f>IS!K15</f>
        <v>24412591.309410822</v>
      </c>
      <c r="K10" s="16">
        <f>IS!L15</f>
        <v>27223652.369491987</v>
      </c>
      <c r="L10" s="16">
        <f>IS!M15</f>
        <v>30384954.945251435</v>
      </c>
      <c r="M10" s="15"/>
      <c r="N10" s="15"/>
      <c r="O10" s="15"/>
      <c r="P10" s="15"/>
      <c r="Q10" s="15"/>
      <c r="R10" s="15"/>
      <c r="S10" s="15"/>
      <c r="T10" s="15"/>
      <c r="U10" s="15"/>
      <c r="V10" s="15"/>
      <c r="W10" s="15"/>
      <c r="X10" s="15"/>
      <c r="Y10" s="15"/>
      <c r="Z10" s="15"/>
    </row>
    <row r="11" spans="1:26" ht="18" customHeight="1">
      <c r="A11" s="12" t="s">
        <v>13</v>
      </c>
      <c r="B11" s="13">
        <v>-739260</v>
      </c>
      <c r="C11" s="13" t="s">
        <v>14</v>
      </c>
      <c r="D11" s="13">
        <v>172876</v>
      </c>
      <c r="E11" s="13">
        <v>-2203920</v>
      </c>
      <c r="F11" s="13">
        <v>-1633998</v>
      </c>
      <c r="G11" s="13">
        <v>-562630</v>
      </c>
      <c r="H11" s="14">
        <f>IS!I17</f>
        <v>-1077448.6100000001</v>
      </c>
      <c r="I11" s="13">
        <f>IS!J17</f>
        <v>-883951.21520292351</v>
      </c>
      <c r="J11" s="13">
        <f>IS!K17</f>
        <v>-647652.19667673367</v>
      </c>
      <c r="K11" s="13">
        <f>IS!L17</f>
        <v>-359083.83525255066</v>
      </c>
      <c r="L11" s="13">
        <f>IS!M17</f>
        <v>-6684.1522813383117</v>
      </c>
    </row>
    <row r="12" spans="1:26" ht="18" customHeight="1">
      <c r="A12" s="15" t="s">
        <v>15</v>
      </c>
      <c r="B12" s="16">
        <v>4494240</v>
      </c>
      <c r="C12" s="16" t="s">
        <v>16</v>
      </c>
      <c r="D12" s="16">
        <v>5885176</v>
      </c>
      <c r="E12" s="16">
        <v>11260903</v>
      </c>
      <c r="F12" s="16">
        <v>14023293</v>
      </c>
      <c r="G12" s="16">
        <v>16036224</v>
      </c>
      <c r="H12" s="18">
        <f>IS!I19</f>
        <v>19368016.335264195</v>
      </c>
      <c r="I12" s="16">
        <f>IS!J19</f>
        <v>22165275.77041864</v>
      </c>
      <c r="J12" s="16">
        <f>IS!K19</f>
        <v>25179043.426541552</v>
      </c>
      <c r="K12" s="16">
        <f>IS!L19</f>
        <v>28450404.572841324</v>
      </c>
      <c r="L12" s="16">
        <f>IS!M19</f>
        <v>32156752.24441237</v>
      </c>
      <c r="M12" s="15"/>
      <c r="N12" s="15"/>
      <c r="O12" s="15"/>
      <c r="P12" s="15"/>
      <c r="Q12" s="15"/>
      <c r="R12" s="15"/>
      <c r="S12" s="15"/>
      <c r="T12" s="15"/>
      <c r="U12" s="15"/>
      <c r="V12" s="15"/>
      <c r="W12" s="15"/>
      <c r="X12" s="15"/>
      <c r="Y12" s="15"/>
      <c r="Z12" s="15"/>
    </row>
    <row r="13" spans="1:26" ht="18" customHeight="1">
      <c r="A13" s="12" t="s">
        <v>17</v>
      </c>
      <c r="B13" s="13">
        <v>-1677977</v>
      </c>
      <c r="C13" s="13" t="s">
        <v>18</v>
      </c>
      <c r="D13" s="13">
        <v>-2063378</v>
      </c>
      <c r="E13" s="13">
        <v>-4514799</v>
      </c>
      <c r="F13" s="13">
        <v>-6047684</v>
      </c>
      <c r="G13" s="8">
        <v>-6378562</v>
      </c>
      <c r="H13" s="9">
        <f>IS!I20</f>
        <v>-7940540.7065893682</v>
      </c>
      <c r="I13" s="8">
        <f>IS!J20</f>
        <v>-9154270.9935222194</v>
      </c>
      <c r="J13" s="8">
        <f>IS!K20</f>
        <v>-10245707.619808972</v>
      </c>
      <c r="K13" s="8">
        <f>IS!L20</f>
        <v>-11663686.943227325</v>
      </c>
      <c r="L13" s="8">
        <f>IS!M20</f>
        <v>-13182984.622007351</v>
      </c>
    </row>
    <row r="14" spans="1:26" ht="18" customHeight="1">
      <c r="A14" s="19" t="s">
        <v>19</v>
      </c>
      <c r="B14" s="20">
        <v>2816263</v>
      </c>
      <c r="C14" s="20" t="s">
        <v>20</v>
      </c>
      <c r="D14" s="20">
        <v>3821798</v>
      </c>
      <c r="E14" s="20">
        <v>6746104</v>
      </c>
      <c r="F14" s="20">
        <v>7975609</v>
      </c>
      <c r="G14" s="20">
        <v>9657662</v>
      </c>
      <c r="H14" s="21">
        <f>IS!I21</f>
        <v>11427475.628674828</v>
      </c>
      <c r="I14" s="20">
        <f>IS!J21</f>
        <v>13011004.776896421</v>
      </c>
      <c r="J14" s="20">
        <f>IS!K21</f>
        <v>14933335.80673258</v>
      </c>
      <c r="K14" s="20">
        <f>IS!L21</f>
        <v>16786717.629613999</v>
      </c>
      <c r="L14" s="20">
        <f>IS!M21</f>
        <v>18973767.622405019</v>
      </c>
    </row>
    <row r="15" spans="1:26" ht="14.25" customHeight="1">
      <c r="B15" s="7"/>
      <c r="C15" s="7"/>
      <c r="D15" s="7"/>
      <c r="E15" s="7"/>
      <c r="F15" s="7"/>
      <c r="H15" s="22"/>
    </row>
    <row r="16" spans="1:26" ht="14.25" customHeight="1">
      <c r="B16" s="7"/>
      <c r="C16" s="7"/>
      <c r="D16" s="7"/>
      <c r="E16" s="7"/>
      <c r="F16" s="7"/>
      <c r="H16" s="22"/>
    </row>
    <row r="17" spans="2:8" ht="14.25" customHeight="1">
      <c r="B17" s="7"/>
      <c r="C17" s="7"/>
      <c r="D17" s="7"/>
      <c r="E17" s="7"/>
      <c r="F17" s="7"/>
      <c r="H17" s="22"/>
    </row>
    <row r="18" spans="2:8" ht="14.25" customHeight="1">
      <c r="B18" s="7"/>
      <c r="C18" s="7"/>
      <c r="D18" s="7"/>
      <c r="E18" s="7"/>
      <c r="F18" s="7"/>
      <c r="H18" s="22"/>
    </row>
    <row r="19" spans="2:8" ht="14.25" customHeight="1">
      <c r="B19" s="7"/>
      <c r="C19" s="7"/>
      <c r="D19" s="7"/>
      <c r="E19" s="7"/>
      <c r="F19" s="7"/>
      <c r="H19" s="22"/>
    </row>
    <row r="20" spans="2:8" ht="14.25" customHeight="1">
      <c r="B20" s="7"/>
      <c r="C20" s="7"/>
      <c r="D20" s="7"/>
      <c r="E20" s="7"/>
      <c r="F20" s="7"/>
      <c r="H20" s="22"/>
    </row>
    <row r="21" spans="2:8" ht="14.25" customHeight="1">
      <c r="B21" s="7"/>
      <c r="C21" s="7"/>
      <c r="D21" s="7"/>
      <c r="E21" s="7"/>
      <c r="F21" s="7"/>
      <c r="H21" s="22"/>
    </row>
    <row r="22" spans="2:8" ht="14.25" customHeight="1">
      <c r="B22" s="7"/>
      <c r="C22" s="7"/>
      <c r="D22" s="7"/>
      <c r="E22" s="7"/>
      <c r="F22" s="7"/>
      <c r="H22" s="22"/>
    </row>
    <row r="23" spans="2:8" ht="14.25" customHeight="1">
      <c r="B23" s="7"/>
      <c r="C23" s="7"/>
      <c r="D23" s="7"/>
      <c r="E23" s="7"/>
      <c r="F23" s="7"/>
      <c r="H23" s="22"/>
    </row>
    <row r="24" spans="2:8" ht="14.25" customHeight="1">
      <c r="B24" s="7"/>
      <c r="C24" s="7"/>
      <c r="D24" s="7"/>
      <c r="E24" s="7"/>
      <c r="F24" s="7"/>
      <c r="H24" s="22"/>
    </row>
    <row r="25" spans="2:8" ht="14.25" customHeight="1">
      <c r="B25" s="7"/>
      <c r="C25" s="7"/>
      <c r="D25" s="7"/>
      <c r="E25" s="7"/>
      <c r="F25" s="7"/>
      <c r="H25" s="22"/>
    </row>
    <row r="26" spans="2:8" ht="14.25" customHeight="1">
      <c r="B26" s="7"/>
      <c r="C26" s="7"/>
      <c r="D26" s="7"/>
      <c r="E26" s="7"/>
      <c r="F26" s="7"/>
      <c r="H26" s="22"/>
    </row>
    <row r="27" spans="2:8" ht="14.25" customHeight="1">
      <c r="B27" s="7"/>
      <c r="C27" s="7"/>
      <c r="D27" s="7"/>
      <c r="E27" s="7"/>
      <c r="F27" s="7"/>
      <c r="H27" s="22"/>
    </row>
    <row r="28" spans="2:8" ht="14.25" customHeight="1">
      <c r="B28" s="7"/>
      <c r="C28" s="7"/>
      <c r="D28" s="7"/>
      <c r="E28" s="7"/>
      <c r="F28" s="7"/>
      <c r="H28" s="22"/>
    </row>
    <row r="29" spans="2:8" ht="14.25" customHeight="1">
      <c r="B29" s="7"/>
      <c r="C29" s="7"/>
      <c r="D29" s="7"/>
      <c r="E29" s="7"/>
      <c r="F29" s="7"/>
      <c r="H29" s="22"/>
    </row>
    <row r="30" spans="2:8" ht="14.25" customHeight="1">
      <c r="B30" s="7"/>
      <c r="C30" s="7"/>
      <c r="D30" s="7"/>
      <c r="E30" s="7"/>
      <c r="F30" s="7"/>
      <c r="H30" s="22"/>
    </row>
    <row r="31" spans="2:8" ht="14.25" customHeight="1">
      <c r="B31" s="7"/>
      <c r="C31" s="7"/>
      <c r="D31" s="7"/>
      <c r="E31" s="7"/>
      <c r="F31" s="7"/>
      <c r="H31" s="22"/>
    </row>
    <row r="32" spans="2:8" ht="14.25" customHeight="1">
      <c r="B32" s="7"/>
      <c r="C32" s="7"/>
      <c r="D32" s="7"/>
      <c r="E32" s="7"/>
      <c r="F32" s="7"/>
      <c r="H32" s="22"/>
    </row>
    <row r="33" spans="2:8" ht="14.25" customHeight="1">
      <c r="B33" s="7"/>
      <c r="C33" s="7"/>
      <c r="D33" s="7"/>
      <c r="E33" s="7"/>
      <c r="F33" s="7"/>
      <c r="H33" s="22"/>
    </row>
    <row r="34" spans="2:8" ht="14.25" customHeight="1">
      <c r="B34" s="7"/>
      <c r="C34" s="7"/>
      <c r="D34" s="7"/>
      <c r="E34" s="7"/>
      <c r="F34" s="7"/>
      <c r="H34" s="22"/>
    </row>
    <row r="35" spans="2:8" ht="14.25" customHeight="1">
      <c r="B35" s="7"/>
      <c r="C35" s="7"/>
      <c r="D35" s="7"/>
      <c r="E35" s="7"/>
      <c r="F35" s="7"/>
      <c r="H35" s="22"/>
    </row>
    <row r="36" spans="2:8" ht="14.25" customHeight="1">
      <c r="B36" s="7"/>
      <c r="C36" s="7"/>
      <c r="D36" s="7"/>
      <c r="E36" s="7"/>
      <c r="F36" s="7"/>
      <c r="H36" s="22"/>
    </row>
    <row r="37" spans="2:8" ht="14.25" customHeight="1">
      <c r="B37" s="7"/>
      <c r="C37" s="7"/>
      <c r="D37" s="7"/>
      <c r="E37" s="7"/>
      <c r="F37" s="7"/>
      <c r="H37" s="22"/>
    </row>
    <row r="38" spans="2:8" ht="14.25" customHeight="1">
      <c r="B38" s="7"/>
      <c r="C38" s="7"/>
      <c r="D38" s="7"/>
      <c r="E38" s="7"/>
      <c r="F38" s="7"/>
      <c r="H38" s="22"/>
    </row>
    <row r="39" spans="2:8" ht="14.25" customHeight="1">
      <c r="B39" s="7"/>
      <c r="C39" s="7"/>
      <c r="D39" s="7"/>
      <c r="E39" s="7"/>
      <c r="F39" s="7"/>
      <c r="H39" s="22"/>
    </row>
    <row r="40" spans="2:8" ht="14.25" customHeight="1">
      <c r="B40" s="7"/>
      <c r="C40" s="7"/>
      <c r="D40" s="7"/>
      <c r="E40" s="7"/>
      <c r="F40" s="7"/>
      <c r="H40" s="22"/>
    </row>
    <row r="41" spans="2:8" ht="14.25" customHeight="1">
      <c r="B41" s="7"/>
      <c r="C41" s="7"/>
      <c r="D41" s="7"/>
      <c r="E41" s="7"/>
      <c r="F41" s="7"/>
      <c r="H41" s="22"/>
    </row>
    <row r="42" spans="2:8" ht="14.25" customHeight="1">
      <c r="B42" s="7"/>
      <c r="C42" s="7"/>
      <c r="D42" s="7"/>
      <c r="E42" s="7"/>
      <c r="F42" s="7"/>
      <c r="H42" s="22"/>
    </row>
    <row r="43" spans="2:8" ht="14.25" customHeight="1">
      <c r="B43" s="7"/>
      <c r="C43" s="7"/>
      <c r="D43" s="7"/>
      <c r="E43" s="7"/>
      <c r="F43" s="7"/>
      <c r="H43" s="22"/>
    </row>
    <row r="44" spans="2:8" ht="14.25" customHeight="1">
      <c r="B44" s="7"/>
      <c r="C44" s="7"/>
      <c r="D44" s="7"/>
      <c r="E44" s="7"/>
      <c r="F44" s="7"/>
      <c r="H44" s="22"/>
    </row>
    <row r="45" spans="2:8" ht="14.25" customHeight="1">
      <c r="B45" s="7"/>
      <c r="C45" s="7"/>
      <c r="D45" s="7"/>
      <c r="E45" s="7"/>
      <c r="F45" s="7"/>
      <c r="H45" s="22"/>
    </row>
    <row r="46" spans="2:8" ht="14.25" customHeight="1">
      <c r="B46" s="7"/>
      <c r="C46" s="7"/>
      <c r="D46" s="7"/>
      <c r="E46" s="7"/>
      <c r="F46" s="7"/>
      <c r="H46" s="22"/>
    </row>
    <row r="47" spans="2:8" ht="14.25" customHeight="1">
      <c r="B47" s="7"/>
      <c r="C47" s="7"/>
      <c r="D47" s="7"/>
      <c r="E47" s="7"/>
      <c r="F47" s="7"/>
      <c r="H47" s="22"/>
    </row>
    <row r="48" spans="2:8" ht="14.25" customHeight="1">
      <c r="B48" s="7"/>
      <c r="C48" s="7"/>
      <c r="D48" s="7"/>
      <c r="E48" s="7"/>
      <c r="F48" s="7"/>
      <c r="H48" s="22"/>
    </row>
    <row r="49" spans="2:8" ht="14.25" customHeight="1">
      <c r="B49" s="7"/>
      <c r="C49" s="7"/>
      <c r="D49" s="7"/>
      <c r="E49" s="7"/>
      <c r="F49" s="7"/>
      <c r="H49" s="22"/>
    </row>
    <row r="50" spans="2:8" ht="14.25" customHeight="1">
      <c r="B50" s="7"/>
      <c r="C50" s="7"/>
      <c r="D50" s="7"/>
      <c r="E50" s="7"/>
      <c r="F50" s="7"/>
      <c r="H50" s="22"/>
    </row>
    <row r="51" spans="2:8" ht="14.25" customHeight="1">
      <c r="B51" s="7"/>
      <c r="C51" s="7"/>
      <c r="D51" s="7"/>
      <c r="E51" s="7"/>
      <c r="F51" s="7"/>
      <c r="H51" s="22"/>
    </row>
    <row r="52" spans="2:8" ht="14.25" customHeight="1">
      <c r="B52" s="7"/>
      <c r="C52" s="7"/>
      <c r="D52" s="7"/>
      <c r="E52" s="7"/>
      <c r="F52" s="7"/>
      <c r="H52" s="22"/>
    </row>
    <row r="53" spans="2:8" ht="14.25" customHeight="1">
      <c r="B53" s="7"/>
      <c r="C53" s="7"/>
      <c r="D53" s="7"/>
      <c r="E53" s="7"/>
      <c r="F53" s="7"/>
      <c r="H53" s="22"/>
    </row>
    <row r="54" spans="2:8" ht="14.25" customHeight="1">
      <c r="B54" s="7"/>
      <c r="C54" s="7"/>
      <c r="D54" s="7"/>
      <c r="E54" s="7"/>
      <c r="F54" s="7"/>
      <c r="H54" s="22"/>
    </row>
    <row r="55" spans="2:8" ht="14.25" customHeight="1">
      <c r="B55" s="7"/>
      <c r="C55" s="7"/>
      <c r="D55" s="7"/>
      <c r="E55" s="7"/>
      <c r="F55" s="7"/>
      <c r="H55" s="22"/>
    </row>
    <row r="56" spans="2:8" ht="14.25" customHeight="1">
      <c r="B56" s="7"/>
      <c r="C56" s="7"/>
      <c r="D56" s="7"/>
      <c r="E56" s="7"/>
      <c r="F56" s="7"/>
      <c r="H56" s="22"/>
    </row>
    <row r="57" spans="2:8" ht="14.25" customHeight="1">
      <c r="B57" s="7"/>
      <c r="C57" s="7"/>
      <c r="D57" s="7"/>
      <c r="E57" s="7"/>
      <c r="F57" s="7"/>
      <c r="H57" s="22"/>
    </row>
    <row r="58" spans="2:8" ht="14.25" customHeight="1">
      <c r="B58" s="7"/>
      <c r="C58" s="7"/>
      <c r="D58" s="7"/>
      <c r="E58" s="7"/>
      <c r="F58" s="7"/>
      <c r="H58" s="22"/>
    </row>
    <row r="59" spans="2:8" ht="14.25" customHeight="1">
      <c r="B59" s="7"/>
      <c r="C59" s="7"/>
      <c r="D59" s="7"/>
      <c r="E59" s="7"/>
      <c r="F59" s="7"/>
      <c r="H59" s="22"/>
    </row>
    <row r="60" spans="2:8" ht="14.25" customHeight="1">
      <c r="B60" s="7"/>
      <c r="C60" s="7"/>
      <c r="D60" s="7"/>
      <c r="E60" s="7"/>
      <c r="F60" s="7"/>
      <c r="H60" s="22"/>
    </row>
    <row r="61" spans="2:8" ht="14.25" customHeight="1">
      <c r="B61" s="7"/>
      <c r="C61" s="7"/>
      <c r="D61" s="7"/>
      <c r="E61" s="7"/>
      <c r="F61" s="7"/>
      <c r="H61" s="22"/>
    </row>
    <row r="62" spans="2:8" ht="14.25" customHeight="1">
      <c r="B62" s="7"/>
      <c r="C62" s="7"/>
      <c r="D62" s="7"/>
      <c r="E62" s="7"/>
      <c r="F62" s="7"/>
      <c r="H62" s="22"/>
    </row>
    <row r="63" spans="2:8" ht="14.25" customHeight="1">
      <c r="B63" s="7"/>
      <c r="C63" s="7"/>
      <c r="D63" s="7"/>
      <c r="E63" s="7"/>
      <c r="F63" s="7"/>
      <c r="H63" s="22"/>
    </row>
    <row r="64" spans="2:8" ht="14.25" customHeight="1">
      <c r="B64" s="7"/>
      <c r="C64" s="7"/>
      <c r="D64" s="7"/>
      <c r="E64" s="7"/>
      <c r="F64" s="7"/>
      <c r="H64" s="22"/>
    </row>
    <row r="65" spans="2:8" ht="14.25" customHeight="1">
      <c r="B65" s="7"/>
      <c r="C65" s="7"/>
      <c r="D65" s="7"/>
      <c r="E65" s="7"/>
      <c r="F65" s="7"/>
      <c r="H65" s="22"/>
    </row>
    <row r="66" spans="2:8" ht="14.25" customHeight="1">
      <c r="B66" s="7"/>
      <c r="C66" s="7"/>
      <c r="D66" s="7"/>
      <c r="E66" s="7"/>
      <c r="F66" s="7"/>
      <c r="H66" s="22"/>
    </row>
    <row r="67" spans="2:8" ht="14.25" customHeight="1">
      <c r="B67" s="7"/>
      <c r="C67" s="7"/>
      <c r="D67" s="7"/>
      <c r="E67" s="7"/>
      <c r="F67" s="7"/>
      <c r="H67" s="22"/>
    </row>
    <row r="68" spans="2:8" ht="14.25" customHeight="1">
      <c r="B68" s="7"/>
      <c r="C68" s="7"/>
      <c r="D68" s="7"/>
      <c r="E68" s="7"/>
      <c r="F68" s="7"/>
      <c r="H68" s="22"/>
    </row>
    <row r="69" spans="2:8" ht="14.25" customHeight="1">
      <c r="B69" s="7"/>
      <c r="C69" s="7"/>
      <c r="D69" s="7"/>
      <c r="E69" s="7"/>
      <c r="F69" s="7"/>
      <c r="H69" s="22"/>
    </row>
    <row r="70" spans="2:8" ht="14.25" customHeight="1">
      <c r="B70" s="7"/>
      <c r="C70" s="7"/>
      <c r="D70" s="7"/>
      <c r="E70" s="7"/>
      <c r="F70" s="7"/>
      <c r="H70" s="22"/>
    </row>
    <row r="71" spans="2:8" ht="14.25" customHeight="1">
      <c r="B71" s="7"/>
      <c r="C71" s="7"/>
      <c r="D71" s="7"/>
      <c r="E71" s="7"/>
      <c r="F71" s="7"/>
      <c r="H71" s="22"/>
    </row>
    <row r="72" spans="2:8" ht="14.25" customHeight="1">
      <c r="B72" s="7"/>
      <c r="C72" s="7"/>
      <c r="D72" s="7"/>
      <c r="E72" s="7"/>
      <c r="F72" s="7"/>
      <c r="H72" s="22"/>
    </row>
    <row r="73" spans="2:8" ht="14.25" customHeight="1">
      <c r="B73" s="7"/>
      <c r="C73" s="7"/>
      <c r="D73" s="7"/>
      <c r="E73" s="7"/>
      <c r="F73" s="7"/>
      <c r="H73" s="22"/>
    </row>
    <row r="74" spans="2:8" ht="14.25" customHeight="1">
      <c r="B74" s="7"/>
      <c r="C74" s="7"/>
      <c r="D74" s="7"/>
      <c r="E74" s="7"/>
      <c r="F74" s="7"/>
      <c r="H74" s="22"/>
    </row>
    <row r="75" spans="2:8" ht="14.25" customHeight="1">
      <c r="B75" s="7"/>
      <c r="C75" s="7"/>
      <c r="D75" s="7"/>
      <c r="E75" s="7"/>
      <c r="F75" s="7"/>
      <c r="H75" s="22"/>
    </row>
    <row r="76" spans="2:8" ht="14.25" customHeight="1">
      <c r="B76" s="7"/>
      <c r="C76" s="7"/>
      <c r="D76" s="7"/>
      <c r="E76" s="7"/>
      <c r="F76" s="7"/>
      <c r="H76" s="22"/>
    </row>
    <row r="77" spans="2:8" ht="14.25" customHeight="1">
      <c r="B77" s="7"/>
      <c r="C77" s="7"/>
      <c r="D77" s="7"/>
      <c r="E77" s="7"/>
      <c r="F77" s="7"/>
      <c r="H77" s="22"/>
    </row>
    <row r="78" spans="2:8" ht="14.25" customHeight="1">
      <c r="B78" s="7"/>
      <c r="C78" s="7"/>
      <c r="D78" s="7"/>
      <c r="E78" s="7"/>
      <c r="F78" s="7"/>
      <c r="H78" s="22"/>
    </row>
    <row r="79" spans="2:8" ht="14.25" customHeight="1">
      <c r="B79" s="7"/>
      <c r="C79" s="7"/>
      <c r="D79" s="7"/>
      <c r="E79" s="7"/>
      <c r="F79" s="7"/>
      <c r="H79" s="22"/>
    </row>
    <row r="80" spans="2:8" ht="14.25" customHeight="1">
      <c r="B80" s="7"/>
      <c r="C80" s="7"/>
      <c r="D80" s="7"/>
      <c r="E80" s="7"/>
      <c r="F80" s="7"/>
      <c r="H80" s="22"/>
    </row>
    <row r="81" spans="2:8" ht="14.25" customHeight="1">
      <c r="B81" s="7"/>
      <c r="C81" s="7"/>
      <c r="D81" s="7"/>
      <c r="E81" s="7"/>
      <c r="F81" s="7"/>
      <c r="H81" s="22"/>
    </row>
    <row r="82" spans="2:8" ht="14.25" customHeight="1">
      <c r="B82" s="7"/>
      <c r="C82" s="7"/>
      <c r="D82" s="7"/>
      <c r="E82" s="7"/>
      <c r="F82" s="7"/>
      <c r="H82" s="22"/>
    </row>
    <row r="83" spans="2:8" ht="14.25" customHeight="1">
      <c r="B83" s="7"/>
      <c r="C83" s="7"/>
      <c r="D83" s="7"/>
      <c r="E83" s="7"/>
      <c r="F83" s="7"/>
      <c r="H83" s="22"/>
    </row>
    <row r="84" spans="2:8" ht="14.25" customHeight="1">
      <c r="B84" s="7"/>
      <c r="C84" s="7"/>
      <c r="D84" s="7"/>
      <c r="E84" s="7"/>
      <c r="F84" s="7"/>
      <c r="H84" s="22"/>
    </row>
    <row r="85" spans="2:8" ht="14.25" customHeight="1">
      <c r="B85" s="7"/>
      <c r="C85" s="7"/>
      <c r="D85" s="7"/>
      <c r="E85" s="7"/>
      <c r="F85" s="7"/>
      <c r="H85" s="22"/>
    </row>
    <row r="86" spans="2:8" ht="14.25" customHeight="1">
      <c r="B86" s="7"/>
      <c r="C86" s="7"/>
      <c r="D86" s="7"/>
      <c r="E86" s="7"/>
      <c r="F86" s="7"/>
      <c r="H86" s="22"/>
    </row>
    <row r="87" spans="2:8" ht="14.25" customHeight="1">
      <c r="B87" s="7"/>
      <c r="C87" s="7"/>
      <c r="D87" s="7"/>
      <c r="E87" s="7"/>
      <c r="F87" s="7"/>
      <c r="H87" s="22"/>
    </row>
    <row r="88" spans="2:8" ht="14.25" customHeight="1">
      <c r="B88" s="7"/>
      <c r="C88" s="7"/>
      <c r="D88" s="7"/>
      <c r="E88" s="7"/>
      <c r="F88" s="7"/>
      <c r="H88" s="22"/>
    </row>
    <row r="89" spans="2:8" ht="14.25" customHeight="1">
      <c r="B89" s="7"/>
      <c r="C89" s="7"/>
      <c r="D89" s="7"/>
      <c r="E89" s="7"/>
      <c r="F89" s="7"/>
      <c r="H89" s="22"/>
    </row>
    <row r="90" spans="2:8" ht="14.25" customHeight="1">
      <c r="B90" s="7"/>
      <c r="C90" s="7"/>
      <c r="D90" s="7"/>
      <c r="E90" s="7"/>
      <c r="F90" s="7"/>
      <c r="H90" s="22"/>
    </row>
    <row r="91" spans="2:8" ht="14.25" customHeight="1">
      <c r="B91" s="7"/>
      <c r="C91" s="7"/>
      <c r="D91" s="7"/>
      <c r="E91" s="7"/>
      <c r="F91" s="7"/>
      <c r="H91" s="22"/>
    </row>
    <row r="92" spans="2:8" ht="14.25" customHeight="1">
      <c r="B92" s="7"/>
      <c r="C92" s="7"/>
      <c r="D92" s="7"/>
      <c r="E92" s="7"/>
      <c r="F92" s="7"/>
      <c r="H92" s="22"/>
    </row>
    <row r="93" spans="2:8" ht="14.25" customHeight="1">
      <c r="B93" s="7"/>
      <c r="C93" s="7"/>
      <c r="D93" s="7"/>
      <c r="E93" s="7"/>
      <c r="F93" s="7"/>
      <c r="H93" s="22"/>
    </row>
    <row r="94" spans="2:8" ht="14.25" customHeight="1">
      <c r="B94" s="7"/>
      <c r="C94" s="7"/>
      <c r="D94" s="7"/>
      <c r="E94" s="7"/>
      <c r="F94" s="7"/>
      <c r="H94" s="22"/>
    </row>
    <row r="95" spans="2:8" ht="14.25" customHeight="1">
      <c r="B95" s="7"/>
      <c r="C95" s="7"/>
      <c r="D95" s="7"/>
      <c r="E95" s="7"/>
      <c r="F95" s="7"/>
      <c r="H95" s="22"/>
    </row>
    <row r="96" spans="2:8" ht="14.25" customHeight="1">
      <c r="B96" s="7"/>
      <c r="C96" s="7"/>
      <c r="D96" s="7"/>
      <c r="E96" s="7"/>
      <c r="F96" s="7"/>
      <c r="H96" s="22"/>
    </row>
    <row r="97" spans="2:8" ht="14.25" customHeight="1">
      <c r="B97" s="7"/>
      <c r="C97" s="7"/>
      <c r="D97" s="7"/>
      <c r="E97" s="7"/>
      <c r="F97" s="7"/>
      <c r="H97" s="22"/>
    </row>
    <row r="98" spans="2:8" ht="14.25" customHeight="1">
      <c r="B98" s="7"/>
      <c r="C98" s="7"/>
      <c r="D98" s="7"/>
      <c r="E98" s="7"/>
      <c r="F98" s="7"/>
      <c r="H98" s="22"/>
    </row>
    <row r="99" spans="2:8" ht="14.25" customHeight="1">
      <c r="B99" s="7"/>
      <c r="C99" s="7"/>
      <c r="D99" s="7"/>
      <c r="E99" s="7"/>
      <c r="F99" s="7"/>
      <c r="H99" s="22"/>
    </row>
    <row r="100" spans="2:8" ht="14.25" customHeight="1">
      <c r="B100" s="7"/>
      <c r="C100" s="7"/>
      <c r="D100" s="7"/>
      <c r="E100" s="7"/>
      <c r="F100" s="7"/>
      <c r="H100" s="22"/>
    </row>
    <row r="101" spans="2:8" ht="14.25" customHeight="1">
      <c r="B101" s="7"/>
      <c r="C101" s="7"/>
      <c r="D101" s="7"/>
      <c r="E101" s="7"/>
      <c r="F101" s="7"/>
      <c r="H101" s="22"/>
    </row>
    <row r="102" spans="2:8" ht="14.25" customHeight="1">
      <c r="B102" s="7"/>
      <c r="C102" s="7"/>
      <c r="D102" s="7"/>
      <c r="E102" s="7"/>
      <c r="F102" s="7"/>
      <c r="H102" s="22"/>
    </row>
    <row r="103" spans="2:8" ht="14.25" customHeight="1">
      <c r="B103" s="7"/>
      <c r="C103" s="7"/>
      <c r="D103" s="7"/>
      <c r="E103" s="7"/>
      <c r="F103" s="7"/>
      <c r="H103" s="22"/>
    </row>
    <row r="104" spans="2:8" ht="14.25" customHeight="1">
      <c r="B104" s="7"/>
      <c r="C104" s="7"/>
      <c r="D104" s="7"/>
      <c r="E104" s="7"/>
      <c r="F104" s="7"/>
      <c r="H104" s="22"/>
    </row>
    <row r="105" spans="2:8" ht="14.25" customHeight="1">
      <c r="B105" s="7"/>
      <c r="C105" s="7"/>
      <c r="D105" s="7"/>
      <c r="E105" s="7"/>
      <c r="F105" s="7"/>
      <c r="H105" s="22"/>
    </row>
    <row r="106" spans="2:8" ht="14.25" customHeight="1">
      <c r="B106" s="7"/>
      <c r="C106" s="7"/>
      <c r="D106" s="7"/>
      <c r="E106" s="7"/>
      <c r="F106" s="7"/>
      <c r="H106" s="22"/>
    </row>
    <row r="107" spans="2:8" ht="14.25" customHeight="1">
      <c r="B107" s="7"/>
      <c r="C107" s="7"/>
      <c r="D107" s="7"/>
      <c r="E107" s="7"/>
      <c r="F107" s="7"/>
      <c r="H107" s="22"/>
    </row>
    <row r="108" spans="2:8" ht="14.25" customHeight="1">
      <c r="B108" s="7"/>
      <c r="C108" s="7"/>
      <c r="D108" s="7"/>
      <c r="E108" s="7"/>
      <c r="F108" s="7"/>
      <c r="H108" s="22"/>
    </row>
    <row r="109" spans="2:8" ht="14.25" customHeight="1">
      <c r="B109" s="7"/>
      <c r="C109" s="7"/>
      <c r="D109" s="7"/>
      <c r="E109" s="7"/>
      <c r="F109" s="7"/>
      <c r="H109" s="22"/>
    </row>
    <row r="110" spans="2:8" ht="14.25" customHeight="1">
      <c r="B110" s="7"/>
      <c r="C110" s="7"/>
      <c r="D110" s="7"/>
      <c r="E110" s="7"/>
      <c r="F110" s="7"/>
      <c r="H110" s="22"/>
    </row>
    <row r="111" spans="2:8" ht="14.25" customHeight="1">
      <c r="B111" s="7"/>
      <c r="C111" s="7"/>
      <c r="D111" s="7"/>
      <c r="E111" s="7"/>
      <c r="F111" s="7"/>
      <c r="H111" s="22"/>
    </row>
    <row r="112" spans="2:8" ht="14.25" customHeight="1">
      <c r="B112" s="7"/>
      <c r="C112" s="7"/>
      <c r="D112" s="7"/>
      <c r="E112" s="7"/>
      <c r="F112" s="7"/>
      <c r="H112" s="22"/>
    </row>
    <row r="113" spans="2:8" ht="14.25" customHeight="1">
      <c r="B113" s="7"/>
      <c r="C113" s="7"/>
      <c r="D113" s="7"/>
      <c r="E113" s="7"/>
      <c r="F113" s="7"/>
      <c r="H113" s="22"/>
    </row>
    <row r="114" spans="2:8" ht="14.25" customHeight="1">
      <c r="B114" s="7"/>
      <c r="C114" s="7"/>
      <c r="D114" s="7"/>
      <c r="E114" s="7"/>
      <c r="F114" s="7"/>
      <c r="H114" s="22"/>
    </row>
    <row r="115" spans="2:8" ht="14.25" customHeight="1">
      <c r="B115" s="7"/>
      <c r="C115" s="7"/>
      <c r="D115" s="7"/>
      <c r="E115" s="7"/>
      <c r="F115" s="7"/>
      <c r="H115" s="22"/>
    </row>
    <row r="116" spans="2:8" ht="14.25" customHeight="1">
      <c r="B116" s="7"/>
      <c r="C116" s="7"/>
      <c r="D116" s="7"/>
      <c r="E116" s="7"/>
      <c r="F116" s="7"/>
      <c r="H116" s="22"/>
    </row>
    <row r="117" spans="2:8" ht="14.25" customHeight="1">
      <c r="B117" s="7"/>
      <c r="C117" s="7"/>
      <c r="D117" s="7"/>
      <c r="E117" s="7"/>
      <c r="F117" s="7"/>
      <c r="H117" s="22"/>
    </row>
    <row r="118" spans="2:8" ht="14.25" customHeight="1">
      <c r="B118" s="7"/>
      <c r="C118" s="7"/>
      <c r="D118" s="7"/>
      <c r="E118" s="7"/>
      <c r="F118" s="7"/>
      <c r="H118" s="22"/>
    </row>
    <row r="119" spans="2:8" ht="14.25" customHeight="1">
      <c r="B119" s="7"/>
      <c r="C119" s="7"/>
      <c r="D119" s="7"/>
      <c r="E119" s="7"/>
      <c r="F119" s="7"/>
      <c r="H119" s="22"/>
    </row>
    <row r="120" spans="2:8" ht="14.25" customHeight="1">
      <c r="B120" s="7"/>
      <c r="C120" s="7"/>
      <c r="D120" s="7"/>
      <c r="E120" s="7"/>
      <c r="F120" s="7"/>
      <c r="H120" s="22"/>
    </row>
    <row r="121" spans="2:8" ht="14.25" customHeight="1">
      <c r="B121" s="7"/>
      <c r="C121" s="7"/>
      <c r="D121" s="7"/>
      <c r="E121" s="7"/>
      <c r="F121" s="7"/>
      <c r="H121" s="22"/>
    </row>
    <row r="122" spans="2:8" ht="14.25" customHeight="1">
      <c r="B122" s="7"/>
      <c r="C122" s="7"/>
      <c r="D122" s="7"/>
      <c r="E122" s="7"/>
      <c r="F122" s="7"/>
      <c r="H122" s="22"/>
    </row>
    <row r="123" spans="2:8" ht="14.25" customHeight="1">
      <c r="B123" s="7"/>
      <c r="C123" s="7"/>
      <c r="D123" s="7"/>
      <c r="E123" s="7"/>
      <c r="F123" s="7"/>
      <c r="H123" s="22"/>
    </row>
    <row r="124" spans="2:8" ht="14.25" customHeight="1">
      <c r="B124" s="7"/>
      <c r="C124" s="7"/>
      <c r="D124" s="7"/>
      <c r="E124" s="7"/>
      <c r="F124" s="7"/>
      <c r="H124" s="22"/>
    </row>
    <row r="125" spans="2:8" ht="14.25" customHeight="1">
      <c r="B125" s="7"/>
      <c r="C125" s="7"/>
      <c r="D125" s="7"/>
      <c r="E125" s="7"/>
      <c r="F125" s="7"/>
      <c r="H125" s="22"/>
    </row>
    <row r="126" spans="2:8" ht="14.25" customHeight="1">
      <c r="B126" s="7"/>
      <c r="C126" s="7"/>
      <c r="D126" s="7"/>
      <c r="E126" s="7"/>
      <c r="F126" s="7"/>
      <c r="H126" s="22"/>
    </row>
    <row r="127" spans="2:8" ht="14.25" customHeight="1">
      <c r="B127" s="7"/>
      <c r="C127" s="7"/>
      <c r="D127" s="7"/>
      <c r="E127" s="7"/>
      <c r="F127" s="7"/>
      <c r="H127" s="22"/>
    </row>
    <row r="128" spans="2:8" ht="14.25" customHeight="1">
      <c r="B128" s="7"/>
      <c r="C128" s="7"/>
      <c r="D128" s="7"/>
      <c r="E128" s="7"/>
      <c r="F128" s="7"/>
      <c r="H128" s="22"/>
    </row>
    <row r="129" spans="2:8" ht="14.25" customHeight="1">
      <c r="B129" s="7"/>
      <c r="C129" s="7"/>
      <c r="D129" s="7"/>
      <c r="E129" s="7"/>
      <c r="F129" s="7"/>
      <c r="H129" s="22"/>
    </row>
    <row r="130" spans="2:8" ht="14.25" customHeight="1">
      <c r="B130" s="7"/>
      <c r="C130" s="7"/>
      <c r="D130" s="7"/>
      <c r="E130" s="7"/>
      <c r="F130" s="7"/>
      <c r="H130" s="22"/>
    </row>
    <row r="131" spans="2:8" ht="14.25" customHeight="1">
      <c r="B131" s="7"/>
      <c r="C131" s="7"/>
      <c r="D131" s="7"/>
      <c r="E131" s="7"/>
      <c r="F131" s="7"/>
      <c r="H131" s="22"/>
    </row>
    <row r="132" spans="2:8" ht="14.25" customHeight="1">
      <c r="B132" s="7"/>
      <c r="C132" s="7"/>
      <c r="D132" s="7"/>
      <c r="E132" s="7"/>
      <c r="F132" s="7"/>
      <c r="H132" s="22"/>
    </row>
    <row r="133" spans="2:8" ht="14.25" customHeight="1">
      <c r="B133" s="7"/>
      <c r="C133" s="7"/>
      <c r="D133" s="7"/>
      <c r="E133" s="7"/>
      <c r="F133" s="7"/>
      <c r="H133" s="22"/>
    </row>
    <row r="134" spans="2:8" ht="14.25" customHeight="1">
      <c r="B134" s="7"/>
      <c r="C134" s="7"/>
      <c r="D134" s="7"/>
      <c r="E134" s="7"/>
      <c r="F134" s="7"/>
      <c r="H134" s="22"/>
    </row>
    <row r="135" spans="2:8" ht="14.25" customHeight="1">
      <c r="B135" s="7"/>
      <c r="C135" s="7"/>
      <c r="D135" s="7"/>
      <c r="E135" s="7"/>
      <c r="F135" s="7"/>
      <c r="H135" s="22"/>
    </row>
    <row r="136" spans="2:8" ht="14.25" customHeight="1">
      <c r="B136" s="7"/>
      <c r="C136" s="7"/>
      <c r="D136" s="7"/>
      <c r="E136" s="7"/>
      <c r="F136" s="7"/>
      <c r="H136" s="22"/>
    </row>
    <row r="137" spans="2:8" ht="14.25" customHeight="1">
      <c r="B137" s="7"/>
      <c r="C137" s="7"/>
      <c r="D137" s="7"/>
      <c r="E137" s="7"/>
      <c r="F137" s="7"/>
      <c r="H137" s="22"/>
    </row>
    <row r="138" spans="2:8" ht="14.25" customHeight="1">
      <c r="B138" s="7"/>
      <c r="C138" s="7"/>
      <c r="D138" s="7"/>
      <c r="E138" s="7"/>
      <c r="F138" s="7"/>
      <c r="H138" s="22"/>
    </row>
    <row r="139" spans="2:8" ht="14.25" customHeight="1">
      <c r="B139" s="7"/>
      <c r="C139" s="7"/>
      <c r="D139" s="7"/>
      <c r="E139" s="7"/>
      <c r="F139" s="7"/>
      <c r="H139" s="22"/>
    </row>
    <row r="140" spans="2:8" ht="14.25" customHeight="1">
      <c r="B140" s="7"/>
      <c r="C140" s="7"/>
      <c r="D140" s="7"/>
      <c r="E140" s="7"/>
      <c r="F140" s="7"/>
      <c r="H140" s="22"/>
    </row>
    <row r="141" spans="2:8" ht="14.25" customHeight="1">
      <c r="B141" s="7"/>
      <c r="C141" s="7"/>
      <c r="D141" s="7"/>
      <c r="E141" s="7"/>
      <c r="F141" s="7"/>
      <c r="H141" s="22"/>
    </row>
    <row r="142" spans="2:8" ht="14.25" customHeight="1">
      <c r="B142" s="7"/>
      <c r="C142" s="7"/>
      <c r="D142" s="7"/>
      <c r="E142" s="7"/>
      <c r="F142" s="7"/>
      <c r="H142" s="22"/>
    </row>
    <row r="143" spans="2:8" ht="14.25" customHeight="1">
      <c r="B143" s="7"/>
      <c r="C143" s="7"/>
      <c r="D143" s="7"/>
      <c r="E143" s="7"/>
      <c r="F143" s="7"/>
      <c r="H143" s="22"/>
    </row>
    <row r="144" spans="2:8" ht="14.25" customHeight="1">
      <c r="B144" s="7"/>
      <c r="C144" s="7"/>
      <c r="D144" s="7"/>
      <c r="E144" s="7"/>
      <c r="F144" s="7"/>
      <c r="H144" s="22"/>
    </row>
    <row r="145" spans="2:8" ht="14.25" customHeight="1">
      <c r="B145" s="7"/>
      <c r="C145" s="7"/>
      <c r="D145" s="7"/>
      <c r="E145" s="7"/>
      <c r="F145" s="7"/>
      <c r="H145" s="22"/>
    </row>
    <row r="146" spans="2:8" ht="14.25" customHeight="1">
      <c r="B146" s="7"/>
      <c r="C146" s="7"/>
      <c r="D146" s="7"/>
      <c r="E146" s="7"/>
      <c r="F146" s="7"/>
      <c r="H146" s="22"/>
    </row>
    <row r="147" spans="2:8" ht="14.25" customHeight="1">
      <c r="B147" s="7"/>
      <c r="C147" s="7"/>
      <c r="D147" s="7"/>
      <c r="E147" s="7"/>
      <c r="F147" s="7"/>
      <c r="H147" s="22"/>
    </row>
    <row r="148" spans="2:8" ht="14.25" customHeight="1">
      <c r="B148" s="7"/>
      <c r="C148" s="7"/>
      <c r="D148" s="7"/>
      <c r="E148" s="7"/>
      <c r="F148" s="7"/>
      <c r="H148" s="22"/>
    </row>
    <row r="149" spans="2:8" ht="14.25" customHeight="1">
      <c r="B149" s="7"/>
      <c r="C149" s="7"/>
      <c r="D149" s="7"/>
      <c r="E149" s="7"/>
      <c r="F149" s="7"/>
      <c r="H149" s="22"/>
    </row>
    <row r="150" spans="2:8" ht="14.25" customHeight="1">
      <c r="B150" s="7"/>
      <c r="C150" s="7"/>
      <c r="D150" s="7"/>
      <c r="E150" s="7"/>
      <c r="F150" s="7"/>
      <c r="H150" s="22"/>
    </row>
    <row r="151" spans="2:8" ht="14.25" customHeight="1">
      <c r="B151" s="7"/>
      <c r="C151" s="7"/>
      <c r="D151" s="7"/>
      <c r="E151" s="7"/>
      <c r="F151" s="7"/>
      <c r="H151" s="22"/>
    </row>
    <row r="152" spans="2:8" ht="14.25" customHeight="1">
      <c r="B152" s="7"/>
      <c r="C152" s="7"/>
      <c r="D152" s="7"/>
      <c r="E152" s="7"/>
      <c r="F152" s="7"/>
      <c r="H152" s="22"/>
    </row>
    <row r="153" spans="2:8" ht="14.25" customHeight="1">
      <c r="B153" s="7"/>
      <c r="C153" s="7"/>
      <c r="D153" s="7"/>
      <c r="E153" s="7"/>
      <c r="F153" s="7"/>
      <c r="H153" s="22"/>
    </row>
    <row r="154" spans="2:8" ht="14.25" customHeight="1">
      <c r="B154" s="7"/>
      <c r="C154" s="7"/>
      <c r="D154" s="7"/>
      <c r="E154" s="7"/>
      <c r="F154" s="7"/>
      <c r="H154" s="22"/>
    </row>
    <row r="155" spans="2:8" ht="14.25" customHeight="1">
      <c r="B155" s="7"/>
      <c r="C155" s="7"/>
      <c r="D155" s="7"/>
      <c r="E155" s="7"/>
      <c r="F155" s="7"/>
      <c r="H155" s="22"/>
    </row>
    <row r="156" spans="2:8" ht="14.25" customHeight="1">
      <c r="B156" s="7"/>
      <c r="C156" s="7"/>
      <c r="D156" s="7"/>
      <c r="E156" s="7"/>
      <c r="F156" s="7"/>
      <c r="H156" s="22"/>
    </row>
    <row r="157" spans="2:8" ht="14.25" customHeight="1">
      <c r="B157" s="7"/>
      <c r="C157" s="7"/>
      <c r="D157" s="7"/>
      <c r="E157" s="7"/>
      <c r="F157" s="7"/>
      <c r="H157" s="22"/>
    </row>
    <row r="158" spans="2:8" ht="14.25" customHeight="1">
      <c r="B158" s="7"/>
      <c r="C158" s="7"/>
      <c r="D158" s="7"/>
      <c r="E158" s="7"/>
      <c r="F158" s="7"/>
      <c r="H158" s="22"/>
    </row>
    <row r="159" spans="2:8" ht="14.25" customHeight="1">
      <c r="B159" s="7"/>
      <c r="C159" s="7"/>
      <c r="D159" s="7"/>
      <c r="E159" s="7"/>
      <c r="F159" s="7"/>
      <c r="H159" s="22"/>
    </row>
    <row r="160" spans="2:8" ht="14.25" customHeight="1">
      <c r="B160" s="7"/>
      <c r="C160" s="7"/>
      <c r="D160" s="7"/>
      <c r="E160" s="7"/>
      <c r="F160" s="7"/>
      <c r="H160" s="22"/>
    </row>
    <row r="161" spans="2:8" ht="14.25" customHeight="1">
      <c r="B161" s="7"/>
      <c r="C161" s="7"/>
      <c r="D161" s="7"/>
      <c r="E161" s="7"/>
      <c r="F161" s="7"/>
      <c r="H161" s="22"/>
    </row>
    <row r="162" spans="2:8" ht="14.25" customHeight="1">
      <c r="B162" s="7"/>
      <c r="C162" s="7"/>
      <c r="D162" s="7"/>
      <c r="E162" s="7"/>
      <c r="F162" s="7"/>
      <c r="H162" s="22"/>
    </row>
    <row r="163" spans="2:8" ht="14.25" customHeight="1">
      <c r="B163" s="7"/>
      <c r="C163" s="7"/>
      <c r="D163" s="7"/>
      <c r="E163" s="7"/>
      <c r="F163" s="7"/>
      <c r="H163" s="22"/>
    </row>
    <row r="164" spans="2:8" ht="14.25" customHeight="1">
      <c r="B164" s="7"/>
      <c r="C164" s="7"/>
      <c r="D164" s="7"/>
      <c r="E164" s="7"/>
      <c r="F164" s="7"/>
      <c r="H164" s="22"/>
    </row>
    <row r="165" spans="2:8" ht="14.25" customHeight="1">
      <c r="B165" s="7"/>
      <c r="C165" s="7"/>
      <c r="D165" s="7"/>
      <c r="E165" s="7"/>
      <c r="F165" s="7"/>
      <c r="H165" s="22"/>
    </row>
    <row r="166" spans="2:8" ht="14.25" customHeight="1">
      <c r="B166" s="7"/>
      <c r="C166" s="7"/>
      <c r="D166" s="7"/>
      <c r="E166" s="7"/>
      <c r="F166" s="7"/>
      <c r="H166" s="22"/>
    </row>
    <row r="167" spans="2:8" ht="14.25" customHeight="1">
      <c r="B167" s="7"/>
      <c r="C167" s="7"/>
      <c r="D167" s="7"/>
      <c r="E167" s="7"/>
      <c r="F167" s="7"/>
      <c r="H167" s="22"/>
    </row>
    <row r="168" spans="2:8" ht="14.25" customHeight="1">
      <c r="B168" s="7"/>
      <c r="C168" s="7"/>
      <c r="D168" s="7"/>
      <c r="E168" s="7"/>
      <c r="F168" s="7"/>
      <c r="H168" s="22"/>
    </row>
    <row r="169" spans="2:8" ht="14.25" customHeight="1">
      <c r="B169" s="7"/>
      <c r="C169" s="7"/>
      <c r="D169" s="7"/>
      <c r="E169" s="7"/>
      <c r="F169" s="7"/>
      <c r="H169" s="22"/>
    </row>
    <row r="170" spans="2:8" ht="14.25" customHeight="1">
      <c r="B170" s="7"/>
      <c r="C170" s="7"/>
      <c r="D170" s="7"/>
      <c r="E170" s="7"/>
      <c r="F170" s="7"/>
      <c r="H170" s="22"/>
    </row>
    <row r="171" spans="2:8" ht="14.25" customHeight="1">
      <c r="B171" s="7"/>
      <c r="C171" s="7"/>
      <c r="D171" s="7"/>
      <c r="E171" s="7"/>
      <c r="F171" s="7"/>
      <c r="H171" s="22"/>
    </row>
    <row r="172" spans="2:8" ht="14.25" customHeight="1">
      <c r="B172" s="7"/>
      <c r="C172" s="7"/>
      <c r="D172" s="7"/>
      <c r="E172" s="7"/>
      <c r="F172" s="7"/>
      <c r="H172" s="22"/>
    </row>
    <row r="173" spans="2:8" ht="14.25" customHeight="1">
      <c r="B173" s="7"/>
      <c r="C173" s="7"/>
      <c r="D173" s="7"/>
      <c r="E173" s="7"/>
      <c r="F173" s="7"/>
      <c r="H173" s="22"/>
    </row>
    <row r="174" spans="2:8" ht="14.25" customHeight="1">
      <c r="B174" s="7"/>
      <c r="C174" s="7"/>
      <c r="D174" s="7"/>
      <c r="E174" s="7"/>
      <c r="F174" s="7"/>
      <c r="H174" s="22"/>
    </row>
    <row r="175" spans="2:8" ht="14.25" customHeight="1">
      <c r="B175" s="7"/>
      <c r="C175" s="7"/>
      <c r="D175" s="7"/>
      <c r="E175" s="7"/>
      <c r="F175" s="7"/>
      <c r="H175" s="22"/>
    </row>
    <row r="176" spans="2:8" ht="14.25" customHeight="1">
      <c r="B176" s="7"/>
      <c r="C176" s="7"/>
      <c r="D176" s="7"/>
      <c r="E176" s="7"/>
      <c r="F176" s="7"/>
      <c r="H176" s="22"/>
    </row>
    <row r="177" spans="2:8" ht="14.25" customHeight="1">
      <c r="B177" s="7"/>
      <c r="C177" s="7"/>
      <c r="D177" s="7"/>
      <c r="E177" s="7"/>
      <c r="F177" s="7"/>
      <c r="H177" s="22"/>
    </row>
    <row r="178" spans="2:8" ht="14.25" customHeight="1">
      <c r="B178" s="7"/>
      <c r="C178" s="7"/>
      <c r="D178" s="7"/>
      <c r="E178" s="7"/>
      <c r="F178" s="7"/>
      <c r="H178" s="22"/>
    </row>
    <row r="179" spans="2:8" ht="14.25" customHeight="1">
      <c r="B179" s="7"/>
      <c r="C179" s="7"/>
      <c r="D179" s="7"/>
      <c r="E179" s="7"/>
      <c r="F179" s="7"/>
      <c r="H179" s="22"/>
    </row>
    <row r="180" spans="2:8" ht="14.25" customHeight="1">
      <c r="B180" s="7"/>
      <c r="C180" s="7"/>
      <c r="D180" s="7"/>
      <c r="E180" s="7"/>
      <c r="F180" s="7"/>
      <c r="H180" s="22"/>
    </row>
    <row r="181" spans="2:8" ht="14.25" customHeight="1">
      <c r="B181" s="7"/>
      <c r="C181" s="7"/>
      <c r="D181" s="7"/>
      <c r="E181" s="7"/>
      <c r="F181" s="7"/>
      <c r="H181" s="22"/>
    </row>
    <row r="182" spans="2:8" ht="14.25" customHeight="1">
      <c r="B182" s="7"/>
      <c r="C182" s="7"/>
      <c r="D182" s="7"/>
      <c r="E182" s="7"/>
      <c r="F182" s="7"/>
      <c r="H182" s="22"/>
    </row>
    <row r="183" spans="2:8" ht="14.25" customHeight="1">
      <c r="B183" s="7"/>
      <c r="C183" s="7"/>
      <c r="D183" s="7"/>
      <c r="E183" s="7"/>
      <c r="F183" s="7"/>
      <c r="H183" s="22"/>
    </row>
    <row r="184" spans="2:8" ht="14.25" customHeight="1">
      <c r="B184" s="7"/>
      <c r="C184" s="7"/>
      <c r="D184" s="7"/>
      <c r="E184" s="7"/>
      <c r="F184" s="7"/>
      <c r="H184" s="22"/>
    </row>
    <row r="185" spans="2:8" ht="14.25" customHeight="1">
      <c r="B185" s="7"/>
      <c r="C185" s="7"/>
      <c r="D185" s="7"/>
      <c r="E185" s="7"/>
      <c r="F185" s="7"/>
      <c r="H185" s="22"/>
    </row>
    <row r="186" spans="2:8" ht="14.25" customHeight="1">
      <c r="B186" s="7"/>
      <c r="C186" s="7"/>
      <c r="D186" s="7"/>
      <c r="E186" s="7"/>
      <c r="F186" s="7"/>
      <c r="H186" s="22"/>
    </row>
    <row r="187" spans="2:8" ht="14.25" customHeight="1">
      <c r="B187" s="7"/>
      <c r="C187" s="7"/>
      <c r="D187" s="7"/>
      <c r="E187" s="7"/>
      <c r="F187" s="7"/>
      <c r="H187" s="22"/>
    </row>
    <row r="188" spans="2:8" ht="14.25" customHeight="1">
      <c r="B188" s="7"/>
      <c r="C188" s="7"/>
      <c r="D188" s="7"/>
      <c r="E188" s="7"/>
      <c r="F188" s="7"/>
      <c r="H188" s="22"/>
    </row>
    <row r="189" spans="2:8" ht="14.25" customHeight="1">
      <c r="B189" s="7"/>
      <c r="C189" s="7"/>
      <c r="D189" s="7"/>
      <c r="E189" s="7"/>
      <c r="F189" s="7"/>
      <c r="H189" s="22"/>
    </row>
    <row r="190" spans="2:8" ht="14.25" customHeight="1">
      <c r="B190" s="7"/>
      <c r="C190" s="7"/>
      <c r="D190" s="7"/>
      <c r="E190" s="7"/>
      <c r="F190" s="7"/>
      <c r="H190" s="22"/>
    </row>
    <row r="191" spans="2:8" ht="14.25" customHeight="1">
      <c r="B191" s="7"/>
      <c r="C191" s="7"/>
      <c r="D191" s="7"/>
      <c r="E191" s="7"/>
      <c r="F191" s="7"/>
      <c r="H191" s="22"/>
    </row>
    <row r="192" spans="2:8" ht="14.25" customHeight="1">
      <c r="B192" s="7"/>
      <c r="C192" s="7"/>
      <c r="D192" s="7"/>
      <c r="E192" s="7"/>
      <c r="F192" s="7"/>
      <c r="H192" s="22"/>
    </row>
    <row r="193" spans="2:8" ht="14.25" customHeight="1">
      <c r="B193" s="7"/>
      <c r="C193" s="7"/>
      <c r="D193" s="7"/>
      <c r="E193" s="7"/>
      <c r="F193" s="7"/>
      <c r="H193" s="22"/>
    </row>
    <row r="194" spans="2:8" ht="14.25" customHeight="1">
      <c r="B194" s="7"/>
      <c r="C194" s="7"/>
      <c r="D194" s="7"/>
      <c r="E194" s="7"/>
      <c r="F194" s="7"/>
      <c r="H194" s="22"/>
    </row>
    <row r="195" spans="2:8" ht="14.25" customHeight="1">
      <c r="B195" s="7"/>
      <c r="C195" s="7"/>
      <c r="D195" s="7"/>
      <c r="E195" s="7"/>
      <c r="F195" s="7"/>
      <c r="H195" s="22"/>
    </row>
    <row r="196" spans="2:8" ht="14.25" customHeight="1">
      <c r="B196" s="7"/>
      <c r="C196" s="7"/>
      <c r="D196" s="7"/>
      <c r="E196" s="7"/>
      <c r="F196" s="7"/>
      <c r="H196" s="22"/>
    </row>
    <row r="197" spans="2:8" ht="14.25" customHeight="1">
      <c r="B197" s="7"/>
      <c r="C197" s="7"/>
      <c r="D197" s="7"/>
      <c r="E197" s="7"/>
      <c r="F197" s="7"/>
      <c r="H197" s="22"/>
    </row>
    <row r="198" spans="2:8" ht="14.25" customHeight="1">
      <c r="B198" s="7"/>
      <c r="C198" s="7"/>
      <c r="D198" s="7"/>
      <c r="E198" s="7"/>
      <c r="F198" s="7"/>
      <c r="H198" s="22"/>
    </row>
    <row r="199" spans="2:8" ht="14.25" customHeight="1">
      <c r="B199" s="7"/>
      <c r="C199" s="7"/>
      <c r="D199" s="7"/>
      <c r="E199" s="7"/>
      <c r="F199" s="7"/>
      <c r="H199" s="22"/>
    </row>
    <row r="200" spans="2:8" ht="14.25" customHeight="1">
      <c r="B200" s="7"/>
      <c r="C200" s="7"/>
      <c r="D200" s="7"/>
      <c r="E200" s="7"/>
      <c r="F200" s="7"/>
      <c r="H200" s="22"/>
    </row>
    <row r="201" spans="2:8" ht="14.25" customHeight="1">
      <c r="B201" s="7"/>
      <c r="C201" s="7"/>
      <c r="D201" s="7"/>
      <c r="E201" s="7"/>
      <c r="F201" s="7"/>
      <c r="H201" s="22"/>
    </row>
    <row r="202" spans="2:8" ht="14.25" customHeight="1">
      <c r="B202" s="7"/>
      <c r="C202" s="7"/>
      <c r="D202" s="7"/>
      <c r="E202" s="7"/>
      <c r="F202" s="7"/>
      <c r="H202" s="22"/>
    </row>
    <row r="203" spans="2:8" ht="14.25" customHeight="1">
      <c r="B203" s="7"/>
      <c r="C203" s="7"/>
      <c r="D203" s="7"/>
      <c r="E203" s="7"/>
      <c r="F203" s="7"/>
      <c r="H203" s="22"/>
    </row>
    <row r="204" spans="2:8" ht="14.25" customHeight="1">
      <c r="B204" s="7"/>
      <c r="C204" s="7"/>
      <c r="D204" s="7"/>
      <c r="E204" s="7"/>
      <c r="F204" s="7"/>
      <c r="H204" s="22"/>
    </row>
    <row r="205" spans="2:8" ht="14.25" customHeight="1">
      <c r="B205" s="7"/>
      <c r="C205" s="7"/>
      <c r="D205" s="7"/>
      <c r="E205" s="7"/>
      <c r="F205" s="7"/>
      <c r="H205" s="22"/>
    </row>
    <row r="206" spans="2:8" ht="14.25" customHeight="1">
      <c r="B206" s="7"/>
      <c r="C206" s="7"/>
      <c r="D206" s="7"/>
      <c r="E206" s="7"/>
      <c r="F206" s="7"/>
      <c r="H206" s="22"/>
    </row>
    <row r="207" spans="2:8" ht="14.25" customHeight="1">
      <c r="B207" s="7"/>
      <c r="C207" s="7"/>
      <c r="D207" s="7"/>
      <c r="E207" s="7"/>
      <c r="F207" s="7"/>
      <c r="H207" s="22"/>
    </row>
    <row r="208" spans="2:8" ht="14.25" customHeight="1">
      <c r="B208" s="7"/>
      <c r="C208" s="7"/>
      <c r="D208" s="7"/>
      <c r="E208" s="7"/>
      <c r="F208" s="7"/>
      <c r="H208" s="22"/>
    </row>
    <row r="209" spans="2:8" ht="14.25" customHeight="1">
      <c r="B209" s="7"/>
      <c r="C209" s="7"/>
      <c r="D209" s="7"/>
      <c r="E209" s="7"/>
      <c r="F209" s="7"/>
      <c r="H209" s="22"/>
    </row>
    <row r="210" spans="2:8" ht="14.25" customHeight="1">
      <c r="B210" s="7"/>
      <c r="C210" s="7"/>
      <c r="D210" s="7"/>
      <c r="E210" s="7"/>
      <c r="F210" s="7"/>
      <c r="H210" s="22"/>
    </row>
    <row r="211" spans="2:8" ht="14.25" customHeight="1">
      <c r="B211" s="7"/>
      <c r="C211" s="7"/>
      <c r="D211" s="7"/>
      <c r="E211" s="7"/>
      <c r="F211" s="7"/>
      <c r="H211" s="22"/>
    </row>
    <row r="212" spans="2:8" ht="14.25" customHeight="1">
      <c r="B212" s="7"/>
      <c r="C212" s="7"/>
      <c r="D212" s="7"/>
      <c r="E212" s="7"/>
      <c r="F212" s="7"/>
      <c r="H212" s="22"/>
    </row>
    <row r="213" spans="2:8" ht="14.25" customHeight="1">
      <c r="B213" s="7"/>
      <c r="C213" s="7"/>
      <c r="D213" s="7"/>
      <c r="E213" s="7"/>
      <c r="F213" s="7"/>
      <c r="H213" s="22"/>
    </row>
    <row r="214" spans="2:8" ht="14.25" customHeight="1">
      <c r="B214" s="7"/>
      <c r="C214" s="7"/>
      <c r="D214" s="7"/>
      <c r="E214" s="7"/>
      <c r="F214" s="7"/>
      <c r="H214" s="22"/>
    </row>
    <row r="215" spans="2:8" ht="14.25" customHeight="1">
      <c r="B215" s="7"/>
      <c r="C215" s="7"/>
      <c r="D215" s="7"/>
      <c r="E215" s="7"/>
      <c r="F215" s="7"/>
      <c r="H215" s="22"/>
    </row>
    <row r="216" spans="2:8" ht="14.25" customHeight="1">
      <c r="B216" s="7"/>
      <c r="C216" s="7"/>
      <c r="D216" s="7"/>
      <c r="E216" s="7"/>
      <c r="F216" s="7"/>
      <c r="H216" s="22"/>
    </row>
    <row r="217" spans="2:8" ht="14.25" customHeight="1">
      <c r="B217" s="7"/>
      <c r="C217" s="7"/>
      <c r="D217" s="7"/>
      <c r="E217" s="7"/>
      <c r="F217" s="7"/>
      <c r="H217" s="22"/>
    </row>
    <row r="218" spans="2:8" ht="14.25" customHeight="1">
      <c r="B218" s="7"/>
      <c r="C218" s="7"/>
      <c r="D218" s="7"/>
      <c r="E218" s="7"/>
      <c r="F218" s="7"/>
      <c r="H218" s="22"/>
    </row>
    <row r="219" spans="2:8" ht="14.25" customHeight="1">
      <c r="B219" s="7"/>
      <c r="C219" s="7"/>
      <c r="D219" s="7"/>
      <c r="E219" s="7"/>
      <c r="F219" s="7"/>
      <c r="H219" s="22"/>
    </row>
    <row r="220" spans="2:8" ht="14.25" customHeight="1">
      <c r="B220" s="7"/>
      <c r="C220" s="7"/>
      <c r="D220" s="7"/>
      <c r="E220" s="7"/>
      <c r="F220" s="7"/>
      <c r="H220" s="22"/>
    </row>
    <row r="221" spans="2:8" ht="14.25" customHeight="1">
      <c r="B221" s="7"/>
      <c r="C221" s="7"/>
      <c r="D221" s="7"/>
      <c r="E221" s="7"/>
      <c r="F221" s="7"/>
      <c r="H221" s="22"/>
    </row>
    <row r="222" spans="2:8" ht="14.25" customHeight="1">
      <c r="B222" s="7"/>
      <c r="C222" s="7"/>
      <c r="D222" s="7"/>
      <c r="E222" s="7"/>
      <c r="F222" s="7"/>
      <c r="H222" s="22"/>
    </row>
    <row r="223" spans="2:8" ht="14.25" customHeight="1">
      <c r="B223" s="7"/>
      <c r="C223" s="7"/>
      <c r="D223" s="7"/>
      <c r="E223" s="7"/>
      <c r="F223" s="7"/>
      <c r="H223" s="22"/>
    </row>
    <row r="224" spans="2:8" ht="14.25" customHeight="1">
      <c r="B224" s="7"/>
      <c r="C224" s="7"/>
      <c r="D224" s="7"/>
      <c r="E224" s="7"/>
      <c r="F224" s="7"/>
      <c r="H224" s="22"/>
    </row>
    <row r="225" spans="2:8" ht="14.25" customHeight="1">
      <c r="B225" s="7"/>
      <c r="C225" s="7"/>
      <c r="D225" s="7"/>
      <c r="E225" s="7"/>
      <c r="F225" s="7"/>
      <c r="H225" s="22"/>
    </row>
    <row r="226" spans="2:8" ht="14.25" customHeight="1">
      <c r="B226" s="7"/>
      <c r="C226" s="7"/>
      <c r="D226" s="7"/>
      <c r="E226" s="7"/>
      <c r="F226" s="7"/>
      <c r="H226" s="22"/>
    </row>
    <row r="227" spans="2:8" ht="14.25" customHeight="1">
      <c r="B227" s="7"/>
      <c r="C227" s="7"/>
      <c r="D227" s="7"/>
      <c r="E227" s="7"/>
      <c r="F227" s="7"/>
      <c r="H227" s="22"/>
    </row>
    <row r="228" spans="2:8" ht="14.25" customHeight="1">
      <c r="B228" s="7"/>
      <c r="C228" s="7"/>
      <c r="D228" s="7"/>
      <c r="E228" s="7"/>
      <c r="F228" s="7"/>
      <c r="H228" s="22"/>
    </row>
    <row r="229" spans="2:8" ht="14.25" customHeight="1">
      <c r="B229" s="7"/>
      <c r="C229" s="7"/>
      <c r="D229" s="7"/>
      <c r="E229" s="7"/>
      <c r="F229" s="7"/>
      <c r="H229" s="22"/>
    </row>
    <row r="230" spans="2:8" ht="14.25" customHeight="1">
      <c r="B230" s="7"/>
      <c r="C230" s="7"/>
      <c r="D230" s="7"/>
      <c r="E230" s="7"/>
      <c r="F230" s="7"/>
      <c r="H230" s="22"/>
    </row>
    <row r="231" spans="2:8" ht="14.25" customHeight="1">
      <c r="B231" s="7"/>
      <c r="C231" s="7"/>
      <c r="D231" s="7"/>
      <c r="E231" s="7"/>
      <c r="F231" s="7"/>
      <c r="H231" s="22"/>
    </row>
    <row r="232" spans="2:8" ht="14.25" customHeight="1">
      <c r="B232" s="7"/>
      <c r="C232" s="7"/>
      <c r="D232" s="7"/>
      <c r="E232" s="7"/>
      <c r="F232" s="7"/>
      <c r="H232" s="22"/>
    </row>
    <row r="233" spans="2:8" ht="14.25" customHeight="1">
      <c r="B233" s="7"/>
      <c r="C233" s="7"/>
      <c r="D233" s="7"/>
      <c r="E233" s="7"/>
      <c r="F233" s="7"/>
      <c r="H233" s="22"/>
    </row>
    <row r="234" spans="2:8" ht="14.25" customHeight="1">
      <c r="B234" s="7"/>
      <c r="C234" s="7"/>
      <c r="D234" s="7"/>
      <c r="E234" s="7"/>
      <c r="F234" s="7"/>
      <c r="H234" s="22"/>
    </row>
    <row r="235" spans="2:8" ht="14.25" customHeight="1">
      <c r="B235" s="7"/>
      <c r="C235" s="7"/>
      <c r="D235" s="7"/>
      <c r="E235" s="7"/>
      <c r="F235" s="7"/>
      <c r="H235" s="22"/>
    </row>
    <row r="236" spans="2:8" ht="14.25" customHeight="1">
      <c r="B236" s="7"/>
      <c r="C236" s="7"/>
      <c r="D236" s="7"/>
      <c r="E236" s="7"/>
      <c r="F236" s="7"/>
      <c r="H236" s="22"/>
    </row>
    <row r="237" spans="2:8" ht="14.25" customHeight="1">
      <c r="B237" s="7"/>
      <c r="C237" s="7"/>
      <c r="D237" s="7"/>
      <c r="E237" s="7"/>
      <c r="F237" s="7"/>
      <c r="H237" s="22"/>
    </row>
    <row r="238" spans="2:8" ht="14.25" customHeight="1">
      <c r="B238" s="7"/>
      <c r="C238" s="7"/>
      <c r="D238" s="7"/>
      <c r="E238" s="7"/>
      <c r="F238" s="7"/>
      <c r="H238" s="22"/>
    </row>
    <row r="239" spans="2:8" ht="14.25" customHeight="1">
      <c r="B239" s="7"/>
      <c r="C239" s="7"/>
      <c r="D239" s="7"/>
      <c r="E239" s="7"/>
      <c r="F239" s="7"/>
      <c r="H239" s="22"/>
    </row>
    <row r="240" spans="2:8" ht="14.25" customHeight="1">
      <c r="B240" s="7"/>
      <c r="C240" s="7"/>
      <c r="D240" s="7"/>
      <c r="E240" s="7"/>
      <c r="F240" s="7"/>
      <c r="H240" s="22"/>
    </row>
    <row r="241" spans="2:8" ht="14.25" customHeight="1">
      <c r="B241" s="7"/>
      <c r="C241" s="7"/>
      <c r="D241" s="7"/>
      <c r="E241" s="7"/>
      <c r="F241" s="7"/>
      <c r="H241" s="22"/>
    </row>
    <row r="242" spans="2:8" ht="14.25" customHeight="1">
      <c r="B242" s="7"/>
      <c r="C242" s="7"/>
      <c r="D242" s="7"/>
      <c r="E242" s="7"/>
      <c r="F242" s="7"/>
      <c r="H242" s="22"/>
    </row>
    <row r="243" spans="2:8" ht="14.25" customHeight="1">
      <c r="B243" s="7"/>
      <c r="C243" s="7"/>
      <c r="D243" s="7"/>
      <c r="E243" s="7"/>
      <c r="F243" s="7"/>
      <c r="H243" s="22"/>
    </row>
    <row r="244" spans="2:8" ht="14.25" customHeight="1">
      <c r="B244" s="7"/>
      <c r="C244" s="7"/>
      <c r="D244" s="7"/>
      <c r="E244" s="7"/>
      <c r="F244" s="7"/>
      <c r="H244" s="22"/>
    </row>
    <row r="245" spans="2:8" ht="14.25" customHeight="1">
      <c r="B245" s="7"/>
      <c r="C245" s="7"/>
      <c r="D245" s="7"/>
      <c r="E245" s="7"/>
      <c r="F245" s="7"/>
      <c r="H245" s="22"/>
    </row>
    <row r="246" spans="2:8" ht="14.25" customHeight="1">
      <c r="B246" s="7"/>
      <c r="C246" s="7"/>
      <c r="D246" s="7"/>
      <c r="E246" s="7"/>
      <c r="F246" s="7"/>
      <c r="H246" s="22"/>
    </row>
    <row r="247" spans="2:8" ht="14.25" customHeight="1">
      <c r="B247" s="7"/>
      <c r="C247" s="7"/>
      <c r="D247" s="7"/>
      <c r="E247" s="7"/>
      <c r="F247" s="7"/>
      <c r="H247" s="22"/>
    </row>
    <row r="248" spans="2:8" ht="14.25" customHeight="1">
      <c r="B248" s="7"/>
      <c r="C248" s="7"/>
      <c r="D248" s="7"/>
      <c r="E248" s="7"/>
      <c r="F248" s="7"/>
      <c r="H248" s="22"/>
    </row>
    <row r="249" spans="2:8" ht="14.25" customHeight="1">
      <c r="B249" s="7"/>
      <c r="C249" s="7"/>
      <c r="D249" s="7"/>
      <c r="E249" s="7"/>
      <c r="F249" s="7"/>
      <c r="H249" s="22"/>
    </row>
    <row r="250" spans="2:8" ht="14.25" customHeight="1">
      <c r="B250" s="7"/>
      <c r="C250" s="7"/>
      <c r="D250" s="7"/>
      <c r="E250" s="7"/>
      <c r="F250" s="7"/>
      <c r="H250" s="22"/>
    </row>
    <row r="251" spans="2:8" ht="14.25" customHeight="1">
      <c r="B251" s="7"/>
      <c r="C251" s="7"/>
      <c r="D251" s="7"/>
      <c r="E251" s="7"/>
      <c r="F251" s="7"/>
      <c r="H251" s="22"/>
    </row>
    <row r="252" spans="2:8" ht="14.25" customHeight="1">
      <c r="B252" s="7"/>
      <c r="C252" s="7"/>
      <c r="D252" s="7"/>
      <c r="E252" s="7"/>
      <c r="F252" s="7"/>
      <c r="H252" s="22"/>
    </row>
    <row r="253" spans="2:8" ht="14.25" customHeight="1">
      <c r="B253" s="7"/>
      <c r="C253" s="7"/>
      <c r="D253" s="7"/>
      <c r="E253" s="7"/>
      <c r="F253" s="7"/>
      <c r="H253" s="22"/>
    </row>
    <row r="254" spans="2:8" ht="14.25" customHeight="1">
      <c r="B254" s="7"/>
      <c r="C254" s="7"/>
      <c r="D254" s="7"/>
      <c r="E254" s="7"/>
      <c r="F254" s="7"/>
      <c r="H254" s="22"/>
    </row>
    <row r="255" spans="2:8" ht="14.25" customHeight="1">
      <c r="B255" s="7"/>
      <c r="C255" s="7"/>
      <c r="D255" s="7"/>
      <c r="E255" s="7"/>
      <c r="F255" s="7"/>
      <c r="H255" s="22"/>
    </row>
    <row r="256" spans="2:8" ht="14.25" customHeight="1">
      <c r="B256" s="7"/>
      <c r="C256" s="7"/>
      <c r="D256" s="7"/>
      <c r="E256" s="7"/>
      <c r="F256" s="7"/>
      <c r="H256" s="22"/>
    </row>
    <row r="257" spans="2:8" ht="14.25" customHeight="1">
      <c r="B257" s="7"/>
      <c r="C257" s="7"/>
      <c r="D257" s="7"/>
      <c r="E257" s="7"/>
      <c r="F257" s="7"/>
      <c r="H257" s="22"/>
    </row>
    <row r="258" spans="2:8" ht="14.25" customHeight="1">
      <c r="B258" s="7"/>
      <c r="C258" s="7"/>
      <c r="D258" s="7"/>
      <c r="E258" s="7"/>
      <c r="F258" s="7"/>
      <c r="H258" s="22"/>
    </row>
    <row r="259" spans="2:8" ht="14.25" customHeight="1">
      <c r="B259" s="7"/>
      <c r="C259" s="7"/>
      <c r="D259" s="7"/>
      <c r="E259" s="7"/>
      <c r="F259" s="7"/>
      <c r="H259" s="22"/>
    </row>
    <row r="260" spans="2:8" ht="14.25" customHeight="1">
      <c r="B260" s="7"/>
      <c r="C260" s="7"/>
      <c r="D260" s="7"/>
      <c r="E260" s="7"/>
      <c r="F260" s="7"/>
      <c r="H260" s="22"/>
    </row>
    <row r="261" spans="2:8" ht="14.25" customHeight="1">
      <c r="B261" s="7"/>
      <c r="C261" s="7"/>
      <c r="D261" s="7"/>
      <c r="E261" s="7"/>
      <c r="F261" s="7"/>
      <c r="H261" s="22"/>
    </row>
    <row r="262" spans="2:8" ht="14.25" customHeight="1">
      <c r="B262" s="7"/>
      <c r="C262" s="7"/>
      <c r="D262" s="7"/>
      <c r="E262" s="7"/>
      <c r="F262" s="7"/>
      <c r="H262" s="22"/>
    </row>
    <row r="263" spans="2:8" ht="14.25" customHeight="1">
      <c r="B263" s="7"/>
      <c r="C263" s="7"/>
      <c r="D263" s="7"/>
      <c r="E263" s="7"/>
      <c r="F263" s="7"/>
      <c r="H263" s="22"/>
    </row>
    <row r="264" spans="2:8" ht="14.25" customHeight="1">
      <c r="B264" s="7"/>
      <c r="C264" s="7"/>
      <c r="D264" s="7"/>
      <c r="E264" s="7"/>
      <c r="F264" s="7"/>
      <c r="H264" s="22"/>
    </row>
    <row r="265" spans="2:8" ht="14.25" customHeight="1">
      <c r="B265" s="7"/>
      <c r="C265" s="7"/>
      <c r="D265" s="7"/>
      <c r="E265" s="7"/>
      <c r="F265" s="7"/>
      <c r="H265" s="22"/>
    </row>
    <row r="266" spans="2:8" ht="14.25" customHeight="1">
      <c r="B266" s="7"/>
      <c r="C266" s="7"/>
      <c r="D266" s="7"/>
      <c r="E266" s="7"/>
      <c r="F266" s="7"/>
      <c r="H266" s="22"/>
    </row>
    <row r="267" spans="2:8" ht="14.25" customHeight="1">
      <c r="B267" s="7"/>
      <c r="C267" s="7"/>
      <c r="D267" s="7"/>
      <c r="E267" s="7"/>
      <c r="F267" s="7"/>
      <c r="H267" s="22"/>
    </row>
    <row r="268" spans="2:8" ht="14.25" customHeight="1">
      <c r="B268" s="7"/>
      <c r="C268" s="7"/>
      <c r="D268" s="7"/>
      <c r="E268" s="7"/>
      <c r="F268" s="7"/>
      <c r="H268" s="22"/>
    </row>
    <row r="269" spans="2:8" ht="14.25" customHeight="1">
      <c r="B269" s="7"/>
      <c r="C269" s="7"/>
      <c r="D269" s="7"/>
      <c r="E269" s="7"/>
      <c r="F269" s="7"/>
      <c r="H269" s="22"/>
    </row>
    <row r="270" spans="2:8" ht="14.25" customHeight="1">
      <c r="B270" s="7"/>
      <c r="C270" s="7"/>
      <c r="D270" s="7"/>
      <c r="E270" s="7"/>
      <c r="F270" s="7"/>
      <c r="H270" s="22"/>
    </row>
    <row r="271" spans="2:8" ht="14.25" customHeight="1">
      <c r="B271" s="7"/>
      <c r="C271" s="7"/>
      <c r="D271" s="7"/>
      <c r="E271" s="7"/>
      <c r="F271" s="7"/>
      <c r="H271" s="22"/>
    </row>
    <row r="272" spans="2:8" ht="14.25" customHeight="1">
      <c r="B272" s="7"/>
      <c r="C272" s="7"/>
      <c r="D272" s="7"/>
      <c r="E272" s="7"/>
      <c r="F272" s="7"/>
      <c r="H272" s="22"/>
    </row>
    <row r="273" spans="2:8" ht="14.25" customHeight="1">
      <c r="B273" s="7"/>
      <c r="C273" s="7"/>
      <c r="D273" s="7"/>
      <c r="E273" s="7"/>
      <c r="F273" s="7"/>
      <c r="H273" s="22"/>
    </row>
    <row r="274" spans="2:8" ht="14.25" customHeight="1">
      <c r="B274" s="7"/>
      <c r="C274" s="7"/>
      <c r="D274" s="7"/>
      <c r="E274" s="7"/>
      <c r="F274" s="7"/>
      <c r="H274" s="22"/>
    </row>
    <row r="275" spans="2:8" ht="14.25" customHeight="1">
      <c r="B275" s="7"/>
      <c r="C275" s="7"/>
      <c r="D275" s="7"/>
      <c r="E275" s="7"/>
      <c r="F275" s="7"/>
      <c r="H275" s="22"/>
    </row>
    <row r="276" spans="2:8" ht="14.25" customHeight="1">
      <c r="B276" s="7"/>
      <c r="C276" s="7"/>
      <c r="D276" s="7"/>
      <c r="E276" s="7"/>
      <c r="F276" s="7"/>
      <c r="H276" s="22"/>
    </row>
    <row r="277" spans="2:8" ht="14.25" customHeight="1">
      <c r="B277" s="7"/>
      <c r="C277" s="7"/>
      <c r="D277" s="7"/>
      <c r="E277" s="7"/>
      <c r="F277" s="7"/>
      <c r="H277" s="22"/>
    </row>
    <row r="278" spans="2:8" ht="14.25" customHeight="1">
      <c r="B278" s="7"/>
      <c r="C278" s="7"/>
      <c r="D278" s="7"/>
      <c r="E278" s="7"/>
      <c r="F278" s="7"/>
      <c r="H278" s="22"/>
    </row>
    <row r="279" spans="2:8" ht="14.25" customHeight="1">
      <c r="B279" s="7"/>
      <c r="C279" s="7"/>
      <c r="D279" s="7"/>
      <c r="E279" s="7"/>
      <c r="F279" s="7"/>
      <c r="H279" s="22"/>
    </row>
    <row r="280" spans="2:8" ht="14.25" customHeight="1">
      <c r="B280" s="7"/>
      <c r="C280" s="7"/>
      <c r="D280" s="7"/>
      <c r="E280" s="7"/>
      <c r="F280" s="7"/>
      <c r="H280" s="22"/>
    </row>
    <row r="281" spans="2:8" ht="14.25" customHeight="1">
      <c r="B281" s="7"/>
      <c r="C281" s="7"/>
      <c r="D281" s="7"/>
      <c r="E281" s="7"/>
      <c r="F281" s="7"/>
      <c r="H281" s="22"/>
    </row>
    <row r="282" spans="2:8" ht="14.25" customHeight="1">
      <c r="B282" s="7"/>
      <c r="C282" s="7"/>
      <c r="D282" s="7"/>
      <c r="E282" s="7"/>
      <c r="F282" s="7"/>
      <c r="H282" s="22"/>
    </row>
    <row r="283" spans="2:8" ht="14.25" customHeight="1">
      <c r="B283" s="7"/>
      <c r="C283" s="7"/>
      <c r="D283" s="7"/>
      <c r="E283" s="7"/>
      <c r="F283" s="7"/>
      <c r="H283" s="22"/>
    </row>
    <row r="284" spans="2:8" ht="14.25" customHeight="1">
      <c r="B284" s="7"/>
      <c r="C284" s="7"/>
      <c r="D284" s="7"/>
      <c r="E284" s="7"/>
      <c r="F284" s="7"/>
      <c r="H284" s="22"/>
    </row>
    <row r="285" spans="2:8" ht="14.25" customHeight="1">
      <c r="B285" s="7"/>
      <c r="C285" s="7"/>
      <c r="D285" s="7"/>
      <c r="E285" s="7"/>
      <c r="F285" s="7"/>
      <c r="H285" s="22"/>
    </row>
    <row r="286" spans="2:8" ht="14.25" customHeight="1">
      <c r="B286" s="7"/>
      <c r="C286" s="7"/>
      <c r="D286" s="7"/>
      <c r="E286" s="7"/>
      <c r="F286" s="7"/>
      <c r="H286" s="22"/>
    </row>
    <row r="287" spans="2:8" ht="14.25" customHeight="1">
      <c r="B287" s="7"/>
      <c r="C287" s="7"/>
      <c r="D287" s="7"/>
      <c r="E287" s="7"/>
      <c r="F287" s="7"/>
      <c r="H287" s="22"/>
    </row>
    <row r="288" spans="2:8" ht="14.25" customHeight="1">
      <c r="B288" s="7"/>
      <c r="C288" s="7"/>
      <c r="D288" s="7"/>
      <c r="E288" s="7"/>
      <c r="F288" s="7"/>
      <c r="H288" s="22"/>
    </row>
    <row r="289" spans="2:8" ht="14.25" customHeight="1">
      <c r="B289" s="7"/>
      <c r="C289" s="7"/>
      <c r="D289" s="7"/>
      <c r="E289" s="7"/>
      <c r="F289" s="7"/>
      <c r="H289" s="22"/>
    </row>
    <row r="290" spans="2:8" ht="14.25" customHeight="1">
      <c r="B290" s="7"/>
      <c r="C290" s="7"/>
      <c r="D290" s="7"/>
      <c r="E290" s="7"/>
      <c r="F290" s="7"/>
      <c r="H290" s="22"/>
    </row>
    <row r="291" spans="2:8" ht="14.25" customHeight="1">
      <c r="B291" s="7"/>
      <c r="C291" s="7"/>
      <c r="D291" s="7"/>
      <c r="E291" s="7"/>
      <c r="F291" s="7"/>
      <c r="H291" s="22"/>
    </row>
    <row r="292" spans="2:8" ht="14.25" customHeight="1">
      <c r="B292" s="7"/>
      <c r="C292" s="7"/>
      <c r="D292" s="7"/>
      <c r="E292" s="7"/>
      <c r="F292" s="7"/>
      <c r="H292" s="22"/>
    </row>
    <row r="293" spans="2:8" ht="14.25" customHeight="1">
      <c r="B293" s="7"/>
      <c r="C293" s="7"/>
      <c r="D293" s="7"/>
      <c r="E293" s="7"/>
      <c r="F293" s="7"/>
      <c r="H293" s="22"/>
    </row>
    <row r="294" spans="2:8" ht="14.25" customHeight="1">
      <c r="B294" s="7"/>
      <c r="C294" s="7"/>
      <c r="D294" s="7"/>
      <c r="E294" s="7"/>
      <c r="F294" s="7"/>
      <c r="H294" s="22"/>
    </row>
    <row r="295" spans="2:8" ht="14.25" customHeight="1">
      <c r="B295" s="7"/>
      <c r="C295" s="7"/>
      <c r="D295" s="7"/>
      <c r="E295" s="7"/>
      <c r="F295" s="7"/>
      <c r="H295" s="22"/>
    </row>
    <row r="296" spans="2:8" ht="14.25" customHeight="1">
      <c r="B296" s="7"/>
      <c r="C296" s="7"/>
      <c r="D296" s="7"/>
      <c r="E296" s="7"/>
      <c r="F296" s="7"/>
      <c r="H296" s="22"/>
    </row>
    <row r="297" spans="2:8" ht="14.25" customHeight="1">
      <c r="B297" s="7"/>
      <c r="C297" s="7"/>
      <c r="D297" s="7"/>
      <c r="E297" s="7"/>
      <c r="F297" s="7"/>
      <c r="H297" s="22"/>
    </row>
    <row r="298" spans="2:8" ht="14.25" customHeight="1">
      <c r="B298" s="7"/>
      <c r="C298" s="7"/>
      <c r="D298" s="7"/>
      <c r="E298" s="7"/>
      <c r="F298" s="7"/>
      <c r="H298" s="22"/>
    </row>
    <row r="299" spans="2:8" ht="14.25" customHeight="1">
      <c r="B299" s="7"/>
      <c r="C299" s="7"/>
      <c r="D299" s="7"/>
      <c r="E299" s="7"/>
      <c r="F299" s="7"/>
      <c r="H299" s="22"/>
    </row>
    <row r="300" spans="2:8" ht="14.25" customHeight="1">
      <c r="B300" s="7"/>
      <c r="C300" s="7"/>
      <c r="D300" s="7"/>
      <c r="E300" s="7"/>
      <c r="F300" s="7"/>
      <c r="H300" s="22"/>
    </row>
    <row r="301" spans="2:8" ht="14.25" customHeight="1">
      <c r="B301" s="7"/>
      <c r="C301" s="7"/>
      <c r="D301" s="7"/>
      <c r="E301" s="7"/>
      <c r="F301" s="7"/>
      <c r="H301" s="22"/>
    </row>
    <row r="302" spans="2:8" ht="14.25" customHeight="1">
      <c r="B302" s="7"/>
      <c r="C302" s="7"/>
      <c r="D302" s="7"/>
      <c r="E302" s="7"/>
      <c r="F302" s="7"/>
      <c r="H302" s="22"/>
    </row>
    <row r="303" spans="2:8" ht="14.25" customHeight="1">
      <c r="B303" s="7"/>
      <c r="C303" s="7"/>
      <c r="D303" s="7"/>
      <c r="E303" s="7"/>
      <c r="F303" s="7"/>
      <c r="H303" s="22"/>
    </row>
    <row r="304" spans="2:8" ht="14.25" customHeight="1">
      <c r="B304" s="7"/>
      <c r="C304" s="7"/>
      <c r="D304" s="7"/>
      <c r="E304" s="7"/>
      <c r="F304" s="7"/>
      <c r="H304" s="22"/>
    </row>
    <row r="305" spans="2:8" ht="14.25" customHeight="1">
      <c r="B305" s="7"/>
      <c r="C305" s="7"/>
      <c r="D305" s="7"/>
      <c r="E305" s="7"/>
      <c r="F305" s="7"/>
      <c r="H305" s="22"/>
    </row>
    <row r="306" spans="2:8" ht="14.25" customHeight="1">
      <c r="B306" s="7"/>
      <c r="C306" s="7"/>
      <c r="D306" s="7"/>
      <c r="E306" s="7"/>
      <c r="F306" s="7"/>
      <c r="H306" s="22"/>
    </row>
    <row r="307" spans="2:8" ht="14.25" customHeight="1">
      <c r="B307" s="7"/>
      <c r="C307" s="7"/>
      <c r="D307" s="7"/>
      <c r="E307" s="7"/>
      <c r="F307" s="7"/>
      <c r="H307" s="22"/>
    </row>
    <row r="308" spans="2:8" ht="14.25" customHeight="1">
      <c r="B308" s="7"/>
      <c r="C308" s="7"/>
      <c r="D308" s="7"/>
      <c r="E308" s="7"/>
      <c r="F308" s="7"/>
      <c r="H308" s="22"/>
    </row>
    <row r="309" spans="2:8" ht="14.25" customHeight="1">
      <c r="B309" s="7"/>
      <c r="C309" s="7"/>
      <c r="D309" s="7"/>
      <c r="E309" s="7"/>
      <c r="F309" s="7"/>
      <c r="H309" s="22"/>
    </row>
    <row r="310" spans="2:8" ht="14.25" customHeight="1">
      <c r="B310" s="7"/>
      <c r="C310" s="7"/>
      <c r="D310" s="7"/>
      <c r="E310" s="7"/>
      <c r="F310" s="7"/>
      <c r="H310" s="22"/>
    </row>
    <row r="311" spans="2:8" ht="14.25" customHeight="1">
      <c r="B311" s="7"/>
      <c r="C311" s="7"/>
      <c r="D311" s="7"/>
      <c r="E311" s="7"/>
      <c r="F311" s="7"/>
      <c r="H311" s="22"/>
    </row>
    <row r="312" spans="2:8" ht="14.25" customHeight="1">
      <c r="B312" s="7"/>
      <c r="C312" s="7"/>
      <c r="D312" s="7"/>
      <c r="E312" s="7"/>
      <c r="F312" s="7"/>
      <c r="H312" s="22"/>
    </row>
    <row r="313" spans="2:8" ht="14.25" customHeight="1">
      <c r="B313" s="7"/>
      <c r="C313" s="7"/>
      <c r="D313" s="7"/>
      <c r="E313" s="7"/>
      <c r="F313" s="7"/>
      <c r="H313" s="22"/>
    </row>
    <row r="314" spans="2:8" ht="14.25" customHeight="1">
      <c r="B314" s="7"/>
      <c r="C314" s="7"/>
      <c r="D314" s="7"/>
      <c r="E314" s="7"/>
      <c r="F314" s="7"/>
      <c r="H314" s="22"/>
    </row>
    <row r="315" spans="2:8" ht="14.25" customHeight="1">
      <c r="B315" s="7"/>
      <c r="C315" s="7"/>
      <c r="D315" s="7"/>
      <c r="E315" s="7"/>
      <c r="F315" s="7"/>
      <c r="H315" s="22"/>
    </row>
    <row r="316" spans="2:8" ht="14.25" customHeight="1">
      <c r="B316" s="7"/>
      <c r="C316" s="7"/>
      <c r="D316" s="7"/>
      <c r="E316" s="7"/>
      <c r="F316" s="7"/>
      <c r="H316" s="22"/>
    </row>
    <row r="317" spans="2:8" ht="14.25" customHeight="1">
      <c r="B317" s="7"/>
      <c r="C317" s="7"/>
      <c r="D317" s="7"/>
      <c r="E317" s="7"/>
      <c r="F317" s="7"/>
      <c r="H317" s="22"/>
    </row>
    <row r="318" spans="2:8" ht="14.25" customHeight="1">
      <c r="B318" s="7"/>
      <c r="C318" s="7"/>
      <c r="D318" s="7"/>
      <c r="E318" s="7"/>
      <c r="F318" s="7"/>
      <c r="H318" s="22"/>
    </row>
    <row r="319" spans="2:8" ht="14.25" customHeight="1">
      <c r="B319" s="7"/>
      <c r="C319" s="7"/>
      <c r="D319" s="7"/>
      <c r="E319" s="7"/>
      <c r="F319" s="7"/>
      <c r="H319" s="22"/>
    </row>
    <row r="320" spans="2:8" ht="14.25" customHeight="1">
      <c r="B320" s="7"/>
      <c r="C320" s="7"/>
      <c r="D320" s="7"/>
      <c r="E320" s="7"/>
      <c r="F320" s="7"/>
      <c r="H320" s="22"/>
    </row>
    <row r="321" spans="2:8" ht="14.25" customHeight="1">
      <c r="B321" s="7"/>
      <c r="C321" s="7"/>
      <c r="D321" s="7"/>
      <c r="E321" s="7"/>
      <c r="F321" s="7"/>
      <c r="H321" s="22"/>
    </row>
    <row r="322" spans="2:8" ht="14.25" customHeight="1">
      <c r="B322" s="7"/>
      <c r="C322" s="7"/>
      <c r="D322" s="7"/>
      <c r="E322" s="7"/>
      <c r="F322" s="7"/>
      <c r="H322" s="22"/>
    </row>
    <row r="323" spans="2:8" ht="14.25" customHeight="1">
      <c r="B323" s="7"/>
      <c r="C323" s="7"/>
      <c r="D323" s="7"/>
      <c r="E323" s="7"/>
      <c r="F323" s="7"/>
      <c r="H323" s="22"/>
    </row>
    <row r="324" spans="2:8" ht="14.25" customHeight="1">
      <c r="B324" s="7"/>
      <c r="C324" s="7"/>
      <c r="D324" s="7"/>
      <c r="E324" s="7"/>
      <c r="F324" s="7"/>
      <c r="H324" s="22"/>
    </row>
    <row r="325" spans="2:8" ht="14.25" customHeight="1">
      <c r="B325" s="7"/>
      <c r="C325" s="7"/>
      <c r="D325" s="7"/>
      <c r="E325" s="7"/>
      <c r="F325" s="7"/>
      <c r="H325" s="22"/>
    </row>
    <row r="326" spans="2:8" ht="14.25" customHeight="1">
      <c r="B326" s="7"/>
      <c r="C326" s="7"/>
      <c r="D326" s="7"/>
      <c r="E326" s="7"/>
      <c r="F326" s="7"/>
      <c r="H326" s="22"/>
    </row>
    <row r="327" spans="2:8" ht="14.25" customHeight="1">
      <c r="B327" s="7"/>
      <c r="C327" s="7"/>
      <c r="D327" s="7"/>
      <c r="E327" s="7"/>
      <c r="F327" s="7"/>
      <c r="H327" s="22"/>
    </row>
    <row r="328" spans="2:8" ht="14.25" customHeight="1">
      <c r="B328" s="7"/>
      <c r="C328" s="7"/>
      <c r="D328" s="7"/>
      <c r="E328" s="7"/>
      <c r="F328" s="7"/>
      <c r="H328" s="22"/>
    </row>
    <row r="329" spans="2:8" ht="14.25" customHeight="1">
      <c r="B329" s="7"/>
      <c r="C329" s="7"/>
      <c r="D329" s="7"/>
      <c r="E329" s="7"/>
      <c r="F329" s="7"/>
      <c r="H329" s="22"/>
    </row>
    <row r="330" spans="2:8" ht="14.25" customHeight="1">
      <c r="B330" s="7"/>
      <c r="C330" s="7"/>
      <c r="D330" s="7"/>
      <c r="E330" s="7"/>
      <c r="F330" s="7"/>
      <c r="H330" s="22"/>
    </row>
    <row r="331" spans="2:8" ht="14.25" customHeight="1">
      <c r="B331" s="7"/>
      <c r="C331" s="7"/>
      <c r="D331" s="7"/>
      <c r="E331" s="7"/>
      <c r="F331" s="7"/>
      <c r="H331" s="22"/>
    </row>
    <row r="332" spans="2:8" ht="14.25" customHeight="1">
      <c r="B332" s="7"/>
      <c r="C332" s="7"/>
      <c r="D332" s="7"/>
      <c r="E332" s="7"/>
      <c r="F332" s="7"/>
      <c r="H332" s="22"/>
    </row>
    <row r="333" spans="2:8" ht="14.25" customHeight="1">
      <c r="B333" s="7"/>
      <c r="C333" s="7"/>
      <c r="D333" s="7"/>
      <c r="E333" s="7"/>
      <c r="F333" s="7"/>
      <c r="H333" s="22"/>
    </row>
    <row r="334" spans="2:8" ht="14.25" customHeight="1">
      <c r="B334" s="7"/>
      <c r="C334" s="7"/>
      <c r="D334" s="7"/>
      <c r="E334" s="7"/>
      <c r="F334" s="7"/>
      <c r="H334" s="22"/>
    </row>
    <row r="335" spans="2:8" ht="14.25" customHeight="1">
      <c r="B335" s="7"/>
      <c r="C335" s="7"/>
      <c r="D335" s="7"/>
      <c r="E335" s="7"/>
      <c r="F335" s="7"/>
      <c r="H335" s="22"/>
    </row>
    <row r="336" spans="2:8" ht="14.25" customHeight="1">
      <c r="B336" s="7"/>
      <c r="C336" s="7"/>
      <c r="D336" s="7"/>
      <c r="E336" s="7"/>
      <c r="F336" s="7"/>
      <c r="H336" s="22"/>
    </row>
    <row r="337" spans="2:8" ht="14.25" customHeight="1">
      <c r="B337" s="7"/>
      <c r="C337" s="7"/>
      <c r="D337" s="7"/>
      <c r="E337" s="7"/>
      <c r="F337" s="7"/>
      <c r="H337" s="22"/>
    </row>
    <row r="338" spans="2:8" ht="14.25" customHeight="1">
      <c r="B338" s="7"/>
      <c r="C338" s="7"/>
      <c r="D338" s="7"/>
      <c r="E338" s="7"/>
      <c r="F338" s="7"/>
      <c r="H338" s="22"/>
    </row>
    <row r="339" spans="2:8" ht="14.25" customHeight="1">
      <c r="B339" s="7"/>
      <c r="C339" s="7"/>
      <c r="D339" s="7"/>
      <c r="E339" s="7"/>
      <c r="F339" s="7"/>
      <c r="H339" s="22"/>
    </row>
    <row r="340" spans="2:8" ht="14.25" customHeight="1">
      <c r="B340" s="7"/>
      <c r="C340" s="7"/>
      <c r="D340" s="7"/>
      <c r="E340" s="7"/>
      <c r="F340" s="7"/>
      <c r="H340" s="22"/>
    </row>
    <row r="341" spans="2:8" ht="14.25" customHeight="1">
      <c r="B341" s="7"/>
      <c r="C341" s="7"/>
      <c r="D341" s="7"/>
      <c r="E341" s="7"/>
      <c r="F341" s="7"/>
      <c r="H341" s="22"/>
    </row>
    <row r="342" spans="2:8" ht="14.25" customHeight="1">
      <c r="B342" s="7"/>
      <c r="C342" s="7"/>
      <c r="D342" s="7"/>
      <c r="E342" s="7"/>
      <c r="F342" s="7"/>
      <c r="H342" s="22"/>
    </row>
    <row r="343" spans="2:8" ht="14.25" customHeight="1">
      <c r="B343" s="7"/>
      <c r="C343" s="7"/>
      <c r="D343" s="7"/>
      <c r="E343" s="7"/>
      <c r="F343" s="7"/>
      <c r="H343" s="22"/>
    </row>
    <row r="344" spans="2:8" ht="14.25" customHeight="1">
      <c r="B344" s="7"/>
      <c r="C344" s="7"/>
      <c r="D344" s="7"/>
      <c r="E344" s="7"/>
      <c r="F344" s="7"/>
      <c r="H344" s="22"/>
    </row>
    <row r="345" spans="2:8" ht="14.25" customHeight="1">
      <c r="B345" s="7"/>
      <c r="C345" s="7"/>
      <c r="D345" s="7"/>
      <c r="E345" s="7"/>
      <c r="F345" s="7"/>
      <c r="H345" s="22"/>
    </row>
    <row r="346" spans="2:8" ht="14.25" customHeight="1">
      <c r="B346" s="7"/>
      <c r="C346" s="7"/>
      <c r="D346" s="7"/>
      <c r="E346" s="7"/>
      <c r="F346" s="7"/>
      <c r="H346" s="22"/>
    </row>
    <row r="347" spans="2:8" ht="14.25" customHeight="1">
      <c r="B347" s="7"/>
      <c r="C347" s="7"/>
      <c r="D347" s="7"/>
      <c r="E347" s="7"/>
      <c r="F347" s="7"/>
      <c r="H347" s="22"/>
    </row>
    <row r="348" spans="2:8" ht="14.25" customHeight="1">
      <c r="B348" s="7"/>
      <c r="C348" s="7"/>
      <c r="D348" s="7"/>
      <c r="E348" s="7"/>
      <c r="F348" s="7"/>
      <c r="H348" s="22"/>
    </row>
    <row r="349" spans="2:8" ht="14.25" customHeight="1">
      <c r="B349" s="7"/>
      <c r="C349" s="7"/>
      <c r="D349" s="7"/>
      <c r="E349" s="7"/>
      <c r="F349" s="7"/>
      <c r="H349" s="22"/>
    </row>
    <row r="350" spans="2:8" ht="14.25" customHeight="1">
      <c r="B350" s="7"/>
      <c r="C350" s="7"/>
      <c r="D350" s="7"/>
      <c r="E350" s="7"/>
      <c r="F350" s="7"/>
      <c r="H350" s="22"/>
    </row>
    <row r="351" spans="2:8" ht="14.25" customHeight="1">
      <c r="B351" s="7"/>
      <c r="C351" s="7"/>
      <c r="D351" s="7"/>
      <c r="E351" s="7"/>
      <c r="F351" s="7"/>
      <c r="H351" s="22"/>
    </row>
    <row r="352" spans="2:8" ht="14.25" customHeight="1">
      <c r="B352" s="7"/>
      <c r="C352" s="7"/>
      <c r="D352" s="7"/>
      <c r="E352" s="7"/>
      <c r="F352" s="7"/>
      <c r="H352" s="22"/>
    </row>
    <row r="353" spans="2:8" ht="14.25" customHeight="1">
      <c r="B353" s="7"/>
      <c r="C353" s="7"/>
      <c r="D353" s="7"/>
      <c r="E353" s="7"/>
      <c r="F353" s="7"/>
      <c r="H353" s="22"/>
    </row>
    <row r="354" spans="2:8" ht="14.25" customHeight="1">
      <c r="B354" s="7"/>
      <c r="C354" s="7"/>
      <c r="D354" s="7"/>
      <c r="E354" s="7"/>
      <c r="F354" s="7"/>
      <c r="H354" s="22"/>
    </row>
    <row r="355" spans="2:8" ht="14.25" customHeight="1">
      <c r="B355" s="7"/>
      <c r="C355" s="7"/>
      <c r="D355" s="7"/>
      <c r="E355" s="7"/>
      <c r="F355" s="7"/>
      <c r="H355" s="22"/>
    </row>
    <row r="356" spans="2:8" ht="14.25" customHeight="1">
      <c r="B356" s="7"/>
      <c r="C356" s="7"/>
      <c r="D356" s="7"/>
      <c r="E356" s="7"/>
      <c r="F356" s="7"/>
      <c r="H356" s="22"/>
    </row>
    <row r="357" spans="2:8" ht="14.25" customHeight="1">
      <c r="B357" s="7"/>
      <c r="C357" s="7"/>
      <c r="D357" s="7"/>
      <c r="E357" s="7"/>
      <c r="F357" s="7"/>
      <c r="H357" s="22"/>
    </row>
    <row r="358" spans="2:8" ht="14.25" customHeight="1">
      <c r="B358" s="7"/>
      <c r="C358" s="7"/>
      <c r="D358" s="7"/>
      <c r="E358" s="7"/>
      <c r="F358" s="7"/>
      <c r="H358" s="22"/>
    </row>
    <row r="359" spans="2:8" ht="14.25" customHeight="1">
      <c r="B359" s="7"/>
      <c r="C359" s="7"/>
      <c r="D359" s="7"/>
      <c r="E359" s="7"/>
      <c r="F359" s="7"/>
      <c r="H359" s="22"/>
    </row>
    <row r="360" spans="2:8" ht="14.25" customHeight="1">
      <c r="B360" s="7"/>
      <c r="C360" s="7"/>
      <c r="D360" s="7"/>
      <c r="E360" s="7"/>
      <c r="F360" s="7"/>
      <c r="H360" s="22"/>
    </row>
    <row r="361" spans="2:8" ht="14.25" customHeight="1">
      <c r="B361" s="7"/>
      <c r="C361" s="7"/>
      <c r="D361" s="7"/>
      <c r="E361" s="7"/>
      <c r="F361" s="7"/>
      <c r="H361" s="22"/>
    </row>
    <row r="362" spans="2:8" ht="14.25" customHeight="1">
      <c r="B362" s="7"/>
      <c r="C362" s="7"/>
      <c r="D362" s="7"/>
      <c r="E362" s="7"/>
      <c r="F362" s="7"/>
      <c r="H362" s="22"/>
    </row>
    <row r="363" spans="2:8" ht="14.25" customHeight="1">
      <c r="B363" s="7"/>
      <c r="C363" s="7"/>
      <c r="D363" s="7"/>
      <c r="E363" s="7"/>
      <c r="F363" s="7"/>
      <c r="H363" s="22"/>
    </row>
    <row r="364" spans="2:8" ht="14.25" customHeight="1">
      <c r="B364" s="7"/>
      <c r="C364" s="7"/>
      <c r="D364" s="7"/>
      <c r="E364" s="7"/>
      <c r="F364" s="7"/>
      <c r="H364" s="22"/>
    </row>
    <row r="365" spans="2:8" ht="14.25" customHeight="1">
      <c r="B365" s="7"/>
      <c r="C365" s="7"/>
      <c r="D365" s="7"/>
      <c r="E365" s="7"/>
      <c r="F365" s="7"/>
      <c r="H365" s="22"/>
    </row>
    <row r="366" spans="2:8" ht="14.25" customHeight="1">
      <c r="B366" s="7"/>
      <c r="C366" s="7"/>
      <c r="D366" s="7"/>
      <c r="E366" s="7"/>
      <c r="F366" s="7"/>
      <c r="H366" s="22"/>
    </row>
    <row r="367" spans="2:8" ht="14.25" customHeight="1">
      <c r="B367" s="7"/>
      <c r="C367" s="7"/>
      <c r="D367" s="7"/>
      <c r="E367" s="7"/>
      <c r="F367" s="7"/>
      <c r="H367" s="22"/>
    </row>
    <row r="368" spans="2:8" ht="14.25" customHeight="1">
      <c r="B368" s="7"/>
      <c r="C368" s="7"/>
      <c r="D368" s="7"/>
      <c r="E368" s="7"/>
      <c r="F368" s="7"/>
      <c r="H368" s="22"/>
    </row>
    <row r="369" spans="2:8" ht="14.25" customHeight="1">
      <c r="B369" s="7"/>
      <c r="C369" s="7"/>
      <c r="D369" s="7"/>
      <c r="E369" s="7"/>
      <c r="F369" s="7"/>
      <c r="H369" s="22"/>
    </row>
    <row r="370" spans="2:8" ht="14.25" customHeight="1">
      <c r="B370" s="7"/>
      <c r="C370" s="7"/>
      <c r="D370" s="7"/>
      <c r="E370" s="7"/>
      <c r="F370" s="7"/>
      <c r="H370" s="22"/>
    </row>
    <row r="371" spans="2:8" ht="14.25" customHeight="1">
      <c r="B371" s="7"/>
      <c r="C371" s="7"/>
      <c r="D371" s="7"/>
      <c r="E371" s="7"/>
      <c r="F371" s="7"/>
      <c r="H371" s="22"/>
    </row>
    <row r="372" spans="2:8" ht="14.25" customHeight="1">
      <c r="B372" s="7"/>
      <c r="C372" s="7"/>
      <c r="D372" s="7"/>
      <c r="E372" s="7"/>
      <c r="F372" s="7"/>
      <c r="H372" s="22"/>
    </row>
    <row r="373" spans="2:8" ht="14.25" customHeight="1">
      <c r="B373" s="7"/>
      <c r="C373" s="7"/>
      <c r="D373" s="7"/>
      <c r="E373" s="7"/>
      <c r="F373" s="7"/>
      <c r="H373" s="22"/>
    </row>
    <row r="374" spans="2:8" ht="14.25" customHeight="1">
      <c r="B374" s="7"/>
      <c r="C374" s="7"/>
      <c r="D374" s="7"/>
      <c r="E374" s="7"/>
      <c r="F374" s="7"/>
      <c r="H374" s="22"/>
    </row>
    <row r="375" spans="2:8" ht="14.25" customHeight="1">
      <c r="B375" s="7"/>
      <c r="C375" s="7"/>
      <c r="D375" s="7"/>
      <c r="E375" s="7"/>
      <c r="F375" s="7"/>
      <c r="H375" s="22"/>
    </row>
    <row r="376" spans="2:8" ht="14.25" customHeight="1">
      <c r="B376" s="7"/>
      <c r="C376" s="7"/>
      <c r="D376" s="7"/>
      <c r="E376" s="7"/>
      <c r="F376" s="7"/>
      <c r="H376" s="22"/>
    </row>
    <row r="377" spans="2:8" ht="14.25" customHeight="1">
      <c r="B377" s="7"/>
      <c r="C377" s="7"/>
      <c r="D377" s="7"/>
      <c r="E377" s="7"/>
      <c r="F377" s="7"/>
      <c r="H377" s="22"/>
    </row>
    <row r="378" spans="2:8" ht="14.25" customHeight="1">
      <c r="B378" s="7"/>
      <c r="C378" s="7"/>
      <c r="D378" s="7"/>
      <c r="E378" s="7"/>
      <c r="F378" s="7"/>
      <c r="H378" s="22"/>
    </row>
    <row r="379" spans="2:8" ht="14.25" customHeight="1">
      <c r="B379" s="7"/>
      <c r="C379" s="7"/>
      <c r="D379" s="7"/>
      <c r="E379" s="7"/>
      <c r="F379" s="7"/>
      <c r="H379" s="22"/>
    </row>
    <row r="380" spans="2:8" ht="14.25" customHeight="1">
      <c r="B380" s="7"/>
      <c r="C380" s="7"/>
      <c r="D380" s="7"/>
      <c r="E380" s="7"/>
      <c r="F380" s="7"/>
      <c r="H380" s="22"/>
    </row>
    <row r="381" spans="2:8" ht="14.25" customHeight="1">
      <c r="B381" s="7"/>
      <c r="C381" s="7"/>
      <c r="D381" s="7"/>
      <c r="E381" s="7"/>
      <c r="F381" s="7"/>
      <c r="H381" s="22"/>
    </row>
    <row r="382" spans="2:8" ht="14.25" customHeight="1">
      <c r="B382" s="7"/>
      <c r="C382" s="7"/>
      <c r="D382" s="7"/>
      <c r="E382" s="7"/>
      <c r="F382" s="7"/>
      <c r="H382" s="22"/>
    </row>
    <row r="383" spans="2:8" ht="14.25" customHeight="1">
      <c r="B383" s="7"/>
      <c r="C383" s="7"/>
      <c r="D383" s="7"/>
      <c r="E383" s="7"/>
      <c r="F383" s="7"/>
      <c r="H383" s="22"/>
    </row>
    <row r="384" spans="2:8" ht="14.25" customHeight="1">
      <c r="B384" s="7"/>
      <c r="C384" s="7"/>
      <c r="D384" s="7"/>
      <c r="E384" s="7"/>
      <c r="F384" s="7"/>
      <c r="H384" s="22"/>
    </row>
    <row r="385" spans="2:8" ht="14.25" customHeight="1">
      <c r="B385" s="7"/>
      <c r="C385" s="7"/>
      <c r="D385" s="7"/>
      <c r="E385" s="7"/>
      <c r="F385" s="7"/>
      <c r="H385" s="22"/>
    </row>
    <row r="386" spans="2:8" ht="14.25" customHeight="1">
      <c r="B386" s="7"/>
      <c r="C386" s="7"/>
      <c r="D386" s="7"/>
      <c r="E386" s="7"/>
      <c r="F386" s="7"/>
      <c r="H386" s="22"/>
    </row>
    <row r="387" spans="2:8" ht="14.25" customHeight="1">
      <c r="B387" s="7"/>
      <c r="C387" s="7"/>
      <c r="D387" s="7"/>
      <c r="E387" s="7"/>
      <c r="F387" s="7"/>
      <c r="H387" s="22"/>
    </row>
    <row r="388" spans="2:8" ht="14.25" customHeight="1">
      <c r="B388" s="7"/>
      <c r="C388" s="7"/>
      <c r="D388" s="7"/>
      <c r="E388" s="7"/>
      <c r="F388" s="7"/>
      <c r="H388" s="22"/>
    </row>
    <row r="389" spans="2:8" ht="14.25" customHeight="1">
      <c r="B389" s="7"/>
      <c r="C389" s="7"/>
      <c r="D389" s="7"/>
      <c r="E389" s="7"/>
      <c r="F389" s="7"/>
      <c r="H389" s="22"/>
    </row>
    <row r="390" spans="2:8" ht="14.25" customHeight="1">
      <c r="B390" s="7"/>
      <c r="C390" s="7"/>
      <c r="D390" s="7"/>
      <c r="E390" s="7"/>
      <c r="F390" s="7"/>
      <c r="H390" s="22"/>
    </row>
    <row r="391" spans="2:8" ht="14.25" customHeight="1">
      <c r="B391" s="7"/>
      <c r="C391" s="7"/>
      <c r="D391" s="7"/>
      <c r="E391" s="7"/>
      <c r="F391" s="7"/>
      <c r="H391" s="22"/>
    </row>
    <row r="392" spans="2:8" ht="14.25" customHeight="1">
      <c r="B392" s="7"/>
      <c r="C392" s="7"/>
      <c r="D392" s="7"/>
      <c r="E392" s="7"/>
      <c r="F392" s="7"/>
      <c r="H392" s="22"/>
    </row>
    <row r="393" spans="2:8" ht="14.25" customHeight="1">
      <c r="B393" s="7"/>
      <c r="C393" s="7"/>
      <c r="D393" s="7"/>
      <c r="E393" s="7"/>
      <c r="F393" s="7"/>
      <c r="H393" s="22"/>
    </row>
    <row r="394" spans="2:8" ht="14.25" customHeight="1">
      <c r="B394" s="7"/>
      <c r="C394" s="7"/>
      <c r="D394" s="7"/>
      <c r="E394" s="7"/>
      <c r="F394" s="7"/>
      <c r="H394" s="22"/>
    </row>
    <row r="395" spans="2:8" ht="14.25" customHeight="1">
      <c r="B395" s="7"/>
      <c r="C395" s="7"/>
      <c r="D395" s="7"/>
      <c r="E395" s="7"/>
      <c r="F395" s="7"/>
      <c r="H395" s="22"/>
    </row>
    <row r="396" spans="2:8" ht="14.25" customHeight="1">
      <c r="B396" s="7"/>
      <c r="C396" s="7"/>
      <c r="D396" s="7"/>
      <c r="E396" s="7"/>
      <c r="F396" s="7"/>
      <c r="H396" s="22"/>
    </row>
    <row r="397" spans="2:8" ht="14.25" customHeight="1">
      <c r="B397" s="7"/>
      <c r="C397" s="7"/>
      <c r="D397" s="7"/>
      <c r="E397" s="7"/>
      <c r="F397" s="7"/>
      <c r="H397" s="22"/>
    </row>
    <row r="398" spans="2:8" ht="14.25" customHeight="1">
      <c r="B398" s="7"/>
      <c r="C398" s="7"/>
      <c r="D398" s="7"/>
      <c r="E398" s="7"/>
      <c r="F398" s="7"/>
      <c r="H398" s="22"/>
    </row>
    <row r="399" spans="2:8" ht="14.25" customHeight="1">
      <c r="B399" s="7"/>
      <c r="C399" s="7"/>
      <c r="D399" s="7"/>
      <c r="E399" s="7"/>
      <c r="F399" s="7"/>
      <c r="H399" s="22"/>
    </row>
    <row r="400" spans="2:8" ht="14.25" customHeight="1">
      <c r="B400" s="7"/>
      <c r="C400" s="7"/>
      <c r="D400" s="7"/>
      <c r="E400" s="7"/>
      <c r="F400" s="7"/>
      <c r="H400" s="22"/>
    </row>
    <row r="401" spans="2:8" ht="14.25" customHeight="1">
      <c r="B401" s="7"/>
      <c r="C401" s="7"/>
      <c r="D401" s="7"/>
      <c r="E401" s="7"/>
      <c r="F401" s="7"/>
      <c r="H401" s="22"/>
    </row>
    <row r="402" spans="2:8" ht="14.25" customHeight="1">
      <c r="B402" s="7"/>
      <c r="C402" s="7"/>
      <c r="D402" s="7"/>
      <c r="E402" s="7"/>
      <c r="F402" s="7"/>
      <c r="H402" s="22"/>
    </row>
    <row r="403" spans="2:8" ht="14.25" customHeight="1">
      <c r="B403" s="7"/>
      <c r="C403" s="7"/>
      <c r="D403" s="7"/>
      <c r="E403" s="7"/>
      <c r="F403" s="7"/>
      <c r="H403" s="22"/>
    </row>
    <row r="404" spans="2:8" ht="14.25" customHeight="1">
      <c r="B404" s="7"/>
      <c r="C404" s="7"/>
      <c r="D404" s="7"/>
      <c r="E404" s="7"/>
      <c r="F404" s="7"/>
      <c r="H404" s="22"/>
    </row>
    <row r="405" spans="2:8" ht="14.25" customHeight="1">
      <c r="B405" s="7"/>
      <c r="C405" s="7"/>
      <c r="D405" s="7"/>
      <c r="E405" s="7"/>
      <c r="F405" s="7"/>
      <c r="H405" s="22"/>
    </row>
    <row r="406" spans="2:8" ht="14.25" customHeight="1">
      <c r="B406" s="7"/>
      <c r="C406" s="7"/>
      <c r="D406" s="7"/>
      <c r="E406" s="7"/>
      <c r="F406" s="7"/>
      <c r="H406" s="22"/>
    </row>
    <row r="407" spans="2:8" ht="14.25" customHeight="1">
      <c r="B407" s="7"/>
      <c r="C407" s="7"/>
      <c r="D407" s="7"/>
      <c r="E407" s="7"/>
      <c r="F407" s="7"/>
      <c r="H407" s="22"/>
    </row>
    <row r="408" spans="2:8" ht="14.25" customHeight="1">
      <c r="B408" s="7"/>
      <c r="C408" s="7"/>
      <c r="D408" s="7"/>
      <c r="E408" s="7"/>
      <c r="F408" s="7"/>
      <c r="H408" s="22"/>
    </row>
    <row r="409" spans="2:8" ht="14.25" customHeight="1">
      <c r="B409" s="7"/>
      <c r="C409" s="7"/>
      <c r="D409" s="7"/>
      <c r="E409" s="7"/>
      <c r="F409" s="7"/>
      <c r="H409" s="22"/>
    </row>
    <row r="410" spans="2:8" ht="14.25" customHeight="1">
      <c r="B410" s="7"/>
      <c r="C410" s="7"/>
      <c r="D410" s="7"/>
      <c r="E410" s="7"/>
      <c r="F410" s="7"/>
      <c r="H410" s="22"/>
    </row>
    <row r="411" spans="2:8" ht="14.25" customHeight="1">
      <c r="B411" s="7"/>
      <c r="C411" s="7"/>
      <c r="D411" s="7"/>
      <c r="E411" s="7"/>
      <c r="F411" s="7"/>
      <c r="H411" s="22"/>
    </row>
    <row r="412" spans="2:8" ht="14.25" customHeight="1">
      <c r="B412" s="7"/>
      <c r="C412" s="7"/>
      <c r="D412" s="7"/>
      <c r="E412" s="7"/>
      <c r="F412" s="7"/>
      <c r="H412" s="22"/>
    </row>
    <row r="413" spans="2:8" ht="14.25" customHeight="1">
      <c r="B413" s="7"/>
      <c r="C413" s="7"/>
      <c r="D413" s="7"/>
      <c r="E413" s="7"/>
      <c r="F413" s="7"/>
      <c r="H413" s="22"/>
    </row>
    <row r="414" spans="2:8" ht="14.25" customHeight="1">
      <c r="B414" s="7"/>
      <c r="C414" s="7"/>
      <c r="D414" s="7"/>
      <c r="E414" s="7"/>
      <c r="F414" s="7"/>
      <c r="H414" s="22"/>
    </row>
    <row r="415" spans="2:8" ht="14.25" customHeight="1">
      <c r="B415" s="7"/>
      <c r="C415" s="7"/>
      <c r="D415" s="7"/>
      <c r="E415" s="7"/>
      <c r="F415" s="7"/>
      <c r="H415" s="22"/>
    </row>
    <row r="416" spans="2:8" ht="14.25" customHeight="1">
      <c r="B416" s="7"/>
      <c r="C416" s="7"/>
      <c r="D416" s="7"/>
      <c r="E416" s="7"/>
      <c r="F416" s="7"/>
      <c r="H416" s="22"/>
    </row>
    <row r="417" spans="2:8" ht="14.25" customHeight="1">
      <c r="B417" s="7"/>
      <c r="C417" s="7"/>
      <c r="D417" s="7"/>
      <c r="E417" s="7"/>
      <c r="F417" s="7"/>
      <c r="H417" s="22"/>
    </row>
    <row r="418" spans="2:8" ht="14.25" customHeight="1">
      <c r="B418" s="7"/>
      <c r="C418" s="7"/>
      <c r="D418" s="7"/>
      <c r="E418" s="7"/>
      <c r="F418" s="7"/>
      <c r="H418" s="22"/>
    </row>
    <row r="419" spans="2:8" ht="14.25" customHeight="1">
      <c r="B419" s="7"/>
      <c r="C419" s="7"/>
      <c r="D419" s="7"/>
      <c r="E419" s="7"/>
      <c r="F419" s="7"/>
      <c r="H419" s="22"/>
    </row>
    <row r="420" spans="2:8" ht="14.25" customHeight="1">
      <c r="B420" s="7"/>
      <c r="C420" s="7"/>
      <c r="D420" s="7"/>
      <c r="E420" s="7"/>
      <c r="F420" s="7"/>
      <c r="H420" s="22"/>
    </row>
    <row r="421" spans="2:8" ht="14.25" customHeight="1">
      <c r="B421" s="7"/>
      <c r="C421" s="7"/>
      <c r="D421" s="7"/>
      <c r="E421" s="7"/>
      <c r="F421" s="7"/>
      <c r="H421" s="22"/>
    </row>
    <row r="422" spans="2:8" ht="14.25" customHeight="1">
      <c r="B422" s="7"/>
      <c r="C422" s="7"/>
      <c r="D422" s="7"/>
      <c r="E422" s="7"/>
      <c r="F422" s="7"/>
      <c r="H422" s="22"/>
    </row>
    <row r="423" spans="2:8" ht="14.25" customHeight="1">
      <c r="B423" s="7"/>
      <c r="C423" s="7"/>
      <c r="D423" s="7"/>
      <c r="E423" s="7"/>
      <c r="F423" s="7"/>
      <c r="H423" s="22"/>
    </row>
    <row r="424" spans="2:8" ht="14.25" customHeight="1">
      <c r="B424" s="7"/>
      <c r="C424" s="7"/>
      <c r="D424" s="7"/>
      <c r="E424" s="7"/>
      <c r="F424" s="7"/>
      <c r="H424" s="22"/>
    </row>
    <row r="425" spans="2:8" ht="14.25" customHeight="1">
      <c r="B425" s="7"/>
      <c r="C425" s="7"/>
      <c r="D425" s="7"/>
      <c r="E425" s="7"/>
      <c r="F425" s="7"/>
      <c r="H425" s="22"/>
    </row>
    <row r="426" spans="2:8" ht="14.25" customHeight="1">
      <c r="B426" s="7"/>
      <c r="C426" s="7"/>
      <c r="D426" s="7"/>
      <c r="E426" s="7"/>
      <c r="F426" s="7"/>
      <c r="H426" s="22"/>
    </row>
    <row r="427" spans="2:8" ht="14.25" customHeight="1">
      <c r="B427" s="7"/>
      <c r="C427" s="7"/>
      <c r="D427" s="7"/>
      <c r="E427" s="7"/>
      <c r="F427" s="7"/>
      <c r="H427" s="22"/>
    </row>
    <row r="428" spans="2:8" ht="14.25" customHeight="1">
      <c r="B428" s="7"/>
      <c r="C428" s="7"/>
      <c r="D428" s="7"/>
      <c r="E428" s="7"/>
      <c r="F428" s="7"/>
      <c r="H428" s="22"/>
    </row>
    <row r="429" spans="2:8" ht="14.25" customHeight="1">
      <c r="B429" s="7"/>
      <c r="C429" s="7"/>
      <c r="D429" s="7"/>
      <c r="E429" s="7"/>
      <c r="F429" s="7"/>
      <c r="H429" s="22"/>
    </row>
    <row r="430" spans="2:8" ht="14.25" customHeight="1">
      <c r="B430" s="7"/>
      <c r="C430" s="7"/>
      <c r="D430" s="7"/>
      <c r="E430" s="7"/>
      <c r="F430" s="7"/>
      <c r="H430" s="22"/>
    </row>
    <row r="431" spans="2:8" ht="14.25" customHeight="1">
      <c r="B431" s="7"/>
      <c r="C431" s="7"/>
      <c r="D431" s="7"/>
      <c r="E431" s="7"/>
      <c r="F431" s="7"/>
      <c r="H431" s="22"/>
    </row>
    <row r="432" spans="2:8" ht="14.25" customHeight="1">
      <c r="B432" s="7"/>
      <c r="C432" s="7"/>
      <c r="D432" s="7"/>
      <c r="E432" s="7"/>
      <c r="F432" s="7"/>
      <c r="H432" s="22"/>
    </row>
    <row r="433" spans="2:8" ht="14.25" customHeight="1">
      <c r="B433" s="7"/>
      <c r="C433" s="7"/>
      <c r="D433" s="7"/>
      <c r="E433" s="7"/>
      <c r="F433" s="7"/>
      <c r="H433" s="22"/>
    </row>
    <row r="434" spans="2:8" ht="14.25" customHeight="1">
      <c r="B434" s="7"/>
      <c r="C434" s="7"/>
      <c r="D434" s="7"/>
      <c r="E434" s="7"/>
      <c r="F434" s="7"/>
      <c r="H434" s="22"/>
    </row>
    <row r="435" spans="2:8" ht="14.25" customHeight="1">
      <c r="B435" s="7"/>
      <c r="C435" s="7"/>
      <c r="D435" s="7"/>
      <c r="E435" s="7"/>
      <c r="F435" s="7"/>
      <c r="H435" s="22"/>
    </row>
    <row r="436" spans="2:8" ht="14.25" customHeight="1">
      <c r="B436" s="7"/>
      <c r="C436" s="7"/>
      <c r="D436" s="7"/>
      <c r="E436" s="7"/>
      <c r="F436" s="7"/>
      <c r="H436" s="22"/>
    </row>
    <row r="437" spans="2:8" ht="14.25" customHeight="1">
      <c r="B437" s="7"/>
      <c r="C437" s="7"/>
      <c r="D437" s="7"/>
      <c r="E437" s="7"/>
      <c r="F437" s="7"/>
      <c r="H437" s="22"/>
    </row>
    <row r="438" spans="2:8" ht="14.25" customHeight="1">
      <c r="B438" s="7"/>
      <c r="C438" s="7"/>
      <c r="D438" s="7"/>
      <c r="E438" s="7"/>
      <c r="F438" s="7"/>
      <c r="H438" s="22"/>
    </row>
    <row r="439" spans="2:8" ht="14.25" customHeight="1">
      <c r="B439" s="7"/>
      <c r="C439" s="7"/>
      <c r="D439" s="7"/>
      <c r="E439" s="7"/>
      <c r="F439" s="7"/>
      <c r="H439" s="22"/>
    </row>
    <row r="440" spans="2:8" ht="14.25" customHeight="1">
      <c r="B440" s="7"/>
      <c r="C440" s="7"/>
      <c r="D440" s="7"/>
      <c r="E440" s="7"/>
      <c r="F440" s="7"/>
      <c r="H440" s="22"/>
    </row>
    <row r="441" spans="2:8" ht="14.25" customHeight="1">
      <c r="B441" s="7"/>
      <c r="C441" s="7"/>
      <c r="D441" s="7"/>
      <c r="E441" s="7"/>
      <c r="F441" s="7"/>
      <c r="H441" s="22"/>
    </row>
    <row r="442" spans="2:8" ht="14.25" customHeight="1">
      <c r="B442" s="7"/>
      <c r="C442" s="7"/>
      <c r="D442" s="7"/>
      <c r="E442" s="7"/>
      <c r="F442" s="7"/>
      <c r="H442" s="22"/>
    </row>
    <row r="443" spans="2:8" ht="14.25" customHeight="1">
      <c r="B443" s="7"/>
      <c r="C443" s="7"/>
      <c r="D443" s="7"/>
      <c r="E443" s="7"/>
      <c r="F443" s="7"/>
      <c r="H443" s="22"/>
    </row>
    <row r="444" spans="2:8" ht="14.25" customHeight="1">
      <c r="B444" s="7"/>
      <c r="C444" s="7"/>
      <c r="D444" s="7"/>
      <c r="E444" s="7"/>
      <c r="F444" s="7"/>
      <c r="H444" s="22"/>
    </row>
    <row r="445" spans="2:8" ht="14.25" customHeight="1">
      <c r="B445" s="7"/>
      <c r="C445" s="7"/>
      <c r="D445" s="7"/>
      <c r="E445" s="7"/>
      <c r="F445" s="7"/>
      <c r="H445" s="22"/>
    </row>
    <row r="446" spans="2:8" ht="14.25" customHeight="1">
      <c r="B446" s="7"/>
      <c r="C446" s="7"/>
      <c r="D446" s="7"/>
      <c r="E446" s="7"/>
      <c r="F446" s="7"/>
      <c r="H446" s="22"/>
    </row>
    <row r="447" spans="2:8" ht="14.25" customHeight="1">
      <c r="B447" s="7"/>
      <c r="C447" s="7"/>
      <c r="D447" s="7"/>
      <c r="E447" s="7"/>
      <c r="F447" s="7"/>
      <c r="H447" s="22"/>
    </row>
    <row r="448" spans="2:8" ht="14.25" customHeight="1">
      <c r="B448" s="7"/>
      <c r="C448" s="7"/>
      <c r="D448" s="7"/>
      <c r="E448" s="7"/>
      <c r="F448" s="7"/>
      <c r="H448" s="22"/>
    </row>
    <row r="449" spans="2:8" ht="14.25" customHeight="1">
      <c r="B449" s="7"/>
      <c r="C449" s="7"/>
      <c r="D449" s="7"/>
      <c r="E449" s="7"/>
      <c r="F449" s="7"/>
      <c r="H449" s="22"/>
    </row>
    <row r="450" spans="2:8" ht="14.25" customHeight="1">
      <c r="B450" s="7"/>
      <c r="C450" s="7"/>
      <c r="D450" s="7"/>
      <c r="E450" s="7"/>
      <c r="F450" s="7"/>
      <c r="H450" s="22"/>
    </row>
    <row r="451" spans="2:8" ht="14.25" customHeight="1">
      <c r="B451" s="7"/>
      <c r="C451" s="7"/>
      <c r="D451" s="7"/>
      <c r="E451" s="7"/>
      <c r="F451" s="7"/>
      <c r="H451" s="22"/>
    </row>
    <row r="452" spans="2:8" ht="14.25" customHeight="1">
      <c r="B452" s="7"/>
      <c r="C452" s="7"/>
      <c r="D452" s="7"/>
      <c r="E452" s="7"/>
      <c r="F452" s="7"/>
      <c r="H452" s="22"/>
    </row>
    <row r="453" spans="2:8" ht="14.25" customHeight="1">
      <c r="B453" s="7"/>
      <c r="C453" s="7"/>
      <c r="D453" s="7"/>
      <c r="E453" s="7"/>
      <c r="F453" s="7"/>
      <c r="H453" s="22"/>
    </row>
    <row r="454" spans="2:8" ht="14.25" customHeight="1">
      <c r="B454" s="7"/>
      <c r="C454" s="7"/>
      <c r="D454" s="7"/>
      <c r="E454" s="7"/>
      <c r="F454" s="7"/>
      <c r="H454" s="22"/>
    </row>
    <row r="455" spans="2:8" ht="14.25" customHeight="1">
      <c r="B455" s="7"/>
      <c r="C455" s="7"/>
      <c r="D455" s="7"/>
      <c r="E455" s="7"/>
      <c r="F455" s="7"/>
      <c r="H455" s="22"/>
    </row>
    <row r="456" spans="2:8" ht="14.25" customHeight="1">
      <c r="B456" s="7"/>
      <c r="C456" s="7"/>
      <c r="D456" s="7"/>
      <c r="E456" s="7"/>
      <c r="F456" s="7"/>
      <c r="H456" s="22"/>
    </row>
    <row r="457" spans="2:8" ht="14.25" customHeight="1">
      <c r="B457" s="7"/>
      <c r="C457" s="7"/>
      <c r="D457" s="7"/>
      <c r="E457" s="7"/>
      <c r="F457" s="7"/>
      <c r="H457" s="22"/>
    </row>
    <row r="458" spans="2:8" ht="14.25" customHeight="1">
      <c r="B458" s="7"/>
      <c r="C458" s="7"/>
      <c r="D458" s="7"/>
      <c r="E458" s="7"/>
      <c r="F458" s="7"/>
      <c r="H458" s="22"/>
    </row>
    <row r="459" spans="2:8" ht="14.25" customHeight="1">
      <c r="B459" s="7"/>
      <c r="C459" s="7"/>
      <c r="D459" s="7"/>
      <c r="E459" s="7"/>
      <c r="F459" s="7"/>
      <c r="H459" s="22"/>
    </row>
    <row r="460" spans="2:8" ht="14.25" customHeight="1">
      <c r="B460" s="7"/>
      <c r="C460" s="7"/>
      <c r="D460" s="7"/>
      <c r="E460" s="7"/>
      <c r="F460" s="7"/>
      <c r="H460" s="22"/>
    </row>
    <row r="461" spans="2:8" ht="14.25" customHeight="1">
      <c r="B461" s="7"/>
      <c r="C461" s="7"/>
      <c r="D461" s="7"/>
      <c r="E461" s="7"/>
      <c r="F461" s="7"/>
      <c r="H461" s="22"/>
    </row>
    <row r="462" spans="2:8" ht="14.25" customHeight="1">
      <c r="B462" s="7"/>
      <c r="C462" s="7"/>
      <c r="D462" s="7"/>
      <c r="E462" s="7"/>
      <c r="F462" s="7"/>
      <c r="H462" s="22"/>
    </row>
    <row r="463" spans="2:8" ht="14.25" customHeight="1">
      <c r="B463" s="7"/>
      <c r="C463" s="7"/>
      <c r="D463" s="7"/>
      <c r="E463" s="7"/>
      <c r="F463" s="7"/>
      <c r="H463" s="22"/>
    </row>
    <row r="464" spans="2:8" ht="14.25" customHeight="1">
      <c r="B464" s="7"/>
      <c r="C464" s="7"/>
      <c r="D464" s="7"/>
      <c r="E464" s="7"/>
      <c r="F464" s="7"/>
      <c r="H464" s="22"/>
    </row>
    <row r="465" spans="2:8" ht="14.25" customHeight="1">
      <c r="B465" s="7"/>
      <c r="C465" s="7"/>
      <c r="D465" s="7"/>
      <c r="E465" s="7"/>
      <c r="F465" s="7"/>
      <c r="H465" s="22"/>
    </row>
    <row r="466" spans="2:8" ht="14.25" customHeight="1">
      <c r="B466" s="7"/>
      <c r="C466" s="7"/>
      <c r="D466" s="7"/>
      <c r="E466" s="7"/>
      <c r="F466" s="7"/>
      <c r="H466" s="22"/>
    </row>
    <row r="467" spans="2:8" ht="14.25" customHeight="1">
      <c r="B467" s="7"/>
      <c r="C467" s="7"/>
      <c r="D467" s="7"/>
      <c r="E467" s="7"/>
      <c r="F467" s="7"/>
      <c r="H467" s="22"/>
    </row>
    <row r="468" spans="2:8" ht="14.25" customHeight="1">
      <c r="B468" s="7"/>
      <c r="C468" s="7"/>
      <c r="D468" s="7"/>
      <c r="E468" s="7"/>
      <c r="F468" s="7"/>
      <c r="H468" s="22"/>
    </row>
    <row r="469" spans="2:8" ht="14.25" customHeight="1">
      <c r="B469" s="7"/>
      <c r="C469" s="7"/>
      <c r="D469" s="7"/>
      <c r="E469" s="7"/>
      <c r="F469" s="7"/>
      <c r="H469" s="22"/>
    </row>
    <row r="470" spans="2:8" ht="14.25" customHeight="1">
      <c r="B470" s="7"/>
      <c r="C470" s="7"/>
      <c r="D470" s="7"/>
      <c r="E470" s="7"/>
      <c r="F470" s="7"/>
      <c r="H470" s="22"/>
    </row>
    <row r="471" spans="2:8" ht="14.25" customHeight="1">
      <c r="B471" s="7"/>
      <c r="C471" s="7"/>
      <c r="D471" s="7"/>
      <c r="E471" s="7"/>
      <c r="F471" s="7"/>
      <c r="H471" s="22"/>
    </row>
    <row r="472" spans="2:8" ht="14.25" customHeight="1">
      <c r="B472" s="7"/>
      <c r="C472" s="7"/>
      <c r="D472" s="7"/>
      <c r="E472" s="7"/>
      <c r="F472" s="7"/>
      <c r="H472" s="22"/>
    </row>
    <row r="473" spans="2:8" ht="14.25" customHeight="1">
      <c r="B473" s="7"/>
      <c r="C473" s="7"/>
      <c r="D473" s="7"/>
      <c r="E473" s="7"/>
      <c r="F473" s="7"/>
      <c r="H473" s="22"/>
    </row>
    <row r="474" spans="2:8" ht="14.25" customHeight="1">
      <c r="B474" s="7"/>
      <c r="C474" s="7"/>
      <c r="D474" s="7"/>
      <c r="E474" s="7"/>
      <c r="F474" s="7"/>
      <c r="H474" s="22"/>
    </row>
    <row r="475" spans="2:8" ht="14.25" customHeight="1">
      <c r="B475" s="7"/>
      <c r="C475" s="7"/>
      <c r="D475" s="7"/>
      <c r="E475" s="7"/>
      <c r="F475" s="7"/>
      <c r="H475" s="22"/>
    </row>
    <row r="476" spans="2:8" ht="14.25" customHeight="1">
      <c r="B476" s="7"/>
      <c r="C476" s="7"/>
      <c r="D476" s="7"/>
      <c r="E476" s="7"/>
      <c r="F476" s="7"/>
      <c r="H476" s="22"/>
    </row>
    <row r="477" spans="2:8" ht="14.25" customHeight="1">
      <c r="B477" s="7"/>
      <c r="C477" s="7"/>
      <c r="D477" s="7"/>
      <c r="E477" s="7"/>
      <c r="F477" s="7"/>
      <c r="H477" s="22"/>
    </row>
    <row r="478" spans="2:8" ht="14.25" customHeight="1">
      <c r="B478" s="7"/>
      <c r="C478" s="7"/>
      <c r="D478" s="7"/>
      <c r="E478" s="7"/>
      <c r="F478" s="7"/>
      <c r="H478" s="22"/>
    </row>
    <row r="479" spans="2:8" ht="14.25" customHeight="1">
      <c r="B479" s="7"/>
      <c r="C479" s="7"/>
      <c r="D479" s="7"/>
      <c r="E479" s="7"/>
      <c r="F479" s="7"/>
      <c r="H479" s="22"/>
    </row>
    <row r="480" spans="2:8" ht="14.25" customHeight="1">
      <c r="B480" s="7"/>
      <c r="C480" s="7"/>
      <c r="D480" s="7"/>
      <c r="E480" s="7"/>
      <c r="F480" s="7"/>
      <c r="H480" s="22"/>
    </row>
    <row r="481" spans="2:8" ht="14.25" customHeight="1">
      <c r="B481" s="7"/>
      <c r="C481" s="7"/>
      <c r="D481" s="7"/>
      <c r="E481" s="7"/>
      <c r="F481" s="7"/>
      <c r="H481" s="22"/>
    </row>
    <row r="482" spans="2:8" ht="14.25" customHeight="1">
      <c r="B482" s="7"/>
      <c r="C482" s="7"/>
      <c r="D482" s="7"/>
      <c r="E482" s="7"/>
      <c r="F482" s="7"/>
      <c r="H482" s="22"/>
    </row>
    <row r="483" spans="2:8" ht="14.25" customHeight="1">
      <c r="B483" s="7"/>
      <c r="C483" s="7"/>
      <c r="D483" s="7"/>
      <c r="E483" s="7"/>
      <c r="F483" s="7"/>
      <c r="H483" s="22"/>
    </row>
    <row r="484" spans="2:8" ht="14.25" customHeight="1">
      <c r="B484" s="7"/>
      <c r="C484" s="7"/>
      <c r="D484" s="7"/>
      <c r="E484" s="7"/>
      <c r="F484" s="7"/>
      <c r="H484" s="22"/>
    </row>
    <row r="485" spans="2:8" ht="14.25" customHeight="1">
      <c r="B485" s="7"/>
      <c r="C485" s="7"/>
      <c r="D485" s="7"/>
      <c r="E485" s="7"/>
      <c r="F485" s="7"/>
      <c r="H485" s="22"/>
    </row>
    <row r="486" spans="2:8" ht="14.25" customHeight="1">
      <c r="B486" s="7"/>
      <c r="C486" s="7"/>
      <c r="D486" s="7"/>
      <c r="E486" s="7"/>
      <c r="F486" s="7"/>
      <c r="H486" s="22"/>
    </row>
    <row r="487" spans="2:8" ht="14.25" customHeight="1">
      <c r="B487" s="7"/>
      <c r="C487" s="7"/>
      <c r="D487" s="7"/>
      <c r="E487" s="7"/>
      <c r="F487" s="7"/>
      <c r="H487" s="22"/>
    </row>
    <row r="488" spans="2:8" ht="14.25" customHeight="1">
      <c r="B488" s="7"/>
      <c r="C488" s="7"/>
      <c r="D488" s="7"/>
      <c r="E488" s="7"/>
      <c r="F488" s="7"/>
      <c r="H488" s="22"/>
    </row>
    <row r="489" spans="2:8" ht="14.25" customHeight="1">
      <c r="B489" s="7"/>
      <c r="C489" s="7"/>
      <c r="D489" s="7"/>
      <c r="E489" s="7"/>
      <c r="F489" s="7"/>
      <c r="H489" s="22"/>
    </row>
    <row r="490" spans="2:8" ht="14.25" customHeight="1">
      <c r="B490" s="7"/>
      <c r="C490" s="7"/>
      <c r="D490" s="7"/>
      <c r="E490" s="7"/>
      <c r="F490" s="7"/>
      <c r="H490" s="22"/>
    </row>
    <row r="491" spans="2:8" ht="14.25" customHeight="1">
      <c r="B491" s="7"/>
      <c r="C491" s="7"/>
      <c r="D491" s="7"/>
      <c r="E491" s="7"/>
      <c r="F491" s="7"/>
      <c r="H491" s="22"/>
    </row>
    <row r="492" spans="2:8" ht="14.25" customHeight="1">
      <c r="B492" s="7"/>
      <c r="C492" s="7"/>
      <c r="D492" s="7"/>
      <c r="E492" s="7"/>
      <c r="F492" s="7"/>
      <c r="H492" s="22"/>
    </row>
    <row r="493" spans="2:8" ht="14.25" customHeight="1">
      <c r="B493" s="7"/>
      <c r="C493" s="7"/>
      <c r="D493" s="7"/>
      <c r="E493" s="7"/>
      <c r="F493" s="7"/>
      <c r="H493" s="22"/>
    </row>
    <row r="494" spans="2:8" ht="14.25" customHeight="1">
      <c r="B494" s="7"/>
      <c r="C494" s="7"/>
      <c r="D494" s="7"/>
      <c r="E494" s="7"/>
      <c r="F494" s="7"/>
      <c r="H494" s="22"/>
    </row>
    <row r="495" spans="2:8" ht="14.25" customHeight="1">
      <c r="B495" s="7"/>
      <c r="C495" s="7"/>
      <c r="D495" s="7"/>
      <c r="E495" s="7"/>
      <c r="F495" s="7"/>
      <c r="H495" s="22"/>
    </row>
    <row r="496" spans="2:8" ht="14.25" customHeight="1">
      <c r="B496" s="7"/>
      <c r="C496" s="7"/>
      <c r="D496" s="7"/>
      <c r="E496" s="7"/>
      <c r="F496" s="7"/>
      <c r="H496" s="22"/>
    </row>
    <row r="497" spans="2:8" ht="14.25" customHeight="1">
      <c r="B497" s="7"/>
      <c r="C497" s="7"/>
      <c r="D497" s="7"/>
      <c r="E497" s="7"/>
      <c r="F497" s="7"/>
      <c r="H497" s="22"/>
    </row>
    <row r="498" spans="2:8" ht="14.25" customHeight="1">
      <c r="B498" s="7"/>
      <c r="C498" s="7"/>
      <c r="D498" s="7"/>
      <c r="E498" s="7"/>
      <c r="F498" s="7"/>
      <c r="H498" s="22"/>
    </row>
    <row r="499" spans="2:8" ht="14.25" customHeight="1">
      <c r="B499" s="7"/>
      <c r="C499" s="7"/>
      <c r="D499" s="7"/>
      <c r="E499" s="7"/>
      <c r="F499" s="7"/>
      <c r="H499" s="22"/>
    </row>
    <row r="500" spans="2:8" ht="14.25" customHeight="1">
      <c r="B500" s="7"/>
      <c r="C500" s="7"/>
      <c r="D500" s="7"/>
      <c r="E500" s="7"/>
      <c r="F500" s="7"/>
      <c r="H500" s="22"/>
    </row>
    <row r="501" spans="2:8" ht="14.25" customHeight="1">
      <c r="B501" s="7"/>
      <c r="C501" s="7"/>
      <c r="D501" s="7"/>
      <c r="E501" s="7"/>
      <c r="F501" s="7"/>
      <c r="H501" s="22"/>
    </row>
    <row r="502" spans="2:8" ht="14.25" customHeight="1">
      <c r="B502" s="7"/>
      <c r="C502" s="7"/>
      <c r="D502" s="7"/>
      <c r="E502" s="7"/>
      <c r="F502" s="7"/>
      <c r="H502" s="22"/>
    </row>
    <row r="503" spans="2:8" ht="14.25" customHeight="1">
      <c r="B503" s="7"/>
      <c r="C503" s="7"/>
      <c r="D503" s="7"/>
      <c r="E503" s="7"/>
      <c r="F503" s="7"/>
      <c r="H503" s="22"/>
    </row>
    <row r="504" spans="2:8" ht="14.25" customHeight="1">
      <c r="B504" s="7"/>
      <c r="C504" s="7"/>
      <c r="D504" s="7"/>
      <c r="E504" s="7"/>
      <c r="F504" s="7"/>
      <c r="H504" s="22"/>
    </row>
    <row r="505" spans="2:8" ht="14.25" customHeight="1">
      <c r="B505" s="7"/>
      <c r="C505" s="7"/>
      <c r="D505" s="7"/>
      <c r="E505" s="7"/>
      <c r="F505" s="7"/>
      <c r="H505" s="22"/>
    </row>
    <row r="506" spans="2:8" ht="14.25" customHeight="1">
      <c r="B506" s="7"/>
      <c r="C506" s="7"/>
      <c r="D506" s="7"/>
      <c r="E506" s="7"/>
      <c r="F506" s="7"/>
      <c r="H506" s="22"/>
    </row>
    <row r="507" spans="2:8" ht="14.25" customHeight="1">
      <c r="B507" s="7"/>
      <c r="C507" s="7"/>
      <c r="D507" s="7"/>
      <c r="E507" s="7"/>
      <c r="F507" s="7"/>
      <c r="H507" s="22"/>
    </row>
    <row r="508" spans="2:8" ht="14.25" customHeight="1">
      <c r="B508" s="7"/>
      <c r="C508" s="7"/>
      <c r="D508" s="7"/>
      <c r="E508" s="7"/>
      <c r="F508" s="7"/>
      <c r="H508" s="22"/>
    </row>
    <row r="509" spans="2:8" ht="14.25" customHeight="1">
      <c r="B509" s="7"/>
      <c r="C509" s="7"/>
      <c r="D509" s="7"/>
      <c r="E509" s="7"/>
      <c r="F509" s="7"/>
      <c r="H509" s="22"/>
    </row>
    <row r="510" spans="2:8" ht="14.25" customHeight="1">
      <c r="B510" s="7"/>
      <c r="C510" s="7"/>
      <c r="D510" s="7"/>
      <c r="E510" s="7"/>
      <c r="F510" s="7"/>
      <c r="H510" s="22"/>
    </row>
    <row r="511" spans="2:8" ht="14.25" customHeight="1">
      <c r="B511" s="7"/>
      <c r="C511" s="7"/>
      <c r="D511" s="7"/>
      <c r="E511" s="7"/>
      <c r="F511" s="7"/>
      <c r="H511" s="22"/>
    </row>
    <row r="512" spans="2:8" ht="14.25" customHeight="1">
      <c r="B512" s="7"/>
      <c r="C512" s="7"/>
      <c r="D512" s="7"/>
      <c r="E512" s="7"/>
      <c r="F512" s="7"/>
      <c r="H512" s="22"/>
    </row>
    <row r="513" spans="2:8" ht="14.25" customHeight="1">
      <c r="B513" s="7"/>
      <c r="C513" s="7"/>
      <c r="D513" s="7"/>
      <c r="E513" s="7"/>
      <c r="F513" s="7"/>
      <c r="H513" s="22"/>
    </row>
    <row r="514" spans="2:8" ht="14.25" customHeight="1">
      <c r="B514" s="7"/>
      <c r="C514" s="7"/>
      <c r="D514" s="7"/>
      <c r="E514" s="7"/>
      <c r="F514" s="7"/>
      <c r="H514" s="22"/>
    </row>
    <row r="515" spans="2:8" ht="14.25" customHeight="1">
      <c r="B515" s="7"/>
      <c r="C515" s="7"/>
      <c r="D515" s="7"/>
      <c r="E515" s="7"/>
      <c r="F515" s="7"/>
      <c r="H515" s="22"/>
    </row>
    <row r="516" spans="2:8" ht="14.25" customHeight="1">
      <c r="B516" s="7"/>
      <c r="C516" s="7"/>
      <c r="D516" s="7"/>
      <c r="E516" s="7"/>
      <c r="F516" s="7"/>
      <c r="H516" s="22"/>
    </row>
    <row r="517" spans="2:8" ht="14.25" customHeight="1">
      <c r="B517" s="7"/>
      <c r="C517" s="7"/>
      <c r="D517" s="7"/>
      <c r="E517" s="7"/>
      <c r="F517" s="7"/>
      <c r="H517" s="22"/>
    </row>
    <row r="518" spans="2:8" ht="14.25" customHeight="1">
      <c r="B518" s="7"/>
      <c r="C518" s="7"/>
      <c r="D518" s="7"/>
      <c r="E518" s="7"/>
      <c r="F518" s="7"/>
      <c r="H518" s="22"/>
    </row>
    <row r="519" spans="2:8" ht="14.25" customHeight="1">
      <c r="B519" s="7"/>
      <c r="C519" s="7"/>
      <c r="D519" s="7"/>
      <c r="E519" s="7"/>
      <c r="F519" s="7"/>
      <c r="H519" s="22"/>
    </row>
    <row r="520" spans="2:8" ht="14.25" customHeight="1">
      <c r="B520" s="7"/>
      <c r="C520" s="7"/>
      <c r="D520" s="7"/>
      <c r="E520" s="7"/>
      <c r="F520" s="7"/>
      <c r="H520" s="22"/>
    </row>
    <row r="521" spans="2:8" ht="14.25" customHeight="1">
      <c r="B521" s="7"/>
      <c r="C521" s="7"/>
      <c r="D521" s="7"/>
      <c r="E521" s="7"/>
      <c r="F521" s="7"/>
      <c r="H521" s="22"/>
    </row>
    <row r="522" spans="2:8" ht="14.25" customHeight="1">
      <c r="B522" s="7"/>
      <c r="C522" s="7"/>
      <c r="D522" s="7"/>
      <c r="E522" s="7"/>
      <c r="F522" s="7"/>
      <c r="H522" s="22"/>
    </row>
    <row r="523" spans="2:8" ht="14.25" customHeight="1">
      <c r="B523" s="7"/>
      <c r="C523" s="7"/>
      <c r="D523" s="7"/>
      <c r="E523" s="7"/>
      <c r="F523" s="7"/>
      <c r="H523" s="22"/>
    </row>
    <row r="524" spans="2:8" ht="14.25" customHeight="1">
      <c r="B524" s="7"/>
      <c r="C524" s="7"/>
      <c r="D524" s="7"/>
      <c r="E524" s="7"/>
      <c r="F524" s="7"/>
      <c r="H524" s="22"/>
    </row>
    <row r="525" spans="2:8" ht="14.25" customHeight="1">
      <c r="B525" s="7"/>
      <c r="C525" s="7"/>
      <c r="D525" s="7"/>
      <c r="E525" s="7"/>
      <c r="F525" s="7"/>
      <c r="H525" s="22"/>
    </row>
    <row r="526" spans="2:8" ht="14.25" customHeight="1">
      <c r="B526" s="7"/>
      <c r="C526" s="7"/>
      <c r="D526" s="7"/>
      <c r="E526" s="7"/>
      <c r="F526" s="7"/>
      <c r="H526" s="22"/>
    </row>
    <row r="527" spans="2:8" ht="14.25" customHeight="1">
      <c r="B527" s="7"/>
      <c r="C527" s="7"/>
      <c r="D527" s="7"/>
      <c r="E527" s="7"/>
      <c r="F527" s="7"/>
      <c r="H527" s="22"/>
    </row>
    <row r="528" spans="2:8" ht="14.25" customHeight="1">
      <c r="B528" s="7"/>
      <c r="C528" s="7"/>
      <c r="D528" s="7"/>
      <c r="E528" s="7"/>
      <c r="F528" s="7"/>
      <c r="H528" s="22"/>
    </row>
    <row r="529" spans="2:8" ht="14.25" customHeight="1">
      <c r="B529" s="7"/>
      <c r="C529" s="7"/>
      <c r="D529" s="7"/>
      <c r="E529" s="7"/>
      <c r="F529" s="7"/>
      <c r="H529" s="22"/>
    </row>
    <row r="530" spans="2:8" ht="14.25" customHeight="1">
      <c r="B530" s="7"/>
      <c r="C530" s="7"/>
      <c r="D530" s="7"/>
      <c r="E530" s="7"/>
      <c r="F530" s="7"/>
      <c r="H530" s="22"/>
    </row>
    <row r="531" spans="2:8" ht="14.25" customHeight="1">
      <c r="B531" s="7"/>
      <c r="C531" s="7"/>
      <c r="D531" s="7"/>
      <c r="E531" s="7"/>
      <c r="F531" s="7"/>
      <c r="H531" s="22"/>
    </row>
    <row r="532" spans="2:8" ht="14.25" customHeight="1">
      <c r="B532" s="7"/>
      <c r="C532" s="7"/>
      <c r="D532" s="7"/>
      <c r="E532" s="7"/>
      <c r="F532" s="7"/>
      <c r="H532" s="22"/>
    </row>
    <row r="533" spans="2:8" ht="14.25" customHeight="1">
      <c r="B533" s="7"/>
      <c r="C533" s="7"/>
      <c r="D533" s="7"/>
      <c r="E533" s="7"/>
      <c r="F533" s="7"/>
      <c r="H533" s="22"/>
    </row>
    <row r="534" spans="2:8" ht="14.25" customHeight="1">
      <c r="B534" s="7"/>
      <c r="C534" s="7"/>
      <c r="D534" s="7"/>
      <c r="E534" s="7"/>
      <c r="F534" s="7"/>
      <c r="H534" s="22"/>
    </row>
    <row r="535" spans="2:8" ht="14.25" customHeight="1">
      <c r="B535" s="7"/>
      <c r="C535" s="7"/>
      <c r="D535" s="7"/>
      <c r="E535" s="7"/>
      <c r="F535" s="7"/>
      <c r="H535" s="22"/>
    </row>
    <row r="536" spans="2:8" ht="14.25" customHeight="1">
      <c r="B536" s="7"/>
      <c r="C536" s="7"/>
      <c r="D536" s="7"/>
      <c r="E536" s="7"/>
      <c r="F536" s="7"/>
      <c r="H536" s="22"/>
    </row>
    <row r="537" spans="2:8" ht="14.25" customHeight="1">
      <c r="B537" s="7"/>
      <c r="C537" s="7"/>
      <c r="D537" s="7"/>
      <c r="E537" s="7"/>
      <c r="F537" s="7"/>
      <c r="H537" s="22"/>
    </row>
    <row r="538" spans="2:8" ht="14.25" customHeight="1">
      <c r="B538" s="7"/>
      <c r="C538" s="7"/>
      <c r="D538" s="7"/>
      <c r="E538" s="7"/>
      <c r="F538" s="7"/>
      <c r="H538" s="22"/>
    </row>
    <row r="539" spans="2:8" ht="14.25" customHeight="1">
      <c r="B539" s="7"/>
      <c r="C539" s="7"/>
      <c r="D539" s="7"/>
      <c r="E539" s="7"/>
      <c r="F539" s="7"/>
      <c r="H539" s="22"/>
    </row>
    <row r="540" spans="2:8" ht="14.25" customHeight="1">
      <c r="B540" s="7"/>
      <c r="C540" s="7"/>
      <c r="D540" s="7"/>
      <c r="E540" s="7"/>
      <c r="F540" s="7"/>
      <c r="H540" s="22"/>
    </row>
    <row r="541" spans="2:8" ht="14.25" customHeight="1">
      <c r="B541" s="7"/>
      <c r="C541" s="7"/>
      <c r="D541" s="7"/>
      <c r="E541" s="7"/>
      <c r="F541" s="7"/>
      <c r="H541" s="22"/>
    </row>
    <row r="542" spans="2:8" ht="14.25" customHeight="1">
      <c r="B542" s="7"/>
      <c r="C542" s="7"/>
      <c r="D542" s="7"/>
      <c r="E542" s="7"/>
      <c r="F542" s="7"/>
      <c r="H542" s="22"/>
    </row>
    <row r="543" spans="2:8" ht="14.25" customHeight="1">
      <c r="B543" s="7"/>
      <c r="C543" s="7"/>
      <c r="D543" s="7"/>
      <c r="E543" s="7"/>
      <c r="F543" s="7"/>
      <c r="H543" s="22"/>
    </row>
    <row r="544" spans="2:8" ht="14.25" customHeight="1">
      <c r="B544" s="7"/>
      <c r="C544" s="7"/>
      <c r="D544" s="7"/>
      <c r="E544" s="7"/>
      <c r="F544" s="7"/>
      <c r="H544" s="22"/>
    </row>
    <row r="545" spans="2:8" ht="14.25" customHeight="1">
      <c r="B545" s="7"/>
      <c r="C545" s="7"/>
      <c r="D545" s="7"/>
      <c r="E545" s="7"/>
      <c r="F545" s="7"/>
      <c r="H545" s="22"/>
    </row>
    <row r="546" spans="2:8" ht="14.25" customHeight="1">
      <c r="B546" s="7"/>
      <c r="C546" s="7"/>
      <c r="D546" s="7"/>
      <c r="E546" s="7"/>
      <c r="F546" s="7"/>
      <c r="H546" s="22"/>
    </row>
    <row r="547" spans="2:8" ht="14.25" customHeight="1">
      <c r="B547" s="7"/>
      <c r="C547" s="7"/>
      <c r="D547" s="7"/>
      <c r="E547" s="7"/>
      <c r="F547" s="7"/>
      <c r="H547" s="22"/>
    </row>
    <row r="548" spans="2:8" ht="14.25" customHeight="1">
      <c r="B548" s="7"/>
      <c r="C548" s="7"/>
      <c r="D548" s="7"/>
      <c r="E548" s="7"/>
      <c r="F548" s="7"/>
      <c r="H548" s="22"/>
    </row>
    <row r="549" spans="2:8" ht="14.25" customHeight="1">
      <c r="B549" s="7"/>
      <c r="C549" s="7"/>
      <c r="D549" s="7"/>
      <c r="E549" s="7"/>
      <c r="F549" s="7"/>
      <c r="H549" s="22"/>
    </row>
    <row r="550" spans="2:8" ht="14.25" customHeight="1">
      <c r="B550" s="7"/>
      <c r="C550" s="7"/>
      <c r="D550" s="7"/>
      <c r="E550" s="7"/>
      <c r="F550" s="7"/>
      <c r="H550" s="22"/>
    </row>
    <row r="551" spans="2:8" ht="14.25" customHeight="1">
      <c r="B551" s="7"/>
      <c r="C551" s="7"/>
      <c r="D551" s="7"/>
      <c r="E551" s="7"/>
      <c r="F551" s="7"/>
      <c r="H551" s="22"/>
    </row>
    <row r="552" spans="2:8" ht="14.25" customHeight="1">
      <c r="B552" s="7"/>
      <c r="C552" s="7"/>
      <c r="D552" s="7"/>
      <c r="E552" s="7"/>
      <c r="F552" s="7"/>
      <c r="H552" s="22"/>
    </row>
    <row r="553" spans="2:8" ht="14.25" customHeight="1">
      <c r="B553" s="7"/>
      <c r="C553" s="7"/>
      <c r="D553" s="7"/>
      <c r="E553" s="7"/>
      <c r="F553" s="7"/>
      <c r="H553" s="22"/>
    </row>
    <row r="554" spans="2:8" ht="14.25" customHeight="1">
      <c r="B554" s="7"/>
      <c r="C554" s="7"/>
      <c r="D554" s="7"/>
      <c r="E554" s="7"/>
      <c r="F554" s="7"/>
      <c r="H554" s="22"/>
    </row>
    <row r="555" spans="2:8" ht="14.25" customHeight="1">
      <c r="B555" s="7"/>
      <c r="C555" s="7"/>
      <c r="D555" s="7"/>
      <c r="E555" s="7"/>
      <c r="F555" s="7"/>
      <c r="H555" s="22"/>
    </row>
    <row r="556" spans="2:8" ht="14.25" customHeight="1">
      <c r="B556" s="7"/>
      <c r="C556" s="7"/>
      <c r="D556" s="7"/>
      <c r="E556" s="7"/>
      <c r="F556" s="7"/>
      <c r="H556" s="22"/>
    </row>
    <row r="557" spans="2:8" ht="14.25" customHeight="1">
      <c r="B557" s="7"/>
      <c r="C557" s="7"/>
      <c r="D557" s="7"/>
      <c r="E557" s="7"/>
      <c r="F557" s="7"/>
      <c r="H557" s="22"/>
    </row>
    <row r="558" spans="2:8" ht="14.25" customHeight="1">
      <c r="B558" s="7"/>
      <c r="C558" s="7"/>
      <c r="D558" s="7"/>
      <c r="E558" s="7"/>
      <c r="F558" s="7"/>
      <c r="H558" s="22"/>
    </row>
    <row r="559" spans="2:8" ht="14.25" customHeight="1">
      <c r="B559" s="7"/>
      <c r="C559" s="7"/>
      <c r="D559" s="7"/>
      <c r="E559" s="7"/>
      <c r="F559" s="7"/>
      <c r="H559" s="22"/>
    </row>
    <row r="560" spans="2:8" ht="14.25" customHeight="1">
      <c r="B560" s="7"/>
      <c r="C560" s="7"/>
      <c r="D560" s="7"/>
      <c r="E560" s="7"/>
      <c r="F560" s="7"/>
      <c r="H560" s="22"/>
    </row>
    <row r="561" spans="2:8" ht="14.25" customHeight="1">
      <c r="B561" s="7"/>
      <c r="C561" s="7"/>
      <c r="D561" s="7"/>
      <c r="E561" s="7"/>
      <c r="F561" s="7"/>
      <c r="H561" s="22"/>
    </row>
    <row r="562" spans="2:8" ht="14.25" customHeight="1">
      <c r="B562" s="7"/>
      <c r="C562" s="7"/>
      <c r="D562" s="7"/>
      <c r="E562" s="7"/>
      <c r="F562" s="7"/>
      <c r="H562" s="22"/>
    </row>
    <row r="563" spans="2:8" ht="14.25" customHeight="1">
      <c r="B563" s="7"/>
      <c r="C563" s="7"/>
      <c r="D563" s="7"/>
      <c r="E563" s="7"/>
      <c r="F563" s="7"/>
      <c r="H563" s="22"/>
    </row>
    <row r="564" spans="2:8" ht="14.25" customHeight="1">
      <c r="B564" s="7"/>
      <c r="C564" s="7"/>
      <c r="D564" s="7"/>
      <c r="E564" s="7"/>
      <c r="F564" s="7"/>
      <c r="H564" s="22"/>
    </row>
    <row r="565" spans="2:8" ht="14.25" customHeight="1">
      <c r="B565" s="7"/>
      <c r="C565" s="7"/>
      <c r="D565" s="7"/>
      <c r="E565" s="7"/>
      <c r="F565" s="7"/>
      <c r="H565" s="22"/>
    </row>
    <row r="566" spans="2:8" ht="14.25" customHeight="1">
      <c r="B566" s="7"/>
      <c r="C566" s="7"/>
      <c r="D566" s="7"/>
      <c r="E566" s="7"/>
      <c r="F566" s="7"/>
      <c r="H566" s="22"/>
    </row>
    <row r="567" spans="2:8" ht="14.25" customHeight="1">
      <c r="B567" s="7"/>
      <c r="C567" s="7"/>
      <c r="D567" s="7"/>
      <c r="E567" s="7"/>
      <c r="F567" s="7"/>
      <c r="H567" s="22"/>
    </row>
    <row r="568" spans="2:8" ht="14.25" customHeight="1">
      <c r="B568" s="7"/>
      <c r="C568" s="7"/>
      <c r="D568" s="7"/>
      <c r="E568" s="7"/>
      <c r="F568" s="7"/>
      <c r="H568" s="22"/>
    </row>
    <row r="569" spans="2:8" ht="14.25" customHeight="1">
      <c r="B569" s="7"/>
      <c r="C569" s="7"/>
      <c r="D569" s="7"/>
      <c r="E569" s="7"/>
      <c r="F569" s="7"/>
      <c r="H569" s="22"/>
    </row>
    <row r="570" spans="2:8" ht="14.25" customHeight="1">
      <c r="B570" s="7"/>
      <c r="C570" s="7"/>
      <c r="D570" s="7"/>
      <c r="E570" s="7"/>
      <c r="F570" s="7"/>
      <c r="H570" s="22"/>
    </row>
    <row r="571" spans="2:8" ht="14.25" customHeight="1">
      <c r="B571" s="7"/>
      <c r="C571" s="7"/>
      <c r="D571" s="7"/>
      <c r="E571" s="7"/>
      <c r="F571" s="7"/>
      <c r="H571" s="22"/>
    </row>
    <row r="572" spans="2:8" ht="14.25" customHeight="1">
      <c r="B572" s="7"/>
      <c r="C572" s="7"/>
      <c r="D572" s="7"/>
      <c r="E572" s="7"/>
      <c r="F572" s="7"/>
      <c r="H572" s="22"/>
    </row>
    <row r="573" spans="2:8" ht="14.25" customHeight="1">
      <c r="B573" s="7"/>
      <c r="C573" s="7"/>
      <c r="D573" s="7"/>
      <c r="E573" s="7"/>
      <c r="F573" s="7"/>
      <c r="H573" s="22"/>
    </row>
    <row r="574" spans="2:8" ht="14.25" customHeight="1">
      <c r="B574" s="7"/>
      <c r="C574" s="7"/>
      <c r="D574" s="7"/>
      <c r="E574" s="7"/>
      <c r="F574" s="7"/>
      <c r="H574" s="22"/>
    </row>
    <row r="575" spans="2:8" ht="14.25" customHeight="1">
      <c r="B575" s="7"/>
      <c r="C575" s="7"/>
      <c r="D575" s="7"/>
      <c r="E575" s="7"/>
      <c r="F575" s="7"/>
      <c r="H575" s="22"/>
    </row>
    <row r="576" spans="2:8" ht="14.25" customHeight="1">
      <c r="B576" s="7"/>
      <c r="C576" s="7"/>
      <c r="D576" s="7"/>
      <c r="E576" s="7"/>
      <c r="F576" s="7"/>
      <c r="H576" s="22"/>
    </row>
    <row r="577" spans="2:8" ht="14.25" customHeight="1">
      <c r="B577" s="7"/>
      <c r="C577" s="7"/>
      <c r="D577" s="7"/>
      <c r="E577" s="7"/>
      <c r="F577" s="7"/>
      <c r="H577" s="22"/>
    </row>
    <row r="578" spans="2:8" ht="14.25" customHeight="1">
      <c r="B578" s="7"/>
      <c r="C578" s="7"/>
      <c r="D578" s="7"/>
      <c r="E578" s="7"/>
      <c r="F578" s="7"/>
      <c r="H578" s="22"/>
    </row>
    <row r="579" spans="2:8" ht="14.25" customHeight="1">
      <c r="B579" s="7"/>
      <c r="C579" s="7"/>
      <c r="D579" s="7"/>
      <c r="E579" s="7"/>
      <c r="F579" s="7"/>
      <c r="H579" s="22"/>
    </row>
    <row r="580" spans="2:8" ht="14.25" customHeight="1">
      <c r="B580" s="7"/>
      <c r="C580" s="7"/>
      <c r="D580" s="7"/>
      <c r="E580" s="7"/>
      <c r="F580" s="7"/>
      <c r="H580" s="22"/>
    </row>
    <row r="581" spans="2:8" ht="14.25" customHeight="1">
      <c r="B581" s="7"/>
      <c r="C581" s="7"/>
      <c r="D581" s="7"/>
      <c r="E581" s="7"/>
      <c r="F581" s="7"/>
      <c r="H581" s="22"/>
    </row>
    <row r="582" spans="2:8" ht="14.25" customHeight="1">
      <c r="B582" s="7"/>
      <c r="C582" s="7"/>
      <c r="D582" s="7"/>
      <c r="E582" s="7"/>
      <c r="F582" s="7"/>
      <c r="H582" s="22"/>
    </row>
    <row r="583" spans="2:8" ht="14.25" customHeight="1">
      <c r="B583" s="7"/>
      <c r="C583" s="7"/>
      <c r="D583" s="7"/>
      <c r="E583" s="7"/>
      <c r="F583" s="7"/>
      <c r="H583" s="22"/>
    </row>
    <row r="584" spans="2:8" ht="14.25" customHeight="1">
      <c r="B584" s="7"/>
      <c r="C584" s="7"/>
      <c r="D584" s="7"/>
      <c r="E584" s="7"/>
      <c r="F584" s="7"/>
      <c r="H584" s="22"/>
    </row>
    <row r="585" spans="2:8" ht="14.25" customHeight="1">
      <c r="B585" s="7"/>
      <c r="C585" s="7"/>
      <c r="D585" s="7"/>
      <c r="E585" s="7"/>
      <c r="F585" s="7"/>
      <c r="H585" s="22"/>
    </row>
    <row r="586" spans="2:8" ht="14.25" customHeight="1">
      <c r="B586" s="7"/>
      <c r="C586" s="7"/>
      <c r="D586" s="7"/>
      <c r="E586" s="7"/>
      <c r="F586" s="7"/>
      <c r="H586" s="22"/>
    </row>
    <row r="587" spans="2:8" ht="14.25" customHeight="1">
      <c r="B587" s="7"/>
      <c r="C587" s="7"/>
      <c r="D587" s="7"/>
      <c r="E587" s="7"/>
      <c r="F587" s="7"/>
      <c r="H587" s="22"/>
    </row>
    <row r="588" spans="2:8" ht="14.25" customHeight="1">
      <c r="B588" s="7"/>
      <c r="C588" s="7"/>
      <c r="D588" s="7"/>
      <c r="E588" s="7"/>
      <c r="F588" s="7"/>
      <c r="H588" s="22"/>
    </row>
    <row r="589" spans="2:8" ht="14.25" customHeight="1">
      <c r="B589" s="7"/>
      <c r="C589" s="7"/>
      <c r="D589" s="7"/>
      <c r="E589" s="7"/>
      <c r="F589" s="7"/>
      <c r="H589" s="22"/>
    </row>
    <row r="590" spans="2:8" ht="14.25" customHeight="1">
      <c r="B590" s="7"/>
      <c r="C590" s="7"/>
      <c r="D590" s="7"/>
      <c r="E590" s="7"/>
      <c r="F590" s="7"/>
      <c r="H590" s="22"/>
    </row>
    <row r="591" spans="2:8" ht="14.25" customHeight="1">
      <c r="B591" s="7"/>
      <c r="C591" s="7"/>
      <c r="D591" s="7"/>
      <c r="E591" s="7"/>
      <c r="F591" s="7"/>
      <c r="H591" s="22"/>
    </row>
    <row r="592" spans="2:8" ht="14.25" customHeight="1">
      <c r="B592" s="7"/>
      <c r="C592" s="7"/>
      <c r="D592" s="7"/>
      <c r="E592" s="7"/>
      <c r="F592" s="7"/>
      <c r="H592" s="22"/>
    </row>
    <row r="593" spans="2:8" ht="14.25" customHeight="1">
      <c r="B593" s="7"/>
      <c r="C593" s="7"/>
      <c r="D593" s="7"/>
      <c r="E593" s="7"/>
      <c r="F593" s="7"/>
      <c r="H593" s="22"/>
    </row>
    <row r="594" spans="2:8" ht="14.25" customHeight="1">
      <c r="B594" s="7"/>
      <c r="C594" s="7"/>
      <c r="D594" s="7"/>
      <c r="E594" s="7"/>
      <c r="F594" s="7"/>
      <c r="H594" s="22"/>
    </row>
    <row r="595" spans="2:8" ht="14.25" customHeight="1">
      <c r="B595" s="7"/>
      <c r="C595" s="7"/>
      <c r="D595" s="7"/>
      <c r="E595" s="7"/>
      <c r="F595" s="7"/>
      <c r="H595" s="22"/>
    </row>
    <row r="596" spans="2:8" ht="14.25" customHeight="1">
      <c r="B596" s="7"/>
      <c r="C596" s="7"/>
      <c r="D596" s="7"/>
      <c r="E596" s="7"/>
      <c r="F596" s="7"/>
      <c r="H596" s="22"/>
    </row>
    <row r="597" spans="2:8" ht="14.25" customHeight="1">
      <c r="B597" s="7"/>
      <c r="C597" s="7"/>
      <c r="D597" s="7"/>
      <c r="E597" s="7"/>
      <c r="F597" s="7"/>
      <c r="H597" s="22"/>
    </row>
    <row r="598" spans="2:8" ht="14.25" customHeight="1">
      <c r="B598" s="7"/>
      <c r="C598" s="7"/>
      <c r="D598" s="7"/>
      <c r="E598" s="7"/>
      <c r="F598" s="7"/>
      <c r="H598" s="22"/>
    </row>
    <row r="599" spans="2:8" ht="14.25" customHeight="1">
      <c r="B599" s="7"/>
      <c r="C599" s="7"/>
      <c r="D599" s="7"/>
      <c r="E599" s="7"/>
      <c r="F599" s="7"/>
      <c r="H599" s="22"/>
    </row>
    <row r="600" spans="2:8" ht="14.25" customHeight="1">
      <c r="B600" s="7"/>
      <c r="C600" s="7"/>
      <c r="D600" s="7"/>
      <c r="E600" s="7"/>
      <c r="F600" s="7"/>
      <c r="H600" s="22"/>
    </row>
    <row r="601" spans="2:8" ht="14.25" customHeight="1">
      <c r="B601" s="7"/>
      <c r="C601" s="7"/>
      <c r="D601" s="7"/>
      <c r="E601" s="7"/>
      <c r="F601" s="7"/>
      <c r="H601" s="22"/>
    </row>
    <row r="602" spans="2:8" ht="14.25" customHeight="1">
      <c r="B602" s="7"/>
      <c r="C602" s="7"/>
      <c r="D602" s="7"/>
      <c r="E602" s="7"/>
      <c r="F602" s="7"/>
      <c r="H602" s="22"/>
    </row>
    <row r="603" spans="2:8" ht="14.25" customHeight="1">
      <c r="B603" s="7"/>
      <c r="C603" s="7"/>
      <c r="D603" s="7"/>
      <c r="E603" s="7"/>
      <c r="F603" s="7"/>
      <c r="H603" s="22"/>
    </row>
    <row r="604" spans="2:8" ht="14.25" customHeight="1">
      <c r="B604" s="7"/>
      <c r="C604" s="7"/>
      <c r="D604" s="7"/>
      <c r="E604" s="7"/>
      <c r="F604" s="7"/>
      <c r="H604" s="22"/>
    </row>
    <row r="605" spans="2:8" ht="14.25" customHeight="1">
      <c r="B605" s="7"/>
      <c r="C605" s="7"/>
      <c r="D605" s="7"/>
      <c r="E605" s="7"/>
      <c r="F605" s="7"/>
      <c r="H605" s="22"/>
    </row>
    <row r="606" spans="2:8" ht="14.25" customHeight="1">
      <c r="B606" s="7"/>
      <c r="C606" s="7"/>
      <c r="D606" s="7"/>
      <c r="E606" s="7"/>
      <c r="F606" s="7"/>
      <c r="H606" s="22"/>
    </row>
    <row r="607" spans="2:8" ht="14.25" customHeight="1">
      <c r="B607" s="7"/>
      <c r="C607" s="7"/>
      <c r="D607" s="7"/>
      <c r="E607" s="7"/>
      <c r="F607" s="7"/>
      <c r="H607" s="22"/>
    </row>
    <row r="608" spans="2:8" ht="14.25" customHeight="1">
      <c r="B608" s="7"/>
      <c r="C608" s="7"/>
      <c r="D608" s="7"/>
      <c r="E608" s="7"/>
      <c r="F608" s="7"/>
      <c r="H608" s="22"/>
    </row>
    <row r="609" spans="2:8" ht="14.25" customHeight="1">
      <c r="B609" s="7"/>
      <c r="C609" s="7"/>
      <c r="D609" s="7"/>
      <c r="E609" s="7"/>
      <c r="F609" s="7"/>
      <c r="H609" s="22"/>
    </row>
    <row r="610" spans="2:8" ht="14.25" customHeight="1">
      <c r="B610" s="7"/>
      <c r="C610" s="7"/>
      <c r="D610" s="7"/>
      <c r="E610" s="7"/>
      <c r="F610" s="7"/>
      <c r="H610" s="22"/>
    </row>
    <row r="611" spans="2:8" ht="14.25" customHeight="1">
      <c r="B611" s="7"/>
      <c r="C611" s="7"/>
      <c r="D611" s="7"/>
      <c r="E611" s="7"/>
      <c r="F611" s="7"/>
      <c r="H611" s="22"/>
    </row>
    <row r="612" spans="2:8" ht="14.25" customHeight="1">
      <c r="B612" s="7"/>
      <c r="C612" s="7"/>
      <c r="D612" s="7"/>
      <c r="E612" s="7"/>
      <c r="F612" s="7"/>
      <c r="H612" s="22"/>
    </row>
    <row r="613" spans="2:8" ht="14.25" customHeight="1">
      <c r="B613" s="7"/>
      <c r="C613" s="7"/>
      <c r="D613" s="7"/>
      <c r="E613" s="7"/>
      <c r="F613" s="7"/>
      <c r="H613" s="22"/>
    </row>
    <row r="614" spans="2:8" ht="14.25" customHeight="1">
      <c r="B614" s="7"/>
      <c r="C614" s="7"/>
      <c r="D614" s="7"/>
      <c r="E614" s="7"/>
      <c r="F614" s="7"/>
      <c r="H614" s="22"/>
    </row>
    <row r="615" spans="2:8" ht="14.25" customHeight="1">
      <c r="B615" s="7"/>
      <c r="C615" s="7"/>
      <c r="D615" s="7"/>
      <c r="E615" s="7"/>
      <c r="F615" s="7"/>
      <c r="H615" s="22"/>
    </row>
    <row r="616" spans="2:8" ht="14.25" customHeight="1">
      <c r="B616" s="7"/>
      <c r="C616" s="7"/>
      <c r="D616" s="7"/>
      <c r="E616" s="7"/>
      <c r="F616" s="7"/>
      <c r="H616" s="22"/>
    </row>
    <row r="617" spans="2:8" ht="14.25" customHeight="1">
      <c r="B617" s="7"/>
      <c r="C617" s="7"/>
      <c r="D617" s="7"/>
      <c r="E617" s="7"/>
      <c r="F617" s="7"/>
      <c r="H617" s="22"/>
    </row>
    <row r="618" spans="2:8" ht="14.25" customHeight="1">
      <c r="B618" s="7"/>
      <c r="C618" s="7"/>
      <c r="D618" s="7"/>
      <c r="E618" s="7"/>
      <c r="F618" s="7"/>
      <c r="H618" s="22"/>
    </row>
    <row r="619" spans="2:8" ht="14.25" customHeight="1">
      <c r="B619" s="7"/>
      <c r="C619" s="7"/>
      <c r="D619" s="7"/>
      <c r="E619" s="7"/>
      <c r="F619" s="7"/>
      <c r="H619" s="22"/>
    </row>
    <row r="620" spans="2:8" ht="14.25" customHeight="1">
      <c r="B620" s="7"/>
      <c r="C620" s="7"/>
      <c r="D620" s="7"/>
      <c r="E620" s="7"/>
      <c r="F620" s="7"/>
      <c r="H620" s="22"/>
    </row>
    <row r="621" spans="2:8" ht="14.25" customHeight="1">
      <c r="B621" s="7"/>
      <c r="C621" s="7"/>
      <c r="D621" s="7"/>
      <c r="E621" s="7"/>
      <c r="F621" s="7"/>
      <c r="H621" s="22"/>
    </row>
    <row r="622" spans="2:8" ht="14.25" customHeight="1">
      <c r="B622" s="7"/>
      <c r="C622" s="7"/>
      <c r="D622" s="7"/>
      <c r="E622" s="7"/>
      <c r="F622" s="7"/>
      <c r="H622" s="22"/>
    </row>
    <row r="623" spans="2:8" ht="14.25" customHeight="1">
      <c r="B623" s="7"/>
      <c r="C623" s="7"/>
      <c r="D623" s="7"/>
      <c r="E623" s="7"/>
      <c r="F623" s="7"/>
      <c r="H623" s="22"/>
    </row>
    <row r="624" spans="2:8" ht="14.25" customHeight="1">
      <c r="B624" s="7"/>
      <c r="C624" s="7"/>
      <c r="D624" s="7"/>
      <c r="E624" s="7"/>
      <c r="F624" s="7"/>
      <c r="H624" s="22"/>
    </row>
    <row r="625" spans="2:8" ht="14.25" customHeight="1">
      <c r="B625" s="7"/>
      <c r="C625" s="7"/>
      <c r="D625" s="7"/>
      <c r="E625" s="7"/>
      <c r="F625" s="7"/>
      <c r="H625" s="22"/>
    </row>
    <row r="626" spans="2:8" ht="14.25" customHeight="1">
      <c r="B626" s="7"/>
      <c r="C626" s="7"/>
      <c r="D626" s="7"/>
      <c r="E626" s="7"/>
      <c r="F626" s="7"/>
      <c r="H626" s="22"/>
    </row>
    <row r="627" spans="2:8" ht="14.25" customHeight="1">
      <c r="B627" s="7"/>
      <c r="C627" s="7"/>
      <c r="D627" s="7"/>
      <c r="E627" s="7"/>
      <c r="F627" s="7"/>
      <c r="H627" s="22"/>
    </row>
    <row r="628" spans="2:8" ht="14.25" customHeight="1">
      <c r="B628" s="7"/>
      <c r="C628" s="7"/>
      <c r="D628" s="7"/>
      <c r="E628" s="7"/>
      <c r="F628" s="7"/>
      <c r="H628" s="22"/>
    </row>
    <row r="629" spans="2:8" ht="14.25" customHeight="1">
      <c r="B629" s="7"/>
      <c r="C629" s="7"/>
      <c r="D629" s="7"/>
      <c r="E629" s="7"/>
      <c r="F629" s="7"/>
      <c r="H629" s="22"/>
    </row>
    <row r="630" spans="2:8" ht="14.25" customHeight="1">
      <c r="B630" s="7"/>
      <c r="C630" s="7"/>
      <c r="D630" s="7"/>
      <c r="E630" s="7"/>
      <c r="F630" s="7"/>
      <c r="H630" s="22"/>
    </row>
    <row r="631" spans="2:8" ht="14.25" customHeight="1">
      <c r="B631" s="7"/>
      <c r="C631" s="7"/>
      <c r="D631" s="7"/>
      <c r="E631" s="7"/>
      <c r="F631" s="7"/>
      <c r="H631" s="22"/>
    </row>
    <row r="632" spans="2:8" ht="14.25" customHeight="1">
      <c r="B632" s="7"/>
      <c r="C632" s="7"/>
      <c r="D632" s="7"/>
      <c r="E632" s="7"/>
      <c r="F632" s="7"/>
      <c r="H632" s="22"/>
    </row>
    <row r="633" spans="2:8" ht="14.25" customHeight="1">
      <c r="B633" s="7"/>
      <c r="C633" s="7"/>
      <c r="D633" s="7"/>
      <c r="E633" s="7"/>
      <c r="F633" s="7"/>
      <c r="H633" s="22"/>
    </row>
    <row r="634" spans="2:8" ht="14.25" customHeight="1">
      <c r="B634" s="7"/>
      <c r="C634" s="7"/>
      <c r="D634" s="7"/>
      <c r="E634" s="7"/>
      <c r="F634" s="7"/>
      <c r="H634" s="22"/>
    </row>
    <row r="635" spans="2:8" ht="14.25" customHeight="1">
      <c r="B635" s="7"/>
      <c r="C635" s="7"/>
      <c r="D635" s="7"/>
      <c r="E635" s="7"/>
      <c r="F635" s="7"/>
      <c r="H635" s="22"/>
    </row>
    <row r="636" spans="2:8" ht="14.25" customHeight="1">
      <c r="B636" s="7"/>
      <c r="C636" s="7"/>
      <c r="D636" s="7"/>
      <c r="E636" s="7"/>
      <c r="F636" s="7"/>
      <c r="H636" s="22"/>
    </row>
    <row r="637" spans="2:8" ht="14.25" customHeight="1">
      <c r="B637" s="7"/>
      <c r="C637" s="7"/>
      <c r="D637" s="7"/>
      <c r="E637" s="7"/>
      <c r="F637" s="7"/>
      <c r="H637" s="22"/>
    </row>
    <row r="638" spans="2:8" ht="14.25" customHeight="1">
      <c r="B638" s="7"/>
      <c r="C638" s="7"/>
      <c r="D638" s="7"/>
      <c r="E638" s="7"/>
      <c r="F638" s="7"/>
      <c r="H638" s="22"/>
    </row>
    <row r="639" spans="2:8" ht="14.25" customHeight="1">
      <c r="B639" s="7"/>
      <c r="C639" s="7"/>
      <c r="D639" s="7"/>
      <c r="E639" s="7"/>
      <c r="F639" s="7"/>
      <c r="H639" s="22"/>
    </row>
    <row r="640" spans="2:8" ht="14.25" customHeight="1">
      <c r="B640" s="7"/>
      <c r="C640" s="7"/>
      <c r="D640" s="7"/>
      <c r="E640" s="7"/>
      <c r="F640" s="7"/>
      <c r="H640" s="22"/>
    </row>
    <row r="641" spans="2:8" ht="14.25" customHeight="1">
      <c r="B641" s="7"/>
      <c r="C641" s="7"/>
      <c r="D641" s="7"/>
      <c r="E641" s="7"/>
      <c r="F641" s="7"/>
      <c r="H641" s="22"/>
    </row>
    <row r="642" spans="2:8" ht="14.25" customHeight="1">
      <c r="B642" s="7"/>
      <c r="C642" s="7"/>
      <c r="D642" s="7"/>
      <c r="E642" s="7"/>
      <c r="F642" s="7"/>
      <c r="H642" s="22"/>
    </row>
    <row r="643" spans="2:8" ht="14.25" customHeight="1">
      <c r="B643" s="7"/>
      <c r="C643" s="7"/>
      <c r="D643" s="7"/>
      <c r="E643" s="7"/>
      <c r="F643" s="7"/>
      <c r="H643" s="22"/>
    </row>
    <row r="644" spans="2:8" ht="14.25" customHeight="1">
      <c r="B644" s="7"/>
      <c r="C644" s="7"/>
      <c r="D644" s="7"/>
      <c r="E644" s="7"/>
      <c r="F644" s="7"/>
      <c r="H644" s="22"/>
    </row>
    <row r="645" spans="2:8" ht="14.25" customHeight="1">
      <c r="B645" s="7"/>
      <c r="C645" s="7"/>
      <c r="D645" s="7"/>
      <c r="E645" s="7"/>
      <c r="F645" s="7"/>
      <c r="H645" s="22"/>
    </row>
    <row r="646" spans="2:8" ht="14.25" customHeight="1">
      <c r="B646" s="7"/>
      <c r="C646" s="7"/>
      <c r="D646" s="7"/>
      <c r="E646" s="7"/>
      <c r="F646" s="7"/>
      <c r="H646" s="22"/>
    </row>
    <row r="647" spans="2:8" ht="14.25" customHeight="1">
      <c r="B647" s="7"/>
      <c r="C647" s="7"/>
      <c r="D647" s="7"/>
      <c r="E647" s="7"/>
      <c r="F647" s="7"/>
      <c r="H647" s="22"/>
    </row>
    <row r="648" spans="2:8" ht="14.25" customHeight="1">
      <c r="B648" s="7"/>
      <c r="C648" s="7"/>
      <c r="D648" s="7"/>
      <c r="E648" s="7"/>
      <c r="F648" s="7"/>
      <c r="H648" s="22"/>
    </row>
    <row r="649" spans="2:8" ht="14.25" customHeight="1">
      <c r="B649" s="7"/>
      <c r="C649" s="7"/>
      <c r="D649" s="7"/>
      <c r="E649" s="7"/>
      <c r="F649" s="7"/>
      <c r="H649" s="22"/>
    </row>
    <row r="650" spans="2:8" ht="14.25" customHeight="1">
      <c r="B650" s="7"/>
      <c r="C650" s="7"/>
      <c r="D650" s="7"/>
      <c r="E650" s="7"/>
      <c r="F650" s="7"/>
      <c r="H650" s="22"/>
    </row>
    <row r="651" spans="2:8" ht="14.25" customHeight="1">
      <c r="B651" s="7"/>
      <c r="C651" s="7"/>
      <c r="D651" s="7"/>
      <c r="E651" s="7"/>
      <c r="F651" s="7"/>
      <c r="H651" s="22"/>
    </row>
    <row r="652" spans="2:8" ht="14.25" customHeight="1">
      <c r="B652" s="7"/>
      <c r="C652" s="7"/>
      <c r="D652" s="7"/>
      <c r="E652" s="7"/>
      <c r="F652" s="7"/>
      <c r="H652" s="22"/>
    </row>
    <row r="653" spans="2:8" ht="14.25" customHeight="1">
      <c r="B653" s="7"/>
      <c r="C653" s="7"/>
      <c r="D653" s="7"/>
      <c r="E653" s="7"/>
      <c r="F653" s="7"/>
      <c r="H653" s="22"/>
    </row>
    <row r="654" spans="2:8" ht="14.25" customHeight="1">
      <c r="B654" s="7"/>
      <c r="C654" s="7"/>
      <c r="D654" s="7"/>
      <c r="E654" s="7"/>
      <c r="F654" s="7"/>
      <c r="H654" s="22"/>
    </row>
    <row r="655" spans="2:8" ht="14.25" customHeight="1">
      <c r="B655" s="7"/>
      <c r="C655" s="7"/>
      <c r="D655" s="7"/>
      <c r="E655" s="7"/>
      <c r="F655" s="7"/>
      <c r="H655" s="22"/>
    </row>
    <row r="656" spans="2:8" ht="14.25" customHeight="1">
      <c r="B656" s="7"/>
      <c r="C656" s="7"/>
      <c r="D656" s="7"/>
      <c r="E656" s="7"/>
      <c r="F656" s="7"/>
      <c r="H656" s="22"/>
    </row>
    <row r="657" spans="2:8" ht="14.25" customHeight="1">
      <c r="B657" s="7"/>
      <c r="C657" s="7"/>
      <c r="D657" s="7"/>
      <c r="E657" s="7"/>
      <c r="F657" s="7"/>
      <c r="H657" s="22"/>
    </row>
    <row r="658" spans="2:8" ht="14.25" customHeight="1">
      <c r="B658" s="7"/>
      <c r="C658" s="7"/>
      <c r="D658" s="7"/>
      <c r="E658" s="7"/>
      <c r="F658" s="7"/>
      <c r="H658" s="22"/>
    </row>
    <row r="659" spans="2:8" ht="14.25" customHeight="1">
      <c r="B659" s="7"/>
      <c r="C659" s="7"/>
      <c r="D659" s="7"/>
      <c r="E659" s="7"/>
      <c r="F659" s="7"/>
      <c r="H659" s="22"/>
    </row>
    <row r="660" spans="2:8" ht="14.25" customHeight="1">
      <c r="B660" s="7"/>
      <c r="C660" s="7"/>
      <c r="D660" s="7"/>
      <c r="E660" s="7"/>
      <c r="F660" s="7"/>
      <c r="H660" s="22"/>
    </row>
    <row r="661" spans="2:8" ht="14.25" customHeight="1">
      <c r="B661" s="7"/>
      <c r="C661" s="7"/>
      <c r="D661" s="7"/>
      <c r="E661" s="7"/>
      <c r="F661" s="7"/>
      <c r="H661" s="22"/>
    </row>
    <row r="662" spans="2:8" ht="14.25" customHeight="1">
      <c r="B662" s="7"/>
      <c r="C662" s="7"/>
      <c r="D662" s="7"/>
      <c r="E662" s="7"/>
      <c r="F662" s="7"/>
      <c r="H662" s="22"/>
    </row>
    <row r="663" spans="2:8" ht="14.25" customHeight="1">
      <c r="B663" s="7"/>
      <c r="C663" s="7"/>
      <c r="D663" s="7"/>
      <c r="E663" s="7"/>
      <c r="F663" s="7"/>
      <c r="H663" s="22"/>
    </row>
    <row r="664" spans="2:8" ht="14.25" customHeight="1">
      <c r="B664" s="7"/>
      <c r="C664" s="7"/>
      <c r="D664" s="7"/>
      <c r="E664" s="7"/>
      <c r="F664" s="7"/>
      <c r="H664" s="22"/>
    </row>
    <row r="665" spans="2:8" ht="14.25" customHeight="1">
      <c r="B665" s="7"/>
      <c r="C665" s="7"/>
      <c r="D665" s="7"/>
      <c r="E665" s="7"/>
      <c r="F665" s="7"/>
      <c r="H665" s="22"/>
    </row>
    <row r="666" spans="2:8" ht="14.25" customHeight="1">
      <c r="B666" s="7"/>
      <c r="C666" s="7"/>
      <c r="D666" s="7"/>
      <c r="E666" s="7"/>
      <c r="F666" s="7"/>
      <c r="H666" s="22"/>
    </row>
    <row r="667" spans="2:8" ht="14.25" customHeight="1">
      <c r="B667" s="7"/>
      <c r="C667" s="7"/>
      <c r="D667" s="7"/>
      <c r="E667" s="7"/>
      <c r="F667" s="7"/>
      <c r="H667" s="22"/>
    </row>
    <row r="668" spans="2:8" ht="14.25" customHeight="1">
      <c r="B668" s="7"/>
      <c r="C668" s="7"/>
      <c r="D668" s="7"/>
      <c r="E668" s="7"/>
      <c r="F668" s="7"/>
      <c r="H668" s="22"/>
    </row>
    <row r="669" spans="2:8" ht="14.25" customHeight="1">
      <c r="B669" s="7"/>
      <c r="C669" s="7"/>
      <c r="D669" s="7"/>
      <c r="E669" s="7"/>
      <c r="F669" s="7"/>
      <c r="H669" s="22"/>
    </row>
    <row r="670" spans="2:8" ht="14.25" customHeight="1">
      <c r="B670" s="7"/>
      <c r="C670" s="7"/>
      <c r="D670" s="7"/>
      <c r="E670" s="7"/>
      <c r="F670" s="7"/>
      <c r="H670" s="22"/>
    </row>
    <row r="671" spans="2:8" ht="14.25" customHeight="1">
      <c r="B671" s="7"/>
      <c r="C671" s="7"/>
      <c r="D671" s="7"/>
      <c r="E671" s="7"/>
      <c r="F671" s="7"/>
      <c r="H671" s="22"/>
    </row>
    <row r="672" spans="2:8" ht="14.25" customHeight="1">
      <c r="B672" s="7"/>
      <c r="C672" s="7"/>
      <c r="D672" s="7"/>
      <c r="E672" s="7"/>
      <c r="F672" s="7"/>
      <c r="H672" s="22"/>
    </row>
    <row r="673" spans="2:8" ht="14.25" customHeight="1">
      <c r="B673" s="7"/>
      <c r="C673" s="7"/>
      <c r="D673" s="7"/>
      <c r="E673" s="7"/>
      <c r="F673" s="7"/>
      <c r="H673" s="22"/>
    </row>
    <row r="674" spans="2:8" ht="14.25" customHeight="1">
      <c r="B674" s="7"/>
      <c r="C674" s="7"/>
      <c r="D674" s="7"/>
      <c r="E674" s="7"/>
      <c r="F674" s="7"/>
      <c r="H674" s="22"/>
    </row>
    <row r="675" spans="2:8" ht="14.25" customHeight="1">
      <c r="B675" s="7"/>
      <c r="C675" s="7"/>
      <c r="D675" s="7"/>
      <c r="E675" s="7"/>
      <c r="F675" s="7"/>
      <c r="H675" s="22"/>
    </row>
    <row r="676" spans="2:8" ht="14.25" customHeight="1">
      <c r="B676" s="7"/>
      <c r="C676" s="7"/>
      <c r="D676" s="7"/>
      <c r="E676" s="7"/>
      <c r="F676" s="7"/>
      <c r="H676" s="22"/>
    </row>
    <row r="677" spans="2:8" ht="14.25" customHeight="1">
      <c r="B677" s="7"/>
      <c r="C677" s="7"/>
      <c r="D677" s="7"/>
      <c r="E677" s="7"/>
      <c r="F677" s="7"/>
      <c r="H677" s="22"/>
    </row>
    <row r="678" spans="2:8" ht="14.25" customHeight="1">
      <c r="B678" s="7"/>
      <c r="C678" s="7"/>
      <c r="D678" s="7"/>
      <c r="E678" s="7"/>
      <c r="F678" s="7"/>
      <c r="H678" s="22"/>
    </row>
    <row r="679" spans="2:8" ht="14.25" customHeight="1">
      <c r="B679" s="7"/>
      <c r="C679" s="7"/>
      <c r="D679" s="7"/>
      <c r="E679" s="7"/>
      <c r="F679" s="7"/>
      <c r="H679" s="22"/>
    </row>
    <row r="680" spans="2:8" ht="14.25" customHeight="1">
      <c r="B680" s="7"/>
      <c r="C680" s="7"/>
      <c r="D680" s="7"/>
      <c r="E680" s="7"/>
      <c r="F680" s="7"/>
      <c r="H680" s="22"/>
    </row>
    <row r="681" spans="2:8" ht="14.25" customHeight="1">
      <c r="B681" s="7"/>
      <c r="C681" s="7"/>
      <c r="D681" s="7"/>
      <c r="E681" s="7"/>
      <c r="F681" s="7"/>
      <c r="H681" s="22"/>
    </row>
    <row r="682" spans="2:8" ht="14.25" customHeight="1">
      <c r="B682" s="7"/>
      <c r="C682" s="7"/>
      <c r="D682" s="7"/>
      <c r="E682" s="7"/>
      <c r="F682" s="7"/>
      <c r="H682" s="22"/>
    </row>
    <row r="683" spans="2:8" ht="14.25" customHeight="1">
      <c r="B683" s="7"/>
      <c r="C683" s="7"/>
      <c r="D683" s="7"/>
      <c r="E683" s="7"/>
      <c r="F683" s="7"/>
      <c r="H683" s="22"/>
    </row>
    <row r="684" spans="2:8" ht="14.25" customHeight="1">
      <c r="B684" s="7"/>
      <c r="C684" s="7"/>
      <c r="D684" s="7"/>
      <c r="E684" s="7"/>
      <c r="F684" s="7"/>
      <c r="H684" s="22"/>
    </row>
    <row r="685" spans="2:8" ht="14.25" customHeight="1">
      <c r="B685" s="7"/>
      <c r="C685" s="7"/>
      <c r="D685" s="7"/>
      <c r="E685" s="7"/>
      <c r="F685" s="7"/>
      <c r="H685" s="22"/>
    </row>
    <row r="686" spans="2:8" ht="14.25" customHeight="1">
      <c r="B686" s="7"/>
      <c r="C686" s="7"/>
      <c r="D686" s="7"/>
      <c r="E686" s="7"/>
      <c r="F686" s="7"/>
      <c r="H686" s="22"/>
    </row>
    <row r="687" spans="2:8" ht="14.25" customHeight="1">
      <c r="B687" s="7"/>
      <c r="C687" s="7"/>
      <c r="D687" s="7"/>
      <c r="E687" s="7"/>
      <c r="F687" s="7"/>
      <c r="H687" s="22"/>
    </row>
    <row r="688" spans="2:8" ht="14.25" customHeight="1">
      <c r="B688" s="7"/>
      <c r="C688" s="7"/>
      <c r="D688" s="7"/>
      <c r="E688" s="7"/>
      <c r="F688" s="7"/>
      <c r="H688" s="22"/>
    </row>
    <row r="689" spans="2:8" ht="14.25" customHeight="1">
      <c r="B689" s="7"/>
      <c r="C689" s="7"/>
      <c r="D689" s="7"/>
      <c r="E689" s="7"/>
      <c r="F689" s="7"/>
      <c r="H689" s="22"/>
    </row>
    <row r="690" spans="2:8" ht="14.25" customHeight="1">
      <c r="B690" s="7"/>
      <c r="C690" s="7"/>
      <c r="D690" s="7"/>
      <c r="E690" s="7"/>
      <c r="F690" s="7"/>
      <c r="H690" s="22"/>
    </row>
    <row r="691" spans="2:8" ht="14.25" customHeight="1">
      <c r="B691" s="7"/>
      <c r="C691" s="7"/>
      <c r="D691" s="7"/>
      <c r="E691" s="7"/>
      <c r="F691" s="7"/>
      <c r="H691" s="22"/>
    </row>
    <row r="692" spans="2:8" ht="14.25" customHeight="1">
      <c r="B692" s="7"/>
      <c r="C692" s="7"/>
      <c r="D692" s="7"/>
      <c r="E692" s="7"/>
      <c r="F692" s="7"/>
      <c r="H692" s="22"/>
    </row>
    <row r="693" spans="2:8" ht="14.25" customHeight="1">
      <c r="B693" s="7"/>
      <c r="C693" s="7"/>
      <c r="D693" s="7"/>
      <c r="E693" s="7"/>
      <c r="F693" s="7"/>
      <c r="H693" s="22"/>
    </row>
    <row r="694" spans="2:8" ht="14.25" customHeight="1">
      <c r="B694" s="7"/>
      <c r="C694" s="7"/>
      <c r="D694" s="7"/>
      <c r="E694" s="7"/>
      <c r="F694" s="7"/>
      <c r="H694" s="22"/>
    </row>
    <row r="695" spans="2:8" ht="14.25" customHeight="1">
      <c r="B695" s="7"/>
      <c r="C695" s="7"/>
      <c r="D695" s="7"/>
      <c r="E695" s="7"/>
      <c r="F695" s="7"/>
      <c r="H695" s="22"/>
    </row>
    <row r="696" spans="2:8" ht="14.25" customHeight="1">
      <c r="B696" s="7"/>
      <c r="C696" s="7"/>
      <c r="D696" s="7"/>
      <c r="E696" s="7"/>
      <c r="F696" s="7"/>
      <c r="H696" s="22"/>
    </row>
    <row r="697" spans="2:8" ht="14.25" customHeight="1">
      <c r="B697" s="7"/>
      <c r="C697" s="7"/>
      <c r="D697" s="7"/>
      <c r="E697" s="7"/>
      <c r="F697" s="7"/>
      <c r="H697" s="22"/>
    </row>
    <row r="698" spans="2:8" ht="14.25" customHeight="1">
      <c r="B698" s="7"/>
      <c r="C698" s="7"/>
      <c r="D698" s="7"/>
      <c r="E698" s="7"/>
      <c r="F698" s="7"/>
      <c r="H698" s="22"/>
    </row>
    <row r="699" spans="2:8" ht="14.25" customHeight="1">
      <c r="B699" s="7"/>
      <c r="C699" s="7"/>
      <c r="D699" s="7"/>
      <c r="E699" s="7"/>
      <c r="F699" s="7"/>
      <c r="H699" s="22"/>
    </row>
    <row r="700" spans="2:8" ht="14.25" customHeight="1">
      <c r="B700" s="7"/>
      <c r="C700" s="7"/>
      <c r="D700" s="7"/>
      <c r="E700" s="7"/>
      <c r="F700" s="7"/>
      <c r="H700" s="22"/>
    </row>
    <row r="701" spans="2:8" ht="14.25" customHeight="1">
      <c r="B701" s="7"/>
      <c r="C701" s="7"/>
      <c r="D701" s="7"/>
      <c r="E701" s="7"/>
      <c r="F701" s="7"/>
      <c r="H701" s="22"/>
    </row>
    <row r="702" spans="2:8" ht="14.25" customHeight="1">
      <c r="B702" s="7"/>
      <c r="C702" s="7"/>
      <c r="D702" s="7"/>
      <c r="E702" s="7"/>
      <c r="F702" s="7"/>
      <c r="H702" s="22"/>
    </row>
    <row r="703" spans="2:8" ht="14.25" customHeight="1">
      <c r="B703" s="7"/>
      <c r="C703" s="7"/>
      <c r="D703" s="7"/>
      <c r="E703" s="7"/>
      <c r="F703" s="7"/>
      <c r="H703" s="22"/>
    </row>
    <row r="704" spans="2:8" ht="14.25" customHeight="1">
      <c r="B704" s="7"/>
      <c r="C704" s="7"/>
      <c r="D704" s="7"/>
      <c r="E704" s="7"/>
      <c r="F704" s="7"/>
      <c r="H704" s="22"/>
    </row>
    <row r="705" spans="2:8" ht="14.25" customHeight="1">
      <c r="B705" s="7"/>
      <c r="C705" s="7"/>
      <c r="D705" s="7"/>
      <c r="E705" s="7"/>
      <c r="F705" s="7"/>
      <c r="H705" s="22"/>
    </row>
    <row r="706" spans="2:8" ht="14.25" customHeight="1">
      <c r="B706" s="7"/>
      <c r="C706" s="7"/>
      <c r="D706" s="7"/>
      <c r="E706" s="7"/>
      <c r="F706" s="7"/>
      <c r="H706" s="22"/>
    </row>
    <row r="707" spans="2:8" ht="14.25" customHeight="1">
      <c r="B707" s="7"/>
      <c r="C707" s="7"/>
      <c r="D707" s="7"/>
      <c r="E707" s="7"/>
      <c r="F707" s="7"/>
      <c r="H707" s="22"/>
    </row>
    <row r="708" spans="2:8" ht="14.25" customHeight="1">
      <c r="B708" s="7"/>
      <c r="C708" s="7"/>
      <c r="D708" s="7"/>
      <c r="E708" s="7"/>
      <c r="F708" s="7"/>
      <c r="H708" s="22"/>
    </row>
    <row r="709" spans="2:8" ht="14.25" customHeight="1">
      <c r="B709" s="7"/>
      <c r="C709" s="7"/>
      <c r="D709" s="7"/>
      <c r="E709" s="7"/>
      <c r="F709" s="7"/>
      <c r="H709" s="22"/>
    </row>
    <row r="710" spans="2:8" ht="14.25" customHeight="1">
      <c r="B710" s="7"/>
      <c r="C710" s="7"/>
      <c r="D710" s="7"/>
      <c r="E710" s="7"/>
      <c r="F710" s="7"/>
      <c r="H710" s="22"/>
    </row>
    <row r="711" spans="2:8" ht="14.25" customHeight="1">
      <c r="B711" s="7"/>
      <c r="C711" s="7"/>
      <c r="D711" s="7"/>
      <c r="E711" s="7"/>
      <c r="F711" s="7"/>
      <c r="H711" s="22"/>
    </row>
    <row r="712" spans="2:8" ht="14.25" customHeight="1">
      <c r="B712" s="7"/>
      <c r="C712" s="7"/>
      <c r="D712" s="7"/>
      <c r="E712" s="7"/>
      <c r="F712" s="7"/>
      <c r="H712" s="22"/>
    </row>
    <row r="713" spans="2:8" ht="14.25" customHeight="1">
      <c r="B713" s="7"/>
      <c r="C713" s="7"/>
      <c r="D713" s="7"/>
      <c r="E713" s="7"/>
      <c r="F713" s="7"/>
      <c r="H713" s="22"/>
    </row>
    <row r="714" spans="2:8" ht="14.25" customHeight="1">
      <c r="B714" s="7"/>
      <c r="C714" s="7"/>
      <c r="D714" s="7"/>
      <c r="E714" s="7"/>
      <c r="F714" s="7"/>
      <c r="H714" s="22"/>
    </row>
    <row r="715" spans="2:8" ht="14.25" customHeight="1">
      <c r="B715" s="7"/>
      <c r="C715" s="7"/>
      <c r="D715" s="7"/>
      <c r="E715" s="7"/>
      <c r="F715" s="7"/>
      <c r="H715" s="22"/>
    </row>
    <row r="716" spans="2:8" ht="14.25" customHeight="1">
      <c r="B716" s="7"/>
      <c r="C716" s="7"/>
      <c r="D716" s="7"/>
      <c r="E716" s="7"/>
      <c r="F716" s="7"/>
      <c r="H716" s="22"/>
    </row>
    <row r="717" spans="2:8" ht="14.25" customHeight="1">
      <c r="B717" s="7"/>
      <c r="C717" s="7"/>
      <c r="D717" s="7"/>
      <c r="E717" s="7"/>
      <c r="F717" s="7"/>
      <c r="H717" s="22"/>
    </row>
    <row r="718" spans="2:8" ht="14.25" customHeight="1">
      <c r="B718" s="7"/>
      <c r="C718" s="7"/>
      <c r="D718" s="7"/>
      <c r="E718" s="7"/>
      <c r="F718" s="7"/>
      <c r="H718" s="22"/>
    </row>
    <row r="719" spans="2:8" ht="14.25" customHeight="1">
      <c r="B719" s="7"/>
      <c r="C719" s="7"/>
      <c r="D719" s="7"/>
      <c r="E719" s="7"/>
      <c r="F719" s="7"/>
      <c r="H719" s="22"/>
    </row>
    <row r="720" spans="2:8" ht="14.25" customHeight="1">
      <c r="B720" s="7"/>
      <c r="C720" s="7"/>
      <c r="D720" s="7"/>
      <c r="E720" s="7"/>
      <c r="F720" s="7"/>
      <c r="H720" s="22"/>
    </row>
    <row r="721" spans="2:8" ht="14.25" customHeight="1">
      <c r="B721" s="7"/>
      <c r="C721" s="7"/>
      <c r="D721" s="7"/>
      <c r="E721" s="7"/>
      <c r="F721" s="7"/>
      <c r="H721" s="22"/>
    </row>
    <row r="722" spans="2:8" ht="14.25" customHeight="1">
      <c r="B722" s="7"/>
      <c r="C722" s="7"/>
      <c r="D722" s="7"/>
      <c r="E722" s="7"/>
      <c r="F722" s="7"/>
      <c r="H722" s="22"/>
    </row>
    <row r="723" spans="2:8" ht="14.25" customHeight="1">
      <c r="B723" s="7"/>
      <c r="C723" s="7"/>
      <c r="D723" s="7"/>
      <c r="E723" s="7"/>
      <c r="F723" s="7"/>
      <c r="H723" s="22"/>
    </row>
    <row r="724" spans="2:8" ht="14.25" customHeight="1">
      <c r="B724" s="7"/>
      <c r="C724" s="7"/>
      <c r="D724" s="7"/>
      <c r="E724" s="7"/>
      <c r="F724" s="7"/>
      <c r="H724" s="22"/>
    </row>
    <row r="725" spans="2:8" ht="14.25" customHeight="1">
      <c r="B725" s="7"/>
      <c r="C725" s="7"/>
      <c r="D725" s="7"/>
      <c r="E725" s="7"/>
      <c r="F725" s="7"/>
      <c r="H725" s="22"/>
    </row>
    <row r="726" spans="2:8" ht="14.25" customHeight="1">
      <c r="B726" s="7"/>
      <c r="C726" s="7"/>
      <c r="D726" s="7"/>
      <c r="E726" s="7"/>
      <c r="F726" s="7"/>
      <c r="H726" s="22"/>
    </row>
    <row r="727" spans="2:8" ht="14.25" customHeight="1">
      <c r="B727" s="7"/>
      <c r="C727" s="7"/>
      <c r="D727" s="7"/>
      <c r="E727" s="7"/>
      <c r="F727" s="7"/>
      <c r="H727" s="22"/>
    </row>
    <row r="728" spans="2:8" ht="14.25" customHeight="1">
      <c r="B728" s="7"/>
      <c r="C728" s="7"/>
      <c r="D728" s="7"/>
      <c r="E728" s="7"/>
      <c r="F728" s="7"/>
      <c r="H728" s="22"/>
    </row>
    <row r="729" spans="2:8" ht="14.25" customHeight="1">
      <c r="B729" s="7"/>
      <c r="C729" s="7"/>
      <c r="D729" s="7"/>
      <c r="E729" s="7"/>
      <c r="F729" s="7"/>
      <c r="H729" s="22"/>
    </row>
    <row r="730" spans="2:8" ht="14.25" customHeight="1">
      <c r="B730" s="7"/>
      <c r="C730" s="7"/>
      <c r="D730" s="7"/>
      <c r="E730" s="7"/>
      <c r="F730" s="7"/>
      <c r="H730" s="22"/>
    </row>
    <row r="731" spans="2:8" ht="14.25" customHeight="1">
      <c r="B731" s="7"/>
      <c r="C731" s="7"/>
      <c r="D731" s="7"/>
      <c r="E731" s="7"/>
      <c r="F731" s="7"/>
      <c r="H731" s="22"/>
    </row>
    <row r="732" spans="2:8" ht="14.25" customHeight="1">
      <c r="B732" s="7"/>
      <c r="C732" s="7"/>
      <c r="D732" s="7"/>
      <c r="E732" s="7"/>
      <c r="F732" s="7"/>
      <c r="H732" s="22"/>
    </row>
    <row r="733" spans="2:8" ht="14.25" customHeight="1">
      <c r="B733" s="7"/>
      <c r="C733" s="7"/>
      <c r="D733" s="7"/>
      <c r="E733" s="7"/>
      <c r="F733" s="7"/>
      <c r="H733" s="22"/>
    </row>
    <row r="734" spans="2:8" ht="14.25" customHeight="1">
      <c r="B734" s="7"/>
      <c r="C734" s="7"/>
      <c r="D734" s="7"/>
      <c r="E734" s="7"/>
      <c r="F734" s="7"/>
      <c r="H734" s="22"/>
    </row>
    <row r="735" spans="2:8" ht="14.25" customHeight="1">
      <c r="B735" s="7"/>
      <c r="C735" s="7"/>
      <c r="D735" s="7"/>
      <c r="E735" s="7"/>
      <c r="F735" s="7"/>
      <c r="H735" s="22"/>
    </row>
    <row r="736" spans="2:8" ht="14.25" customHeight="1">
      <c r="B736" s="7"/>
      <c r="C736" s="7"/>
      <c r="D736" s="7"/>
      <c r="E736" s="7"/>
      <c r="F736" s="7"/>
      <c r="H736" s="22"/>
    </row>
    <row r="737" spans="2:8" ht="14.25" customHeight="1">
      <c r="B737" s="7"/>
      <c r="C737" s="7"/>
      <c r="D737" s="7"/>
      <c r="E737" s="7"/>
      <c r="F737" s="7"/>
      <c r="H737" s="22"/>
    </row>
    <row r="738" spans="2:8" ht="14.25" customHeight="1">
      <c r="B738" s="7"/>
      <c r="C738" s="7"/>
      <c r="D738" s="7"/>
      <c r="E738" s="7"/>
      <c r="F738" s="7"/>
      <c r="H738" s="22"/>
    </row>
    <row r="739" spans="2:8" ht="14.25" customHeight="1">
      <c r="B739" s="7"/>
      <c r="C739" s="7"/>
      <c r="D739" s="7"/>
      <c r="E739" s="7"/>
      <c r="F739" s="7"/>
      <c r="H739" s="22"/>
    </row>
    <row r="740" spans="2:8" ht="14.25" customHeight="1">
      <c r="B740" s="7"/>
      <c r="C740" s="7"/>
      <c r="D740" s="7"/>
      <c r="E740" s="7"/>
      <c r="F740" s="7"/>
      <c r="H740" s="22"/>
    </row>
    <row r="741" spans="2:8" ht="14.25" customHeight="1">
      <c r="B741" s="7"/>
      <c r="C741" s="7"/>
      <c r="D741" s="7"/>
      <c r="E741" s="7"/>
      <c r="F741" s="7"/>
      <c r="H741" s="22"/>
    </row>
    <row r="742" spans="2:8" ht="14.25" customHeight="1">
      <c r="B742" s="7"/>
      <c r="C742" s="7"/>
      <c r="D742" s="7"/>
      <c r="E742" s="7"/>
      <c r="F742" s="7"/>
      <c r="H742" s="22"/>
    </row>
    <row r="743" spans="2:8" ht="14.25" customHeight="1">
      <c r="B743" s="7"/>
      <c r="C743" s="7"/>
      <c r="D743" s="7"/>
      <c r="E743" s="7"/>
      <c r="F743" s="7"/>
      <c r="H743" s="22"/>
    </row>
    <row r="744" spans="2:8" ht="14.25" customHeight="1">
      <c r="B744" s="7"/>
      <c r="C744" s="7"/>
      <c r="D744" s="7"/>
      <c r="E744" s="7"/>
      <c r="F744" s="7"/>
      <c r="H744" s="22"/>
    </row>
    <row r="745" spans="2:8" ht="14.25" customHeight="1">
      <c r="B745" s="7"/>
      <c r="C745" s="7"/>
      <c r="D745" s="7"/>
      <c r="E745" s="7"/>
      <c r="F745" s="7"/>
      <c r="H745" s="22"/>
    </row>
    <row r="746" spans="2:8" ht="14.25" customHeight="1">
      <c r="B746" s="7"/>
      <c r="C746" s="7"/>
      <c r="D746" s="7"/>
      <c r="E746" s="7"/>
      <c r="F746" s="7"/>
      <c r="H746" s="22"/>
    </row>
    <row r="747" spans="2:8" ht="14.25" customHeight="1">
      <c r="B747" s="7"/>
      <c r="C747" s="7"/>
      <c r="D747" s="7"/>
      <c r="E747" s="7"/>
      <c r="F747" s="7"/>
      <c r="H747" s="22"/>
    </row>
    <row r="748" spans="2:8" ht="14.25" customHeight="1">
      <c r="B748" s="7"/>
      <c r="C748" s="7"/>
      <c r="D748" s="7"/>
      <c r="E748" s="7"/>
      <c r="F748" s="7"/>
      <c r="H748" s="22"/>
    </row>
    <row r="749" spans="2:8" ht="14.25" customHeight="1">
      <c r="B749" s="7"/>
      <c r="C749" s="7"/>
      <c r="D749" s="7"/>
      <c r="E749" s="7"/>
      <c r="F749" s="7"/>
      <c r="H749" s="22"/>
    </row>
    <row r="750" spans="2:8" ht="14.25" customHeight="1">
      <c r="B750" s="7"/>
      <c r="C750" s="7"/>
      <c r="D750" s="7"/>
      <c r="E750" s="7"/>
      <c r="F750" s="7"/>
      <c r="H750" s="22"/>
    </row>
    <row r="751" spans="2:8" ht="14.25" customHeight="1">
      <c r="B751" s="7"/>
      <c r="C751" s="7"/>
      <c r="D751" s="7"/>
      <c r="E751" s="7"/>
      <c r="F751" s="7"/>
      <c r="H751" s="22"/>
    </row>
    <row r="752" spans="2:8" ht="14.25" customHeight="1">
      <c r="B752" s="7"/>
      <c r="C752" s="7"/>
      <c r="D752" s="7"/>
      <c r="E752" s="7"/>
      <c r="F752" s="7"/>
      <c r="H752" s="22"/>
    </row>
    <row r="753" spans="2:8" ht="14.25" customHeight="1">
      <c r="B753" s="7"/>
      <c r="C753" s="7"/>
      <c r="D753" s="7"/>
      <c r="E753" s="7"/>
      <c r="F753" s="7"/>
      <c r="H753" s="22"/>
    </row>
    <row r="754" spans="2:8" ht="14.25" customHeight="1">
      <c r="B754" s="7"/>
      <c r="C754" s="7"/>
      <c r="D754" s="7"/>
      <c r="E754" s="7"/>
      <c r="F754" s="7"/>
      <c r="H754" s="22"/>
    </row>
    <row r="755" spans="2:8" ht="14.25" customHeight="1">
      <c r="B755" s="7"/>
      <c r="C755" s="7"/>
      <c r="D755" s="7"/>
      <c r="E755" s="7"/>
      <c r="F755" s="7"/>
      <c r="H755" s="22"/>
    </row>
    <row r="756" spans="2:8" ht="14.25" customHeight="1">
      <c r="B756" s="7"/>
      <c r="C756" s="7"/>
      <c r="D756" s="7"/>
      <c r="E756" s="7"/>
      <c r="F756" s="7"/>
      <c r="H756" s="22"/>
    </row>
    <row r="757" spans="2:8" ht="14.25" customHeight="1">
      <c r="B757" s="7"/>
      <c r="C757" s="7"/>
      <c r="D757" s="7"/>
      <c r="E757" s="7"/>
      <c r="F757" s="7"/>
      <c r="H757" s="22"/>
    </row>
    <row r="758" spans="2:8" ht="14.25" customHeight="1">
      <c r="B758" s="7"/>
      <c r="C758" s="7"/>
      <c r="D758" s="7"/>
      <c r="E758" s="7"/>
      <c r="F758" s="7"/>
      <c r="H758" s="22"/>
    </row>
    <row r="759" spans="2:8" ht="14.25" customHeight="1">
      <c r="B759" s="7"/>
      <c r="C759" s="7"/>
      <c r="D759" s="7"/>
      <c r="E759" s="7"/>
      <c r="F759" s="7"/>
      <c r="H759" s="22"/>
    </row>
    <row r="760" spans="2:8" ht="14.25" customHeight="1">
      <c r="B760" s="7"/>
      <c r="C760" s="7"/>
      <c r="D760" s="7"/>
      <c r="E760" s="7"/>
      <c r="F760" s="7"/>
      <c r="H760" s="22"/>
    </row>
    <row r="761" spans="2:8" ht="14.25" customHeight="1">
      <c r="B761" s="7"/>
      <c r="C761" s="7"/>
      <c r="D761" s="7"/>
      <c r="E761" s="7"/>
      <c r="F761" s="7"/>
      <c r="H761" s="22"/>
    </row>
    <row r="762" spans="2:8" ht="14.25" customHeight="1">
      <c r="B762" s="7"/>
      <c r="C762" s="7"/>
      <c r="D762" s="7"/>
      <c r="E762" s="7"/>
      <c r="F762" s="7"/>
      <c r="H762" s="22"/>
    </row>
    <row r="763" spans="2:8" ht="14.25" customHeight="1">
      <c r="B763" s="7"/>
      <c r="C763" s="7"/>
      <c r="D763" s="7"/>
      <c r="E763" s="7"/>
      <c r="F763" s="7"/>
      <c r="H763" s="22"/>
    </row>
    <row r="764" spans="2:8" ht="14.25" customHeight="1">
      <c r="B764" s="7"/>
      <c r="C764" s="7"/>
      <c r="D764" s="7"/>
      <c r="E764" s="7"/>
      <c r="F764" s="7"/>
      <c r="H764" s="22"/>
    </row>
    <row r="765" spans="2:8" ht="14.25" customHeight="1">
      <c r="B765" s="7"/>
      <c r="C765" s="7"/>
      <c r="D765" s="7"/>
      <c r="E765" s="7"/>
      <c r="F765" s="7"/>
      <c r="H765" s="22"/>
    </row>
    <row r="766" spans="2:8" ht="14.25" customHeight="1">
      <c r="B766" s="7"/>
      <c r="C766" s="7"/>
      <c r="D766" s="7"/>
      <c r="E766" s="7"/>
      <c r="F766" s="7"/>
      <c r="H766" s="22"/>
    </row>
    <row r="767" spans="2:8" ht="14.25" customHeight="1">
      <c r="B767" s="7"/>
      <c r="C767" s="7"/>
      <c r="D767" s="7"/>
      <c r="E767" s="7"/>
      <c r="F767" s="7"/>
      <c r="H767" s="22"/>
    </row>
    <row r="768" spans="2:8" ht="14.25" customHeight="1">
      <c r="B768" s="7"/>
      <c r="C768" s="7"/>
      <c r="D768" s="7"/>
      <c r="E768" s="7"/>
      <c r="F768" s="7"/>
      <c r="H768" s="22"/>
    </row>
    <row r="769" spans="2:8" ht="14.25" customHeight="1">
      <c r="B769" s="7"/>
      <c r="C769" s="7"/>
      <c r="D769" s="7"/>
      <c r="E769" s="7"/>
      <c r="F769" s="7"/>
      <c r="H769" s="22"/>
    </row>
    <row r="770" spans="2:8" ht="14.25" customHeight="1">
      <c r="B770" s="7"/>
      <c r="C770" s="7"/>
      <c r="D770" s="7"/>
      <c r="E770" s="7"/>
      <c r="F770" s="7"/>
      <c r="H770" s="22"/>
    </row>
    <row r="771" spans="2:8" ht="14.25" customHeight="1">
      <c r="B771" s="7"/>
      <c r="C771" s="7"/>
      <c r="D771" s="7"/>
      <c r="E771" s="7"/>
      <c r="F771" s="7"/>
      <c r="H771" s="22"/>
    </row>
    <row r="772" spans="2:8" ht="14.25" customHeight="1">
      <c r="B772" s="7"/>
      <c r="C772" s="7"/>
      <c r="D772" s="7"/>
      <c r="E772" s="7"/>
      <c r="F772" s="7"/>
      <c r="H772" s="22"/>
    </row>
    <row r="773" spans="2:8" ht="14.25" customHeight="1">
      <c r="B773" s="7"/>
      <c r="C773" s="7"/>
      <c r="D773" s="7"/>
      <c r="E773" s="7"/>
      <c r="F773" s="7"/>
      <c r="H773" s="22"/>
    </row>
    <row r="774" spans="2:8" ht="14.25" customHeight="1">
      <c r="B774" s="7"/>
      <c r="C774" s="7"/>
      <c r="D774" s="7"/>
      <c r="E774" s="7"/>
      <c r="F774" s="7"/>
      <c r="H774" s="22"/>
    </row>
    <row r="775" spans="2:8" ht="14.25" customHeight="1">
      <c r="B775" s="7"/>
      <c r="C775" s="7"/>
      <c r="D775" s="7"/>
      <c r="E775" s="7"/>
      <c r="F775" s="7"/>
      <c r="H775" s="22"/>
    </row>
    <row r="776" spans="2:8" ht="14.25" customHeight="1">
      <c r="B776" s="7"/>
      <c r="C776" s="7"/>
      <c r="D776" s="7"/>
      <c r="E776" s="7"/>
      <c r="F776" s="7"/>
      <c r="H776" s="22"/>
    </row>
    <row r="777" spans="2:8" ht="14.25" customHeight="1">
      <c r="B777" s="7"/>
      <c r="C777" s="7"/>
      <c r="D777" s="7"/>
      <c r="E777" s="7"/>
      <c r="F777" s="7"/>
      <c r="H777" s="22"/>
    </row>
    <row r="778" spans="2:8" ht="14.25" customHeight="1">
      <c r="B778" s="7"/>
      <c r="C778" s="7"/>
      <c r="D778" s="7"/>
      <c r="E778" s="7"/>
      <c r="F778" s="7"/>
      <c r="H778" s="22"/>
    </row>
    <row r="779" spans="2:8" ht="14.25" customHeight="1">
      <c r="B779" s="7"/>
      <c r="C779" s="7"/>
      <c r="D779" s="7"/>
      <c r="E779" s="7"/>
      <c r="F779" s="7"/>
      <c r="H779" s="22"/>
    </row>
    <row r="780" spans="2:8" ht="14.25" customHeight="1">
      <c r="B780" s="7"/>
      <c r="C780" s="7"/>
      <c r="D780" s="7"/>
      <c r="E780" s="7"/>
      <c r="F780" s="7"/>
      <c r="H780" s="22"/>
    </row>
    <row r="781" spans="2:8" ht="14.25" customHeight="1">
      <c r="B781" s="7"/>
      <c r="C781" s="7"/>
      <c r="D781" s="7"/>
      <c r="E781" s="7"/>
      <c r="F781" s="7"/>
      <c r="H781" s="22"/>
    </row>
    <row r="782" spans="2:8" ht="14.25" customHeight="1">
      <c r="B782" s="7"/>
      <c r="C782" s="7"/>
      <c r="D782" s="7"/>
      <c r="E782" s="7"/>
      <c r="F782" s="7"/>
      <c r="H782" s="22"/>
    </row>
    <row r="783" spans="2:8" ht="14.25" customHeight="1">
      <c r="B783" s="7"/>
      <c r="C783" s="7"/>
      <c r="D783" s="7"/>
      <c r="E783" s="7"/>
      <c r="F783" s="7"/>
      <c r="H783" s="22"/>
    </row>
    <row r="784" spans="2:8" ht="14.25" customHeight="1">
      <c r="B784" s="7"/>
      <c r="C784" s="7"/>
      <c r="D784" s="7"/>
      <c r="E784" s="7"/>
      <c r="F784" s="7"/>
      <c r="H784" s="22"/>
    </row>
    <row r="785" spans="2:8" ht="14.25" customHeight="1">
      <c r="B785" s="7"/>
      <c r="C785" s="7"/>
      <c r="D785" s="7"/>
      <c r="E785" s="7"/>
      <c r="F785" s="7"/>
      <c r="H785" s="22"/>
    </row>
    <row r="786" spans="2:8" ht="14.25" customHeight="1">
      <c r="B786" s="7"/>
      <c r="C786" s="7"/>
      <c r="D786" s="7"/>
      <c r="E786" s="7"/>
      <c r="F786" s="7"/>
      <c r="H786" s="22"/>
    </row>
    <row r="787" spans="2:8" ht="14.25" customHeight="1">
      <c r="B787" s="7"/>
      <c r="C787" s="7"/>
      <c r="D787" s="7"/>
      <c r="E787" s="7"/>
      <c r="F787" s="7"/>
      <c r="H787" s="22"/>
    </row>
    <row r="788" spans="2:8" ht="14.25" customHeight="1">
      <c r="B788" s="7"/>
      <c r="C788" s="7"/>
      <c r="D788" s="7"/>
      <c r="E788" s="7"/>
      <c r="F788" s="7"/>
      <c r="H788" s="22"/>
    </row>
    <row r="789" spans="2:8" ht="14.25" customHeight="1">
      <c r="B789" s="7"/>
      <c r="C789" s="7"/>
      <c r="D789" s="7"/>
      <c r="E789" s="7"/>
      <c r="F789" s="7"/>
      <c r="H789" s="22"/>
    </row>
    <row r="790" spans="2:8" ht="14.25" customHeight="1">
      <c r="B790" s="7"/>
      <c r="C790" s="7"/>
      <c r="D790" s="7"/>
      <c r="E790" s="7"/>
      <c r="F790" s="7"/>
      <c r="H790" s="22"/>
    </row>
    <row r="791" spans="2:8" ht="14.25" customHeight="1">
      <c r="B791" s="7"/>
      <c r="C791" s="7"/>
      <c r="D791" s="7"/>
      <c r="E791" s="7"/>
      <c r="F791" s="7"/>
      <c r="H791" s="22"/>
    </row>
    <row r="792" spans="2:8" ht="14.25" customHeight="1">
      <c r="B792" s="7"/>
      <c r="C792" s="7"/>
      <c r="D792" s="7"/>
      <c r="E792" s="7"/>
      <c r="F792" s="7"/>
      <c r="H792" s="22"/>
    </row>
    <row r="793" spans="2:8" ht="14.25" customHeight="1">
      <c r="B793" s="7"/>
      <c r="C793" s="7"/>
      <c r="D793" s="7"/>
      <c r="E793" s="7"/>
      <c r="F793" s="7"/>
      <c r="H793" s="22"/>
    </row>
    <row r="794" spans="2:8" ht="14.25" customHeight="1">
      <c r="B794" s="7"/>
      <c r="C794" s="7"/>
      <c r="D794" s="7"/>
      <c r="E794" s="7"/>
      <c r="F794" s="7"/>
      <c r="H794" s="22"/>
    </row>
    <row r="795" spans="2:8" ht="14.25" customHeight="1">
      <c r="B795" s="7"/>
      <c r="C795" s="7"/>
      <c r="D795" s="7"/>
      <c r="E795" s="7"/>
      <c r="F795" s="7"/>
      <c r="H795" s="22"/>
    </row>
    <row r="796" spans="2:8" ht="14.25" customHeight="1">
      <c r="B796" s="7"/>
      <c r="C796" s="7"/>
      <c r="D796" s="7"/>
      <c r="E796" s="7"/>
      <c r="F796" s="7"/>
      <c r="H796" s="22"/>
    </row>
    <row r="797" spans="2:8" ht="14.25" customHeight="1">
      <c r="B797" s="7"/>
      <c r="C797" s="7"/>
      <c r="D797" s="7"/>
      <c r="E797" s="7"/>
      <c r="F797" s="7"/>
      <c r="H797" s="22"/>
    </row>
    <row r="798" spans="2:8" ht="14.25" customHeight="1">
      <c r="B798" s="7"/>
      <c r="C798" s="7"/>
      <c r="D798" s="7"/>
      <c r="E798" s="7"/>
      <c r="F798" s="7"/>
      <c r="H798" s="22"/>
    </row>
    <row r="799" spans="2:8" ht="14.25" customHeight="1">
      <c r="B799" s="7"/>
      <c r="C799" s="7"/>
      <c r="D799" s="7"/>
      <c r="E799" s="7"/>
      <c r="F799" s="7"/>
      <c r="H799" s="22"/>
    </row>
    <row r="800" spans="2:8" ht="14.25" customHeight="1">
      <c r="B800" s="7"/>
      <c r="C800" s="7"/>
      <c r="D800" s="7"/>
      <c r="E800" s="7"/>
      <c r="F800" s="7"/>
      <c r="H800" s="22"/>
    </row>
    <row r="801" spans="2:8" ht="14.25" customHeight="1">
      <c r="B801" s="7"/>
      <c r="C801" s="7"/>
      <c r="D801" s="7"/>
      <c r="E801" s="7"/>
      <c r="F801" s="7"/>
      <c r="H801" s="22"/>
    </row>
    <row r="802" spans="2:8" ht="14.25" customHeight="1">
      <c r="B802" s="7"/>
      <c r="C802" s="7"/>
      <c r="D802" s="7"/>
      <c r="E802" s="7"/>
      <c r="F802" s="7"/>
      <c r="H802" s="22"/>
    </row>
    <row r="803" spans="2:8" ht="14.25" customHeight="1">
      <c r="B803" s="7"/>
      <c r="C803" s="7"/>
      <c r="D803" s="7"/>
      <c r="E803" s="7"/>
      <c r="F803" s="7"/>
      <c r="H803" s="22"/>
    </row>
    <row r="804" spans="2:8" ht="14.25" customHeight="1">
      <c r="B804" s="7"/>
      <c r="C804" s="7"/>
      <c r="D804" s="7"/>
      <c r="E804" s="7"/>
      <c r="F804" s="7"/>
      <c r="H804" s="22"/>
    </row>
    <row r="805" spans="2:8" ht="14.25" customHeight="1">
      <c r="B805" s="7"/>
      <c r="C805" s="7"/>
      <c r="D805" s="7"/>
      <c r="E805" s="7"/>
      <c r="F805" s="7"/>
      <c r="H805" s="22"/>
    </row>
    <row r="806" spans="2:8" ht="14.25" customHeight="1">
      <c r="B806" s="7"/>
      <c r="C806" s="7"/>
      <c r="D806" s="7"/>
      <c r="E806" s="7"/>
      <c r="F806" s="7"/>
      <c r="H806" s="22"/>
    </row>
    <row r="807" spans="2:8" ht="14.25" customHeight="1">
      <c r="B807" s="7"/>
      <c r="C807" s="7"/>
      <c r="D807" s="7"/>
      <c r="E807" s="7"/>
      <c r="F807" s="7"/>
      <c r="H807" s="22"/>
    </row>
    <row r="808" spans="2:8" ht="14.25" customHeight="1">
      <c r="B808" s="7"/>
      <c r="C808" s="7"/>
      <c r="D808" s="7"/>
      <c r="E808" s="7"/>
      <c r="F808" s="7"/>
      <c r="H808" s="22"/>
    </row>
    <row r="809" spans="2:8" ht="14.25" customHeight="1">
      <c r="B809" s="7"/>
      <c r="C809" s="7"/>
      <c r="D809" s="7"/>
      <c r="E809" s="7"/>
      <c r="F809" s="7"/>
      <c r="H809" s="22"/>
    </row>
    <row r="810" spans="2:8" ht="14.25" customHeight="1">
      <c r="B810" s="7"/>
      <c r="C810" s="7"/>
      <c r="D810" s="7"/>
      <c r="E810" s="7"/>
      <c r="F810" s="7"/>
      <c r="H810" s="22"/>
    </row>
    <row r="811" spans="2:8" ht="14.25" customHeight="1">
      <c r="B811" s="7"/>
      <c r="C811" s="7"/>
      <c r="D811" s="7"/>
      <c r="E811" s="7"/>
      <c r="F811" s="7"/>
      <c r="H811" s="22"/>
    </row>
    <row r="812" spans="2:8" ht="14.25" customHeight="1">
      <c r="B812" s="7"/>
      <c r="C812" s="7"/>
      <c r="D812" s="7"/>
      <c r="E812" s="7"/>
      <c r="F812" s="7"/>
      <c r="H812" s="22"/>
    </row>
    <row r="813" spans="2:8" ht="14.25" customHeight="1">
      <c r="B813" s="7"/>
      <c r="C813" s="7"/>
      <c r="D813" s="7"/>
      <c r="E813" s="7"/>
      <c r="F813" s="7"/>
      <c r="H813" s="22"/>
    </row>
    <row r="814" spans="2:8" ht="14.25" customHeight="1">
      <c r="B814" s="7"/>
      <c r="C814" s="7"/>
      <c r="D814" s="7"/>
      <c r="E814" s="7"/>
      <c r="F814" s="7"/>
      <c r="H814" s="22"/>
    </row>
    <row r="815" spans="2:8" ht="14.25" customHeight="1">
      <c r="B815" s="7"/>
      <c r="C815" s="7"/>
      <c r="D815" s="7"/>
      <c r="E815" s="7"/>
      <c r="F815" s="7"/>
      <c r="H815" s="22"/>
    </row>
    <row r="816" spans="2:8" ht="14.25" customHeight="1">
      <c r="B816" s="7"/>
      <c r="C816" s="7"/>
      <c r="D816" s="7"/>
      <c r="E816" s="7"/>
      <c r="F816" s="7"/>
      <c r="H816" s="22"/>
    </row>
    <row r="817" spans="2:8" ht="14.25" customHeight="1">
      <c r="B817" s="7"/>
      <c r="C817" s="7"/>
      <c r="D817" s="7"/>
      <c r="E817" s="7"/>
      <c r="F817" s="7"/>
      <c r="H817" s="22"/>
    </row>
    <row r="818" spans="2:8" ht="14.25" customHeight="1">
      <c r="B818" s="7"/>
      <c r="C818" s="7"/>
      <c r="D818" s="7"/>
      <c r="E818" s="7"/>
      <c r="F818" s="7"/>
      <c r="H818" s="22"/>
    </row>
    <row r="819" spans="2:8" ht="14.25" customHeight="1">
      <c r="B819" s="7"/>
      <c r="C819" s="7"/>
      <c r="D819" s="7"/>
      <c r="E819" s="7"/>
      <c r="F819" s="7"/>
      <c r="H819" s="22"/>
    </row>
    <row r="820" spans="2:8" ht="14.25" customHeight="1">
      <c r="B820" s="7"/>
      <c r="C820" s="7"/>
      <c r="D820" s="7"/>
      <c r="E820" s="7"/>
      <c r="F820" s="7"/>
      <c r="H820" s="22"/>
    </row>
    <row r="821" spans="2:8" ht="14.25" customHeight="1">
      <c r="B821" s="7"/>
      <c r="C821" s="7"/>
      <c r="D821" s="7"/>
      <c r="E821" s="7"/>
      <c r="F821" s="7"/>
      <c r="H821" s="22"/>
    </row>
    <row r="822" spans="2:8" ht="14.25" customHeight="1">
      <c r="B822" s="7"/>
      <c r="C822" s="7"/>
      <c r="D822" s="7"/>
      <c r="E822" s="7"/>
      <c r="F822" s="7"/>
      <c r="H822" s="22"/>
    </row>
    <row r="823" spans="2:8" ht="14.25" customHeight="1">
      <c r="B823" s="7"/>
      <c r="C823" s="7"/>
      <c r="D823" s="7"/>
      <c r="E823" s="7"/>
      <c r="F823" s="7"/>
      <c r="H823" s="22"/>
    </row>
    <row r="824" spans="2:8" ht="14.25" customHeight="1">
      <c r="B824" s="7"/>
      <c r="C824" s="7"/>
      <c r="D824" s="7"/>
      <c r="E824" s="7"/>
      <c r="F824" s="7"/>
      <c r="H824" s="22"/>
    </row>
    <row r="825" spans="2:8" ht="14.25" customHeight="1">
      <c r="B825" s="7"/>
      <c r="C825" s="7"/>
      <c r="D825" s="7"/>
      <c r="E825" s="7"/>
      <c r="F825" s="7"/>
      <c r="H825" s="22"/>
    </row>
    <row r="826" spans="2:8" ht="14.25" customHeight="1">
      <c r="B826" s="7"/>
      <c r="C826" s="7"/>
      <c r="D826" s="7"/>
      <c r="E826" s="7"/>
      <c r="F826" s="7"/>
      <c r="H826" s="22"/>
    </row>
    <row r="827" spans="2:8" ht="14.25" customHeight="1">
      <c r="B827" s="7"/>
      <c r="C827" s="7"/>
      <c r="D827" s="7"/>
      <c r="E827" s="7"/>
      <c r="F827" s="7"/>
      <c r="H827" s="22"/>
    </row>
    <row r="828" spans="2:8" ht="14.25" customHeight="1">
      <c r="B828" s="7"/>
      <c r="C828" s="7"/>
      <c r="D828" s="7"/>
      <c r="E828" s="7"/>
      <c r="F828" s="7"/>
      <c r="H828" s="22"/>
    </row>
    <row r="829" spans="2:8" ht="14.25" customHeight="1">
      <c r="B829" s="7"/>
      <c r="C829" s="7"/>
      <c r="D829" s="7"/>
      <c r="E829" s="7"/>
      <c r="F829" s="7"/>
      <c r="H829" s="22"/>
    </row>
    <row r="830" spans="2:8" ht="14.25" customHeight="1">
      <c r="B830" s="7"/>
      <c r="C830" s="7"/>
      <c r="D830" s="7"/>
      <c r="E830" s="7"/>
      <c r="F830" s="7"/>
      <c r="H830" s="22"/>
    </row>
    <row r="831" spans="2:8" ht="14.25" customHeight="1">
      <c r="B831" s="7"/>
      <c r="C831" s="7"/>
      <c r="D831" s="7"/>
      <c r="E831" s="7"/>
      <c r="F831" s="7"/>
      <c r="H831" s="22"/>
    </row>
    <row r="832" spans="2:8" ht="14.25" customHeight="1">
      <c r="B832" s="7"/>
      <c r="C832" s="7"/>
      <c r="D832" s="7"/>
      <c r="E832" s="7"/>
      <c r="F832" s="7"/>
      <c r="H832" s="22"/>
    </row>
    <row r="833" spans="2:8" ht="14.25" customHeight="1">
      <c r="B833" s="7"/>
      <c r="C833" s="7"/>
      <c r="D833" s="7"/>
      <c r="E833" s="7"/>
      <c r="F833" s="7"/>
      <c r="H833" s="22"/>
    </row>
    <row r="834" spans="2:8" ht="14.25" customHeight="1">
      <c r="B834" s="7"/>
      <c r="C834" s="7"/>
      <c r="D834" s="7"/>
      <c r="E834" s="7"/>
      <c r="F834" s="7"/>
      <c r="H834" s="22"/>
    </row>
    <row r="835" spans="2:8" ht="14.25" customHeight="1">
      <c r="B835" s="7"/>
      <c r="C835" s="7"/>
      <c r="D835" s="7"/>
      <c r="E835" s="7"/>
      <c r="F835" s="7"/>
      <c r="H835" s="22"/>
    </row>
    <row r="836" spans="2:8" ht="14.25" customHeight="1">
      <c r="B836" s="7"/>
      <c r="C836" s="7"/>
      <c r="D836" s="7"/>
      <c r="E836" s="7"/>
      <c r="F836" s="7"/>
      <c r="H836" s="22"/>
    </row>
    <row r="837" spans="2:8" ht="14.25" customHeight="1">
      <c r="B837" s="7"/>
      <c r="C837" s="7"/>
      <c r="D837" s="7"/>
      <c r="E837" s="7"/>
      <c r="F837" s="7"/>
      <c r="H837" s="22"/>
    </row>
    <row r="838" spans="2:8" ht="14.25" customHeight="1">
      <c r="B838" s="7"/>
      <c r="C838" s="7"/>
      <c r="D838" s="7"/>
      <c r="E838" s="7"/>
      <c r="F838" s="7"/>
      <c r="H838" s="22"/>
    </row>
    <row r="839" spans="2:8" ht="14.25" customHeight="1">
      <c r="B839" s="7"/>
      <c r="C839" s="7"/>
      <c r="D839" s="7"/>
      <c r="E839" s="7"/>
      <c r="F839" s="7"/>
      <c r="H839" s="22"/>
    </row>
    <row r="840" spans="2:8" ht="14.25" customHeight="1">
      <c r="B840" s="7"/>
      <c r="C840" s="7"/>
      <c r="D840" s="7"/>
      <c r="E840" s="7"/>
      <c r="F840" s="7"/>
      <c r="H840" s="22"/>
    </row>
    <row r="841" spans="2:8" ht="14.25" customHeight="1">
      <c r="B841" s="7"/>
      <c r="C841" s="7"/>
      <c r="D841" s="7"/>
      <c r="E841" s="7"/>
      <c r="F841" s="7"/>
      <c r="H841" s="22"/>
    </row>
    <row r="842" spans="2:8" ht="14.25" customHeight="1">
      <c r="B842" s="7"/>
      <c r="C842" s="7"/>
      <c r="D842" s="7"/>
      <c r="E842" s="7"/>
      <c r="F842" s="7"/>
      <c r="H842" s="22"/>
    </row>
    <row r="843" spans="2:8" ht="14.25" customHeight="1">
      <c r="B843" s="7"/>
      <c r="C843" s="7"/>
      <c r="D843" s="7"/>
      <c r="E843" s="7"/>
      <c r="F843" s="7"/>
      <c r="H843" s="22"/>
    </row>
    <row r="844" spans="2:8" ht="14.25" customHeight="1">
      <c r="B844" s="7"/>
      <c r="C844" s="7"/>
      <c r="D844" s="7"/>
      <c r="E844" s="7"/>
      <c r="F844" s="7"/>
      <c r="H844" s="22"/>
    </row>
    <row r="845" spans="2:8" ht="14.25" customHeight="1">
      <c r="B845" s="7"/>
      <c r="C845" s="7"/>
      <c r="D845" s="7"/>
      <c r="E845" s="7"/>
      <c r="F845" s="7"/>
      <c r="H845" s="22"/>
    </row>
    <row r="846" spans="2:8" ht="14.25" customHeight="1">
      <c r="B846" s="7"/>
      <c r="C846" s="7"/>
      <c r="D846" s="7"/>
      <c r="E846" s="7"/>
      <c r="F846" s="7"/>
      <c r="H846" s="22"/>
    </row>
    <row r="847" spans="2:8" ht="14.25" customHeight="1">
      <c r="B847" s="7"/>
      <c r="C847" s="7"/>
      <c r="D847" s="7"/>
      <c r="E847" s="7"/>
      <c r="F847" s="7"/>
      <c r="H847" s="22"/>
    </row>
    <row r="848" spans="2:8" ht="14.25" customHeight="1">
      <c r="B848" s="7"/>
      <c r="C848" s="7"/>
      <c r="D848" s="7"/>
      <c r="E848" s="7"/>
      <c r="F848" s="7"/>
      <c r="H848" s="22"/>
    </row>
    <row r="849" spans="2:8" ht="14.25" customHeight="1">
      <c r="B849" s="7"/>
      <c r="C849" s="7"/>
      <c r="D849" s="7"/>
      <c r="E849" s="7"/>
      <c r="F849" s="7"/>
      <c r="H849" s="22"/>
    </row>
    <row r="850" spans="2:8" ht="14.25" customHeight="1">
      <c r="B850" s="7"/>
      <c r="C850" s="7"/>
      <c r="D850" s="7"/>
      <c r="E850" s="7"/>
      <c r="F850" s="7"/>
      <c r="H850" s="22"/>
    </row>
    <row r="851" spans="2:8" ht="14.25" customHeight="1">
      <c r="B851" s="7"/>
      <c r="C851" s="7"/>
      <c r="D851" s="7"/>
      <c r="E851" s="7"/>
      <c r="F851" s="7"/>
      <c r="H851" s="22"/>
    </row>
    <row r="852" spans="2:8" ht="14.25" customHeight="1">
      <c r="B852" s="7"/>
      <c r="C852" s="7"/>
      <c r="D852" s="7"/>
      <c r="E852" s="7"/>
      <c r="F852" s="7"/>
      <c r="H852" s="22"/>
    </row>
    <row r="853" spans="2:8" ht="14.25" customHeight="1">
      <c r="B853" s="7"/>
      <c r="C853" s="7"/>
      <c r="D853" s="7"/>
      <c r="E853" s="7"/>
      <c r="F853" s="7"/>
      <c r="H853" s="22"/>
    </row>
    <row r="854" spans="2:8" ht="14.25" customHeight="1">
      <c r="B854" s="7"/>
      <c r="C854" s="7"/>
      <c r="D854" s="7"/>
      <c r="E854" s="7"/>
      <c r="F854" s="7"/>
      <c r="H854" s="22"/>
    </row>
    <row r="855" spans="2:8" ht="14.25" customHeight="1">
      <c r="B855" s="7"/>
      <c r="C855" s="7"/>
      <c r="D855" s="7"/>
      <c r="E855" s="7"/>
      <c r="F855" s="7"/>
      <c r="H855" s="22"/>
    </row>
    <row r="856" spans="2:8" ht="14.25" customHeight="1">
      <c r="B856" s="7"/>
      <c r="C856" s="7"/>
      <c r="D856" s="7"/>
      <c r="E856" s="7"/>
      <c r="F856" s="7"/>
      <c r="H856" s="22"/>
    </row>
    <row r="857" spans="2:8" ht="14.25" customHeight="1">
      <c r="B857" s="7"/>
      <c r="C857" s="7"/>
      <c r="D857" s="7"/>
      <c r="E857" s="7"/>
      <c r="F857" s="7"/>
      <c r="H857" s="22"/>
    </row>
    <row r="858" spans="2:8" ht="14.25" customHeight="1">
      <c r="B858" s="7"/>
      <c r="C858" s="7"/>
      <c r="D858" s="7"/>
      <c r="E858" s="7"/>
      <c r="F858" s="7"/>
      <c r="H858" s="22"/>
    </row>
    <row r="859" spans="2:8" ht="14.25" customHeight="1">
      <c r="B859" s="7"/>
      <c r="C859" s="7"/>
      <c r="D859" s="7"/>
      <c r="E859" s="7"/>
      <c r="F859" s="7"/>
      <c r="H859" s="22"/>
    </row>
    <row r="860" spans="2:8" ht="14.25" customHeight="1">
      <c r="B860" s="7"/>
      <c r="C860" s="7"/>
      <c r="D860" s="7"/>
      <c r="E860" s="7"/>
      <c r="F860" s="7"/>
      <c r="H860" s="22"/>
    </row>
    <row r="861" spans="2:8" ht="14.25" customHeight="1">
      <c r="B861" s="7"/>
      <c r="C861" s="7"/>
      <c r="D861" s="7"/>
      <c r="E861" s="7"/>
      <c r="F861" s="7"/>
      <c r="H861" s="22"/>
    </row>
    <row r="862" spans="2:8" ht="14.25" customHeight="1">
      <c r="B862" s="7"/>
      <c r="C862" s="7"/>
      <c r="D862" s="7"/>
      <c r="E862" s="7"/>
      <c r="F862" s="7"/>
      <c r="H862" s="22"/>
    </row>
    <row r="863" spans="2:8" ht="14.25" customHeight="1">
      <c r="B863" s="7"/>
      <c r="C863" s="7"/>
      <c r="D863" s="7"/>
      <c r="E863" s="7"/>
      <c r="F863" s="7"/>
      <c r="H863" s="22"/>
    </row>
    <row r="864" spans="2:8" ht="14.25" customHeight="1">
      <c r="B864" s="7"/>
      <c r="C864" s="7"/>
      <c r="D864" s="7"/>
      <c r="E864" s="7"/>
      <c r="F864" s="7"/>
      <c r="H864" s="22"/>
    </row>
    <row r="865" spans="2:8" ht="14.25" customHeight="1">
      <c r="B865" s="7"/>
      <c r="C865" s="7"/>
      <c r="D865" s="7"/>
      <c r="E865" s="7"/>
      <c r="F865" s="7"/>
      <c r="H865" s="22"/>
    </row>
    <row r="866" spans="2:8" ht="14.25" customHeight="1">
      <c r="B866" s="7"/>
      <c r="C866" s="7"/>
      <c r="D866" s="7"/>
      <c r="E866" s="7"/>
      <c r="F866" s="7"/>
      <c r="H866" s="22"/>
    </row>
    <row r="867" spans="2:8" ht="14.25" customHeight="1">
      <c r="B867" s="7"/>
      <c r="C867" s="7"/>
      <c r="D867" s="7"/>
      <c r="E867" s="7"/>
      <c r="F867" s="7"/>
      <c r="H867" s="22"/>
    </row>
    <row r="868" spans="2:8" ht="14.25" customHeight="1">
      <c r="B868" s="7"/>
      <c r="C868" s="7"/>
      <c r="D868" s="7"/>
      <c r="E868" s="7"/>
      <c r="F868" s="7"/>
      <c r="H868" s="22"/>
    </row>
    <row r="869" spans="2:8" ht="14.25" customHeight="1">
      <c r="B869" s="7"/>
      <c r="C869" s="7"/>
      <c r="D869" s="7"/>
      <c r="E869" s="7"/>
      <c r="F869" s="7"/>
      <c r="H869" s="22"/>
    </row>
    <row r="870" spans="2:8" ht="14.25" customHeight="1">
      <c r="B870" s="7"/>
      <c r="C870" s="7"/>
      <c r="D870" s="7"/>
      <c r="E870" s="7"/>
      <c r="F870" s="7"/>
      <c r="H870" s="22"/>
    </row>
    <row r="871" spans="2:8" ht="14.25" customHeight="1">
      <c r="B871" s="7"/>
      <c r="C871" s="7"/>
      <c r="D871" s="7"/>
      <c r="E871" s="7"/>
      <c r="F871" s="7"/>
      <c r="H871" s="22"/>
    </row>
    <row r="872" spans="2:8" ht="14.25" customHeight="1">
      <c r="B872" s="7"/>
      <c r="C872" s="7"/>
      <c r="D872" s="7"/>
      <c r="E872" s="7"/>
      <c r="F872" s="7"/>
      <c r="H872" s="22"/>
    </row>
    <row r="873" spans="2:8" ht="14.25" customHeight="1">
      <c r="B873" s="7"/>
      <c r="C873" s="7"/>
      <c r="D873" s="7"/>
      <c r="E873" s="7"/>
      <c r="F873" s="7"/>
      <c r="H873" s="22"/>
    </row>
    <row r="874" spans="2:8" ht="14.25" customHeight="1">
      <c r="B874" s="7"/>
      <c r="C874" s="7"/>
      <c r="D874" s="7"/>
      <c r="E874" s="7"/>
      <c r="F874" s="7"/>
      <c r="H874" s="22"/>
    </row>
    <row r="875" spans="2:8" ht="14.25" customHeight="1">
      <c r="B875" s="7"/>
      <c r="C875" s="7"/>
      <c r="D875" s="7"/>
      <c r="E875" s="7"/>
      <c r="F875" s="7"/>
      <c r="H875" s="22"/>
    </row>
    <row r="876" spans="2:8" ht="14.25" customHeight="1">
      <c r="B876" s="7"/>
      <c r="C876" s="7"/>
      <c r="D876" s="7"/>
      <c r="E876" s="7"/>
      <c r="F876" s="7"/>
      <c r="H876" s="22"/>
    </row>
    <row r="877" spans="2:8" ht="14.25" customHeight="1">
      <c r="B877" s="7"/>
      <c r="C877" s="7"/>
      <c r="D877" s="7"/>
      <c r="E877" s="7"/>
      <c r="F877" s="7"/>
      <c r="H877" s="22"/>
    </row>
    <row r="878" spans="2:8" ht="14.25" customHeight="1">
      <c r="B878" s="7"/>
      <c r="C878" s="7"/>
      <c r="D878" s="7"/>
      <c r="E878" s="7"/>
      <c r="F878" s="7"/>
      <c r="H878" s="22"/>
    </row>
    <row r="879" spans="2:8" ht="14.25" customHeight="1">
      <c r="B879" s="7"/>
      <c r="C879" s="7"/>
      <c r="D879" s="7"/>
      <c r="E879" s="7"/>
      <c r="F879" s="7"/>
      <c r="H879" s="22"/>
    </row>
    <row r="880" spans="2:8" ht="14.25" customHeight="1">
      <c r="B880" s="7"/>
      <c r="C880" s="7"/>
      <c r="D880" s="7"/>
      <c r="E880" s="7"/>
      <c r="F880" s="7"/>
      <c r="H880" s="22"/>
    </row>
    <row r="881" spans="2:8" ht="14.25" customHeight="1">
      <c r="B881" s="7"/>
      <c r="C881" s="7"/>
      <c r="D881" s="7"/>
      <c r="E881" s="7"/>
      <c r="F881" s="7"/>
      <c r="H881" s="22"/>
    </row>
    <row r="882" spans="2:8" ht="14.25" customHeight="1">
      <c r="B882" s="7"/>
      <c r="C882" s="7"/>
      <c r="D882" s="7"/>
      <c r="E882" s="7"/>
      <c r="F882" s="7"/>
      <c r="H882" s="22"/>
    </row>
    <row r="883" spans="2:8" ht="14.25" customHeight="1">
      <c r="B883" s="7"/>
      <c r="C883" s="7"/>
      <c r="D883" s="7"/>
      <c r="E883" s="7"/>
      <c r="F883" s="7"/>
      <c r="H883" s="22"/>
    </row>
    <row r="884" spans="2:8" ht="14.25" customHeight="1">
      <c r="B884" s="7"/>
      <c r="C884" s="7"/>
      <c r="D884" s="7"/>
      <c r="E884" s="7"/>
      <c r="F884" s="7"/>
      <c r="H884" s="22"/>
    </row>
    <row r="885" spans="2:8" ht="14.25" customHeight="1">
      <c r="B885" s="7"/>
      <c r="C885" s="7"/>
      <c r="D885" s="7"/>
      <c r="E885" s="7"/>
      <c r="F885" s="7"/>
      <c r="H885" s="22"/>
    </row>
    <row r="886" spans="2:8" ht="14.25" customHeight="1">
      <c r="B886" s="7"/>
      <c r="C886" s="7"/>
      <c r="D886" s="7"/>
      <c r="E886" s="7"/>
      <c r="F886" s="7"/>
      <c r="H886" s="22"/>
    </row>
    <row r="887" spans="2:8" ht="14.25" customHeight="1">
      <c r="B887" s="7"/>
      <c r="C887" s="7"/>
      <c r="D887" s="7"/>
      <c r="E887" s="7"/>
      <c r="F887" s="7"/>
      <c r="H887" s="22"/>
    </row>
    <row r="888" spans="2:8" ht="14.25" customHeight="1">
      <c r="B888" s="7"/>
      <c r="C888" s="7"/>
      <c r="D888" s="7"/>
      <c r="E888" s="7"/>
      <c r="F888" s="7"/>
      <c r="H888" s="22"/>
    </row>
    <row r="889" spans="2:8" ht="14.25" customHeight="1">
      <c r="B889" s="7"/>
      <c r="C889" s="7"/>
      <c r="D889" s="7"/>
      <c r="E889" s="7"/>
      <c r="F889" s="7"/>
      <c r="H889" s="22"/>
    </row>
    <row r="890" spans="2:8" ht="14.25" customHeight="1">
      <c r="B890" s="7"/>
      <c r="C890" s="7"/>
      <c r="D890" s="7"/>
      <c r="E890" s="7"/>
      <c r="F890" s="7"/>
      <c r="H890" s="22"/>
    </row>
    <row r="891" spans="2:8" ht="14.25" customHeight="1">
      <c r="B891" s="7"/>
      <c r="C891" s="7"/>
      <c r="D891" s="7"/>
      <c r="E891" s="7"/>
      <c r="F891" s="7"/>
      <c r="H891" s="22"/>
    </row>
    <row r="892" spans="2:8" ht="14.25" customHeight="1">
      <c r="B892" s="7"/>
      <c r="C892" s="7"/>
      <c r="D892" s="7"/>
      <c r="E892" s="7"/>
      <c r="F892" s="7"/>
      <c r="H892" s="22"/>
    </row>
    <row r="893" spans="2:8" ht="14.25" customHeight="1">
      <c r="B893" s="7"/>
      <c r="C893" s="7"/>
      <c r="D893" s="7"/>
      <c r="E893" s="7"/>
      <c r="F893" s="7"/>
      <c r="H893" s="22"/>
    </row>
    <row r="894" spans="2:8" ht="14.25" customHeight="1">
      <c r="B894" s="7"/>
      <c r="C894" s="7"/>
      <c r="D894" s="7"/>
      <c r="E894" s="7"/>
      <c r="F894" s="7"/>
      <c r="H894" s="22"/>
    </row>
    <row r="895" spans="2:8" ht="14.25" customHeight="1">
      <c r="B895" s="7"/>
      <c r="C895" s="7"/>
      <c r="D895" s="7"/>
      <c r="E895" s="7"/>
      <c r="F895" s="7"/>
      <c r="H895" s="22"/>
    </row>
    <row r="896" spans="2:8" ht="14.25" customHeight="1">
      <c r="B896" s="7"/>
      <c r="C896" s="7"/>
      <c r="D896" s="7"/>
      <c r="E896" s="7"/>
      <c r="F896" s="7"/>
      <c r="H896" s="22"/>
    </row>
    <row r="897" spans="2:8" ht="14.25" customHeight="1">
      <c r="B897" s="7"/>
      <c r="C897" s="7"/>
      <c r="D897" s="7"/>
      <c r="E897" s="7"/>
      <c r="F897" s="7"/>
      <c r="H897" s="22"/>
    </row>
    <row r="898" spans="2:8" ht="14.25" customHeight="1">
      <c r="B898" s="7"/>
      <c r="C898" s="7"/>
      <c r="D898" s="7"/>
      <c r="E898" s="7"/>
      <c r="F898" s="7"/>
      <c r="H898" s="22"/>
    </row>
    <row r="899" spans="2:8" ht="14.25" customHeight="1">
      <c r="B899" s="7"/>
      <c r="C899" s="7"/>
      <c r="D899" s="7"/>
      <c r="E899" s="7"/>
      <c r="F899" s="7"/>
      <c r="H899" s="22"/>
    </row>
    <row r="900" spans="2:8" ht="14.25" customHeight="1">
      <c r="B900" s="7"/>
      <c r="C900" s="7"/>
      <c r="D900" s="7"/>
      <c r="E900" s="7"/>
      <c r="F900" s="7"/>
      <c r="H900" s="22"/>
    </row>
    <row r="901" spans="2:8" ht="14.25" customHeight="1">
      <c r="B901" s="7"/>
      <c r="C901" s="7"/>
      <c r="D901" s="7"/>
      <c r="E901" s="7"/>
      <c r="F901" s="7"/>
      <c r="H901" s="22"/>
    </row>
    <row r="902" spans="2:8" ht="14.25" customHeight="1">
      <c r="B902" s="7"/>
      <c r="C902" s="7"/>
      <c r="D902" s="7"/>
      <c r="E902" s="7"/>
      <c r="F902" s="7"/>
      <c r="H902" s="22"/>
    </row>
    <row r="903" spans="2:8" ht="14.25" customHeight="1">
      <c r="B903" s="7"/>
      <c r="C903" s="7"/>
      <c r="D903" s="7"/>
      <c r="E903" s="7"/>
      <c r="F903" s="7"/>
      <c r="H903" s="22"/>
    </row>
    <row r="904" spans="2:8" ht="14.25" customHeight="1">
      <c r="B904" s="7"/>
      <c r="C904" s="7"/>
      <c r="D904" s="7"/>
      <c r="E904" s="7"/>
      <c r="F904" s="7"/>
      <c r="H904" s="22"/>
    </row>
    <row r="905" spans="2:8" ht="14.25" customHeight="1">
      <c r="B905" s="7"/>
      <c r="C905" s="7"/>
      <c r="D905" s="7"/>
      <c r="E905" s="7"/>
      <c r="F905" s="7"/>
      <c r="H905" s="22"/>
    </row>
    <row r="906" spans="2:8" ht="14.25" customHeight="1">
      <c r="B906" s="7"/>
      <c r="C906" s="7"/>
      <c r="D906" s="7"/>
      <c r="E906" s="7"/>
      <c r="F906" s="7"/>
      <c r="H906" s="22"/>
    </row>
    <row r="907" spans="2:8" ht="14.25" customHeight="1">
      <c r="B907" s="7"/>
      <c r="C907" s="7"/>
      <c r="D907" s="7"/>
      <c r="E907" s="7"/>
      <c r="F907" s="7"/>
      <c r="H907" s="22"/>
    </row>
    <row r="908" spans="2:8" ht="14.25" customHeight="1">
      <c r="B908" s="7"/>
      <c r="C908" s="7"/>
      <c r="D908" s="7"/>
      <c r="E908" s="7"/>
      <c r="F908" s="7"/>
      <c r="H908" s="22"/>
    </row>
    <row r="909" spans="2:8" ht="14.25" customHeight="1">
      <c r="B909" s="7"/>
      <c r="C909" s="7"/>
      <c r="D909" s="7"/>
      <c r="E909" s="7"/>
      <c r="F909" s="7"/>
      <c r="H909" s="22"/>
    </row>
    <row r="910" spans="2:8" ht="14.25" customHeight="1">
      <c r="B910" s="7"/>
      <c r="C910" s="7"/>
      <c r="D910" s="7"/>
      <c r="E910" s="7"/>
      <c r="F910" s="7"/>
      <c r="H910" s="22"/>
    </row>
    <row r="911" spans="2:8" ht="14.25" customHeight="1">
      <c r="B911" s="7"/>
      <c r="C911" s="7"/>
      <c r="D911" s="7"/>
      <c r="E911" s="7"/>
      <c r="F911" s="7"/>
      <c r="H911" s="22"/>
    </row>
    <row r="912" spans="2:8" ht="14.25" customHeight="1">
      <c r="B912" s="7"/>
      <c r="C912" s="7"/>
      <c r="D912" s="7"/>
      <c r="E912" s="7"/>
      <c r="F912" s="7"/>
      <c r="H912" s="22"/>
    </row>
    <row r="913" spans="2:8" ht="14.25" customHeight="1">
      <c r="B913" s="7"/>
      <c r="C913" s="7"/>
      <c r="D913" s="7"/>
      <c r="E913" s="7"/>
      <c r="F913" s="7"/>
      <c r="H913" s="22"/>
    </row>
    <row r="914" spans="2:8" ht="14.25" customHeight="1">
      <c r="B914" s="7"/>
      <c r="C914" s="7"/>
      <c r="D914" s="7"/>
      <c r="E914" s="7"/>
      <c r="F914" s="7"/>
      <c r="H914" s="22"/>
    </row>
    <row r="915" spans="2:8" ht="14.25" customHeight="1">
      <c r="B915" s="7"/>
      <c r="C915" s="7"/>
      <c r="D915" s="7"/>
      <c r="E915" s="7"/>
      <c r="F915" s="7"/>
      <c r="H915" s="22"/>
    </row>
    <row r="916" spans="2:8" ht="14.25" customHeight="1">
      <c r="B916" s="7"/>
      <c r="C916" s="7"/>
      <c r="D916" s="7"/>
      <c r="E916" s="7"/>
      <c r="F916" s="7"/>
      <c r="H916" s="22"/>
    </row>
    <row r="917" spans="2:8" ht="14.25" customHeight="1">
      <c r="B917" s="7"/>
      <c r="C917" s="7"/>
      <c r="D917" s="7"/>
      <c r="E917" s="7"/>
      <c r="F917" s="7"/>
      <c r="H917" s="22"/>
    </row>
    <row r="918" spans="2:8" ht="14.25" customHeight="1">
      <c r="B918" s="7"/>
      <c r="C918" s="7"/>
      <c r="D918" s="7"/>
      <c r="E918" s="7"/>
      <c r="F918" s="7"/>
      <c r="H918" s="22"/>
    </row>
    <row r="919" spans="2:8" ht="14.25" customHeight="1">
      <c r="B919" s="7"/>
      <c r="C919" s="7"/>
      <c r="D919" s="7"/>
      <c r="E919" s="7"/>
      <c r="F919" s="7"/>
      <c r="H919" s="22"/>
    </row>
    <row r="920" spans="2:8" ht="14.25" customHeight="1">
      <c r="B920" s="7"/>
      <c r="C920" s="7"/>
      <c r="D920" s="7"/>
      <c r="E920" s="7"/>
      <c r="F920" s="7"/>
      <c r="H920" s="22"/>
    </row>
    <row r="921" spans="2:8" ht="14.25" customHeight="1">
      <c r="B921" s="7"/>
      <c r="C921" s="7"/>
      <c r="D921" s="7"/>
      <c r="E921" s="7"/>
      <c r="F921" s="7"/>
      <c r="H921" s="22"/>
    </row>
    <row r="922" spans="2:8" ht="14.25" customHeight="1">
      <c r="B922" s="7"/>
      <c r="C922" s="7"/>
      <c r="D922" s="7"/>
      <c r="E922" s="7"/>
      <c r="F922" s="7"/>
      <c r="H922" s="22"/>
    </row>
    <row r="923" spans="2:8" ht="14.25" customHeight="1">
      <c r="B923" s="7"/>
      <c r="C923" s="7"/>
      <c r="D923" s="7"/>
      <c r="E923" s="7"/>
      <c r="F923" s="7"/>
      <c r="H923" s="22"/>
    </row>
    <row r="924" spans="2:8" ht="14.25" customHeight="1">
      <c r="B924" s="7"/>
      <c r="C924" s="7"/>
      <c r="D924" s="7"/>
      <c r="E924" s="7"/>
      <c r="F924" s="7"/>
      <c r="H924" s="22"/>
    </row>
    <row r="925" spans="2:8" ht="14.25" customHeight="1">
      <c r="B925" s="7"/>
      <c r="C925" s="7"/>
      <c r="D925" s="7"/>
      <c r="E925" s="7"/>
      <c r="F925" s="7"/>
      <c r="H925" s="22"/>
    </row>
    <row r="926" spans="2:8" ht="14.25" customHeight="1">
      <c r="B926" s="7"/>
      <c r="C926" s="7"/>
      <c r="D926" s="7"/>
      <c r="E926" s="7"/>
      <c r="F926" s="7"/>
      <c r="H926" s="22"/>
    </row>
    <row r="927" spans="2:8" ht="14.25" customHeight="1">
      <c r="B927" s="7"/>
      <c r="C927" s="7"/>
      <c r="D927" s="7"/>
      <c r="E927" s="7"/>
      <c r="F927" s="7"/>
      <c r="H927" s="22"/>
    </row>
    <row r="928" spans="2:8" ht="14.25" customHeight="1">
      <c r="B928" s="7"/>
      <c r="C928" s="7"/>
      <c r="D928" s="7"/>
      <c r="E928" s="7"/>
      <c r="F928" s="7"/>
      <c r="H928" s="22"/>
    </row>
    <row r="929" spans="2:8" ht="14.25" customHeight="1">
      <c r="B929" s="7"/>
      <c r="C929" s="7"/>
      <c r="D929" s="7"/>
      <c r="E929" s="7"/>
      <c r="F929" s="7"/>
      <c r="H929" s="22"/>
    </row>
    <row r="930" spans="2:8" ht="14.25" customHeight="1">
      <c r="B930" s="7"/>
      <c r="C930" s="7"/>
      <c r="D930" s="7"/>
      <c r="E930" s="7"/>
      <c r="F930" s="7"/>
      <c r="H930" s="22"/>
    </row>
    <row r="931" spans="2:8" ht="14.25" customHeight="1">
      <c r="B931" s="7"/>
      <c r="C931" s="7"/>
      <c r="D931" s="7"/>
      <c r="E931" s="7"/>
      <c r="F931" s="7"/>
      <c r="H931" s="22"/>
    </row>
    <row r="932" spans="2:8" ht="14.25" customHeight="1">
      <c r="B932" s="7"/>
      <c r="C932" s="7"/>
      <c r="D932" s="7"/>
      <c r="E932" s="7"/>
      <c r="F932" s="7"/>
      <c r="H932" s="22"/>
    </row>
    <row r="933" spans="2:8" ht="14.25" customHeight="1">
      <c r="B933" s="7"/>
      <c r="C933" s="7"/>
      <c r="D933" s="7"/>
      <c r="E933" s="7"/>
      <c r="F933" s="7"/>
      <c r="H933" s="22"/>
    </row>
    <row r="934" spans="2:8" ht="14.25" customHeight="1">
      <c r="B934" s="7"/>
      <c r="C934" s="7"/>
      <c r="D934" s="7"/>
      <c r="E934" s="7"/>
      <c r="F934" s="7"/>
      <c r="H934" s="22"/>
    </row>
    <row r="935" spans="2:8" ht="14.25" customHeight="1">
      <c r="B935" s="7"/>
      <c r="C935" s="7"/>
      <c r="D935" s="7"/>
      <c r="E935" s="7"/>
      <c r="F935" s="7"/>
      <c r="H935" s="22"/>
    </row>
    <row r="936" spans="2:8" ht="14.25" customHeight="1">
      <c r="B936" s="7"/>
      <c r="C936" s="7"/>
      <c r="D936" s="7"/>
      <c r="E936" s="7"/>
      <c r="F936" s="7"/>
      <c r="H936" s="22"/>
    </row>
    <row r="937" spans="2:8" ht="14.25" customHeight="1">
      <c r="B937" s="7"/>
      <c r="C937" s="7"/>
      <c r="D937" s="7"/>
      <c r="E937" s="7"/>
      <c r="F937" s="7"/>
      <c r="H937" s="22"/>
    </row>
    <row r="938" spans="2:8" ht="14.25" customHeight="1">
      <c r="B938" s="7"/>
      <c r="C938" s="7"/>
      <c r="D938" s="7"/>
      <c r="E938" s="7"/>
      <c r="F938" s="7"/>
      <c r="H938" s="22"/>
    </row>
    <row r="939" spans="2:8" ht="14.25" customHeight="1">
      <c r="B939" s="7"/>
      <c r="C939" s="7"/>
      <c r="D939" s="7"/>
      <c r="E939" s="7"/>
      <c r="F939" s="7"/>
      <c r="H939" s="22"/>
    </row>
    <row r="940" spans="2:8" ht="14.25" customHeight="1">
      <c r="B940" s="7"/>
      <c r="C940" s="7"/>
      <c r="D940" s="7"/>
      <c r="E940" s="7"/>
      <c r="F940" s="7"/>
      <c r="H940" s="22"/>
    </row>
    <row r="941" spans="2:8" ht="14.25" customHeight="1">
      <c r="B941" s="7"/>
      <c r="C941" s="7"/>
      <c r="D941" s="7"/>
      <c r="E941" s="7"/>
      <c r="F941" s="7"/>
      <c r="H941" s="22"/>
    </row>
    <row r="942" spans="2:8" ht="14.25" customHeight="1">
      <c r="B942" s="7"/>
      <c r="C942" s="7"/>
      <c r="D942" s="7"/>
      <c r="E942" s="7"/>
      <c r="F942" s="7"/>
      <c r="H942" s="22"/>
    </row>
    <row r="943" spans="2:8" ht="14.25" customHeight="1">
      <c r="B943" s="7"/>
      <c r="C943" s="7"/>
      <c r="D943" s="7"/>
      <c r="E943" s="7"/>
      <c r="F943" s="7"/>
      <c r="H943" s="22"/>
    </row>
    <row r="944" spans="2:8" ht="14.25" customHeight="1">
      <c r="B944" s="7"/>
      <c r="C944" s="7"/>
      <c r="D944" s="7"/>
      <c r="E944" s="7"/>
      <c r="F944" s="7"/>
      <c r="H944" s="22"/>
    </row>
    <row r="945" spans="2:8" ht="14.25" customHeight="1">
      <c r="B945" s="7"/>
      <c r="C945" s="7"/>
      <c r="D945" s="7"/>
      <c r="E945" s="7"/>
      <c r="F945" s="7"/>
      <c r="H945" s="22"/>
    </row>
    <row r="946" spans="2:8" ht="14.25" customHeight="1">
      <c r="B946" s="7"/>
      <c r="C946" s="7"/>
      <c r="D946" s="7"/>
      <c r="E946" s="7"/>
      <c r="F946" s="7"/>
      <c r="H946" s="22"/>
    </row>
    <row r="947" spans="2:8" ht="14.25" customHeight="1">
      <c r="B947" s="7"/>
      <c r="C947" s="7"/>
      <c r="D947" s="7"/>
      <c r="E947" s="7"/>
      <c r="F947" s="7"/>
      <c r="H947" s="22"/>
    </row>
    <row r="948" spans="2:8" ht="14.25" customHeight="1">
      <c r="B948" s="7"/>
      <c r="C948" s="7"/>
      <c r="D948" s="7"/>
      <c r="E948" s="7"/>
      <c r="F948" s="7"/>
      <c r="H948" s="22"/>
    </row>
    <row r="949" spans="2:8" ht="14.25" customHeight="1">
      <c r="B949" s="7"/>
      <c r="C949" s="7"/>
      <c r="D949" s="7"/>
      <c r="E949" s="7"/>
      <c r="F949" s="7"/>
      <c r="H949" s="22"/>
    </row>
    <row r="950" spans="2:8" ht="14.25" customHeight="1">
      <c r="B950" s="7"/>
      <c r="C950" s="7"/>
      <c r="D950" s="7"/>
      <c r="E950" s="7"/>
      <c r="F950" s="7"/>
      <c r="H950" s="22"/>
    </row>
    <row r="951" spans="2:8" ht="14.25" customHeight="1">
      <c r="B951" s="7"/>
      <c r="C951" s="7"/>
      <c r="D951" s="7"/>
      <c r="E951" s="7"/>
      <c r="F951" s="7"/>
      <c r="H951" s="22"/>
    </row>
    <row r="952" spans="2:8" ht="14.25" customHeight="1">
      <c r="B952" s="7"/>
      <c r="C952" s="7"/>
      <c r="D952" s="7"/>
      <c r="E952" s="7"/>
      <c r="F952" s="7"/>
      <c r="H952" s="22"/>
    </row>
    <row r="953" spans="2:8" ht="14.25" customHeight="1">
      <c r="B953" s="7"/>
      <c r="C953" s="7"/>
      <c r="D953" s="7"/>
      <c r="E953" s="7"/>
      <c r="F953" s="7"/>
      <c r="H953" s="22"/>
    </row>
    <row r="954" spans="2:8" ht="14.25" customHeight="1">
      <c r="B954" s="7"/>
      <c r="C954" s="7"/>
      <c r="D954" s="7"/>
      <c r="E954" s="7"/>
      <c r="F954" s="7"/>
      <c r="H954" s="22"/>
    </row>
    <row r="955" spans="2:8" ht="14.25" customHeight="1">
      <c r="B955" s="7"/>
      <c r="C955" s="7"/>
      <c r="D955" s="7"/>
      <c r="E955" s="7"/>
      <c r="F955" s="7"/>
      <c r="H955" s="22"/>
    </row>
    <row r="956" spans="2:8" ht="14.25" customHeight="1">
      <c r="B956" s="7"/>
      <c r="C956" s="7"/>
      <c r="D956" s="7"/>
      <c r="E956" s="7"/>
      <c r="F956" s="7"/>
      <c r="H956" s="22"/>
    </row>
    <row r="957" spans="2:8" ht="14.25" customHeight="1">
      <c r="B957" s="7"/>
      <c r="C957" s="7"/>
      <c r="D957" s="7"/>
      <c r="E957" s="7"/>
      <c r="F957" s="7"/>
      <c r="H957" s="22"/>
    </row>
    <row r="958" spans="2:8" ht="14.25" customHeight="1">
      <c r="B958" s="7"/>
      <c r="C958" s="7"/>
      <c r="D958" s="7"/>
      <c r="E958" s="7"/>
      <c r="F958" s="7"/>
      <c r="H958" s="22"/>
    </row>
    <row r="959" spans="2:8" ht="14.25" customHeight="1">
      <c r="B959" s="7"/>
      <c r="C959" s="7"/>
      <c r="D959" s="7"/>
      <c r="E959" s="7"/>
      <c r="F959" s="7"/>
      <c r="H959" s="22"/>
    </row>
    <row r="960" spans="2:8" ht="14.25" customHeight="1">
      <c r="B960" s="7"/>
      <c r="C960" s="7"/>
      <c r="D960" s="7"/>
      <c r="E960" s="7"/>
      <c r="F960" s="7"/>
      <c r="H960" s="22"/>
    </row>
    <row r="961" spans="2:8" ht="14.25" customHeight="1">
      <c r="B961" s="7"/>
      <c r="C961" s="7"/>
      <c r="D961" s="7"/>
      <c r="E961" s="7"/>
      <c r="F961" s="7"/>
      <c r="H961" s="22"/>
    </row>
    <row r="962" spans="2:8" ht="14.25" customHeight="1">
      <c r="B962" s="7"/>
      <c r="C962" s="7"/>
      <c r="D962" s="7"/>
      <c r="E962" s="7"/>
      <c r="F962" s="7"/>
      <c r="H962" s="22"/>
    </row>
    <row r="963" spans="2:8" ht="14.25" customHeight="1">
      <c r="B963" s="7"/>
      <c r="C963" s="7"/>
      <c r="D963" s="7"/>
      <c r="E963" s="7"/>
      <c r="F963" s="7"/>
      <c r="H963" s="22"/>
    </row>
    <row r="964" spans="2:8" ht="14.25" customHeight="1">
      <c r="B964" s="7"/>
      <c r="C964" s="7"/>
      <c r="D964" s="7"/>
      <c r="E964" s="7"/>
      <c r="F964" s="7"/>
      <c r="H964" s="22"/>
    </row>
    <row r="965" spans="2:8" ht="14.25" customHeight="1">
      <c r="B965" s="7"/>
      <c r="C965" s="7"/>
      <c r="D965" s="7"/>
      <c r="E965" s="7"/>
      <c r="F965" s="7"/>
      <c r="H965" s="22"/>
    </row>
    <row r="966" spans="2:8" ht="14.25" customHeight="1">
      <c r="B966" s="7"/>
      <c r="C966" s="7"/>
      <c r="D966" s="7"/>
      <c r="E966" s="7"/>
      <c r="F966" s="7"/>
      <c r="H966" s="22"/>
    </row>
    <row r="967" spans="2:8" ht="14.25" customHeight="1">
      <c r="B967" s="7"/>
      <c r="C967" s="7"/>
      <c r="D967" s="7"/>
      <c r="E967" s="7"/>
      <c r="F967" s="7"/>
      <c r="H967" s="22"/>
    </row>
    <row r="968" spans="2:8" ht="14.25" customHeight="1">
      <c r="B968" s="7"/>
      <c r="C968" s="7"/>
      <c r="D968" s="7"/>
      <c r="E968" s="7"/>
      <c r="F968" s="7"/>
      <c r="H968" s="22"/>
    </row>
    <row r="969" spans="2:8" ht="14.25" customHeight="1">
      <c r="B969" s="7"/>
      <c r="C969" s="7"/>
      <c r="D969" s="7"/>
      <c r="E969" s="7"/>
      <c r="F969" s="7"/>
      <c r="H969" s="22"/>
    </row>
    <row r="970" spans="2:8" ht="14.25" customHeight="1">
      <c r="B970" s="7"/>
      <c r="C970" s="7"/>
      <c r="D970" s="7"/>
      <c r="E970" s="7"/>
      <c r="F970" s="7"/>
      <c r="H970" s="22"/>
    </row>
    <row r="971" spans="2:8" ht="14.25" customHeight="1">
      <c r="B971" s="7"/>
      <c r="C971" s="7"/>
      <c r="D971" s="7"/>
      <c r="E971" s="7"/>
      <c r="F971" s="7"/>
      <c r="H971" s="22"/>
    </row>
    <row r="972" spans="2:8" ht="14.25" customHeight="1">
      <c r="B972" s="7"/>
      <c r="C972" s="7"/>
      <c r="D972" s="7"/>
      <c r="E972" s="7"/>
      <c r="F972" s="7"/>
      <c r="H972" s="22"/>
    </row>
    <row r="973" spans="2:8" ht="14.25" customHeight="1">
      <c r="B973" s="7"/>
      <c r="C973" s="7"/>
      <c r="D973" s="7"/>
      <c r="E973" s="7"/>
      <c r="F973" s="7"/>
      <c r="H973" s="22"/>
    </row>
    <row r="974" spans="2:8" ht="14.25" customHeight="1">
      <c r="B974" s="7"/>
      <c r="C974" s="7"/>
      <c r="D974" s="7"/>
      <c r="E974" s="7"/>
      <c r="F974" s="7"/>
      <c r="H974" s="22"/>
    </row>
    <row r="975" spans="2:8" ht="14.25" customHeight="1">
      <c r="B975" s="7"/>
      <c r="C975" s="7"/>
      <c r="D975" s="7"/>
      <c r="E975" s="7"/>
      <c r="F975" s="7"/>
      <c r="H975" s="22"/>
    </row>
    <row r="976" spans="2:8" ht="14.25" customHeight="1">
      <c r="B976" s="7"/>
      <c r="C976" s="7"/>
      <c r="D976" s="7"/>
      <c r="E976" s="7"/>
      <c r="F976" s="7"/>
      <c r="H976" s="22"/>
    </row>
    <row r="977" spans="2:8" ht="14.25" customHeight="1">
      <c r="B977" s="7"/>
      <c r="C977" s="7"/>
      <c r="D977" s="7"/>
      <c r="E977" s="7"/>
      <c r="F977" s="7"/>
      <c r="H977" s="22"/>
    </row>
    <row r="978" spans="2:8" ht="14.25" customHeight="1">
      <c r="B978" s="7"/>
      <c r="C978" s="7"/>
      <c r="D978" s="7"/>
      <c r="E978" s="7"/>
      <c r="F978" s="7"/>
      <c r="H978" s="22"/>
    </row>
    <row r="979" spans="2:8" ht="14.25" customHeight="1">
      <c r="B979" s="7"/>
      <c r="C979" s="7"/>
      <c r="D979" s="7"/>
      <c r="E979" s="7"/>
      <c r="F979" s="7"/>
      <c r="H979" s="22"/>
    </row>
    <row r="980" spans="2:8" ht="14.25" customHeight="1">
      <c r="B980" s="7"/>
      <c r="C980" s="7"/>
      <c r="D980" s="7"/>
      <c r="E980" s="7"/>
      <c r="F980" s="7"/>
      <c r="H980" s="22"/>
    </row>
    <row r="981" spans="2:8" ht="14.25" customHeight="1">
      <c r="B981" s="7"/>
      <c r="C981" s="7"/>
      <c r="D981" s="7"/>
      <c r="E981" s="7"/>
      <c r="F981" s="7"/>
      <c r="H981" s="22"/>
    </row>
    <row r="982" spans="2:8" ht="14.25" customHeight="1">
      <c r="B982" s="7"/>
      <c r="C982" s="7"/>
      <c r="D982" s="7"/>
      <c r="E982" s="7"/>
      <c r="F982" s="7"/>
      <c r="H982" s="22"/>
    </row>
    <row r="983" spans="2:8" ht="14.25" customHeight="1">
      <c r="B983" s="7"/>
      <c r="C983" s="7"/>
      <c r="D983" s="7"/>
      <c r="E983" s="7"/>
      <c r="F983" s="7"/>
      <c r="H983" s="22"/>
    </row>
    <row r="984" spans="2:8" ht="14.25" customHeight="1">
      <c r="B984" s="7"/>
      <c r="C984" s="7"/>
      <c r="D984" s="7"/>
      <c r="E984" s="7"/>
      <c r="F984" s="7"/>
      <c r="H984" s="22"/>
    </row>
    <row r="985" spans="2:8" ht="14.25" customHeight="1">
      <c r="B985" s="7"/>
      <c r="C985" s="7"/>
      <c r="D985" s="7"/>
      <c r="E985" s="7"/>
      <c r="F985" s="7"/>
      <c r="H985" s="22"/>
    </row>
    <row r="986" spans="2:8" ht="14.25" customHeight="1">
      <c r="B986" s="7"/>
      <c r="C986" s="7"/>
      <c r="D986" s="7"/>
      <c r="E986" s="7"/>
      <c r="F986" s="7"/>
      <c r="H986" s="22"/>
    </row>
    <row r="987" spans="2:8" ht="14.25" customHeight="1">
      <c r="B987" s="7"/>
      <c r="C987" s="7"/>
      <c r="D987" s="7"/>
      <c r="E987" s="7"/>
      <c r="F987" s="7"/>
      <c r="H987" s="22"/>
    </row>
    <row r="988" spans="2:8" ht="14.25" customHeight="1">
      <c r="B988" s="7"/>
      <c r="C988" s="7"/>
      <c r="D988" s="7"/>
      <c r="E988" s="7"/>
      <c r="F988" s="7"/>
      <c r="H988" s="22"/>
    </row>
    <row r="989" spans="2:8" ht="14.25" customHeight="1">
      <c r="B989" s="7"/>
      <c r="C989" s="7"/>
      <c r="D989" s="7"/>
      <c r="E989" s="7"/>
      <c r="F989" s="7"/>
      <c r="H989" s="22"/>
    </row>
    <row r="990" spans="2:8" ht="14.25" customHeight="1">
      <c r="B990" s="7"/>
      <c r="C990" s="7"/>
      <c r="D990" s="7"/>
      <c r="E990" s="7"/>
      <c r="F990" s="7"/>
      <c r="H990" s="22"/>
    </row>
    <row r="991" spans="2:8" ht="14.25" customHeight="1">
      <c r="B991" s="7"/>
      <c r="C991" s="7"/>
      <c r="D991" s="7"/>
      <c r="E991" s="7"/>
      <c r="F991" s="7"/>
      <c r="H991" s="22"/>
    </row>
    <row r="992" spans="2:8" ht="14.25" customHeight="1">
      <c r="B992" s="7"/>
      <c r="C992" s="7"/>
      <c r="D992" s="7"/>
      <c r="E992" s="7"/>
      <c r="F992" s="7"/>
      <c r="H992" s="22"/>
    </row>
    <row r="993" spans="2:8" ht="14.25" customHeight="1">
      <c r="B993" s="7"/>
      <c r="C993" s="7"/>
      <c r="D993" s="7"/>
      <c r="E993" s="7"/>
      <c r="F993" s="7"/>
      <c r="H993" s="22"/>
    </row>
    <row r="994" spans="2:8" ht="14.25" customHeight="1">
      <c r="B994" s="7"/>
      <c r="C994" s="7"/>
      <c r="D994" s="7"/>
      <c r="E994" s="7"/>
      <c r="F994" s="7"/>
      <c r="H994" s="22"/>
    </row>
    <row r="995" spans="2:8" ht="14.25" customHeight="1">
      <c r="B995" s="7"/>
      <c r="C995" s="7"/>
      <c r="D995" s="7"/>
      <c r="E995" s="7"/>
      <c r="F995" s="7"/>
      <c r="H995" s="22"/>
    </row>
    <row r="996" spans="2:8" ht="14.25" customHeight="1">
      <c r="B996" s="7"/>
      <c r="C996" s="7"/>
      <c r="D996" s="7"/>
      <c r="E996" s="7"/>
      <c r="F996" s="7"/>
      <c r="H996" s="22"/>
    </row>
    <row r="997" spans="2:8" ht="14.25" customHeight="1">
      <c r="B997" s="7"/>
      <c r="C997" s="7"/>
      <c r="D997" s="7"/>
      <c r="E997" s="7"/>
      <c r="F997" s="7"/>
      <c r="H997" s="22"/>
    </row>
    <row r="998" spans="2:8" ht="14.25" customHeight="1">
      <c r="B998" s="7"/>
      <c r="C998" s="7"/>
      <c r="D998" s="7"/>
      <c r="E998" s="7"/>
      <c r="F998" s="7"/>
      <c r="H998" s="22"/>
    </row>
    <row r="999" spans="2:8" ht="14.25" customHeight="1">
      <c r="B999" s="7"/>
      <c r="C999" s="7"/>
      <c r="D999" s="7"/>
      <c r="E999" s="7"/>
      <c r="F999" s="7"/>
      <c r="H999" s="22"/>
    </row>
    <row r="1000" spans="2:8" ht="14.25" customHeight="1">
      <c r="B1000" s="7"/>
      <c r="C1000" s="7"/>
      <c r="D1000" s="7"/>
      <c r="E1000" s="7"/>
      <c r="F1000" s="7"/>
      <c r="H1000" s="22"/>
    </row>
  </sheetData>
  <mergeCells count="1">
    <mergeCell ref="A1:L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 customHeight="1"/>
  <cols>
    <col min="1" max="1" width="35.44140625" customWidth="1"/>
    <col min="2" max="33" width="8.6640625" customWidth="1"/>
  </cols>
  <sheetData>
    <row r="1" spans="1:33" ht="14.25" customHeight="1">
      <c r="A1" s="23" t="s">
        <v>21</v>
      </c>
      <c r="B1" s="24">
        <v>2019</v>
      </c>
      <c r="C1" s="24">
        <v>2020</v>
      </c>
      <c r="D1" s="24">
        <v>2021</v>
      </c>
      <c r="E1" s="24">
        <v>2022</v>
      </c>
      <c r="F1" s="24">
        <v>2023</v>
      </c>
      <c r="G1" s="24">
        <v>2024</v>
      </c>
      <c r="H1" s="24">
        <v>2025</v>
      </c>
      <c r="I1" s="25">
        <v>2026</v>
      </c>
      <c r="J1" s="26">
        <v>2027</v>
      </c>
      <c r="K1" s="26">
        <v>2028</v>
      </c>
      <c r="L1" s="26">
        <v>2029</v>
      </c>
      <c r="M1" s="26">
        <v>2030</v>
      </c>
    </row>
    <row r="2" spans="1:33" ht="14.25" customHeight="1">
      <c r="I2" s="22"/>
    </row>
    <row r="3" spans="1:33" ht="16.5" customHeight="1">
      <c r="A3" s="27" t="s">
        <v>22</v>
      </c>
      <c r="B3" s="27"/>
      <c r="C3" s="27"/>
      <c r="D3" s="27"/>
      <c r="E3" s="27"/>
      <c r="F3" s="27"/>
      <c r="G3" s="27"/>
      <c r="H3" s="27"/>
      <c r="I3" s="28"/>
      <c r="J3" s="27"/>
      <c r="K3" s="27"/>
      <c r="L3" s="27"/>
      <c r="M3" s="27"/>
    </row>
    <row r="4" spans="1:33" ht="14.25" customHeight="1">
      <c r="A4" s="29" t="s">
        <v>23</v>
      </c>
      <c r="B4" s="29"/>
      <c r="C4" s="29"/>
      <c r="D4" s="29"/>
      <c r="E4" s="29"/>
      <c r="F4" s="29"/>
      <c r="G4" s="29"/>
      <c r="H4" s="29"/>
      <c r="I4" s="30"/>
      <c r="J4" s="29"/>
      <c r="K4" s="29"/>
      <c r="L4" s="29"/>
      <c r="M4" s="29"/>
    </row>
    <row r="5" spans="1:33" ht="14.25" customHeight="1">
      <c r="A5" s="10" t="s">
        <v>24</v>
      </c>
      <c r="C5" s="31">
        <f>IS!C36/IS!B36-1</f>
        <v>0.11677425486605464</v>
      </c>
      <c r="D5" s="31">
        <f>IS!D36/IS!C36-1</f>
        <v>4.2923151522550551E-2</v>
      </c>
      <c r="E5" s="31">
        <f>IS!E36/IS!D36-1</f>
        <v>0.17535268887573463</v>
      </c>
      <c r="F5" s="31">
        <f>IS!F36/IS!E36-1</f>
        <v>0.59634200508187818</v>
      </c>
      <c r="G5" s="31">
        <f>IS!G36/IS!F36-1</f>
        <v>0.15453027131407593</v>
      </c>
      <c r="H5" s="31">
        <f>IS!H36/IS!G36-1</f>
        <v>0.11734450748806036</v>
      </c>
      <c r="I5" s="32">
        <v>0.12</v>
      </c>
      <c r="J5" s="33">
        <f t="shared" ref="J5:M5" si="0">I5</f>
        <v>0.12</v>
      </c>
      <c r="K5" s="33">
        <f t="shared" si="0"/>
        <v>0.12</v>
      </c>
      <c r="L5" s="33">
        <f t="shared" si="0"/>
        <v>0.12</v>
      </c>
      <c r="M5" s="33">
        <f t="shared" si="0"/>
        <v>0.12</v>
      </c>
    </row>
    <row r="6" spans="1:33" ht="14.25" customHeight="1">
      <c r="A6" s="10" t="s">
        <v>25</v>
      </c>
      <c r="C6" s="31">
        <f>IS!C37/IS!B37-1</f>
        <v>2.4864954068493983E-2</v>
      </c>
      <c r="D6" s="31">
        <f>IS!D37/IS!C37-1</f>
        <v>-4.1769119291847456E-2</v>
      </c>
      <c r="E6" s="31">
        <f>IS!E37/IS!D37-1</f>
        <v>0.21275971264844173</v>
      </c>
      <c r="F6" s="31">
        <f>IS!F37/IS!E37-1</f>
        <v>0.98057985193576558</v>
      </c>
      <c r="G6" s="31">
        <f>IS!G37/IS!F37-1</f>
        <v>0.15732203194339656</v>
      </c>
      <c r="H6" s="31">
        <f>IS!H37/IS!G37-1</f>
        <v>0.13926632113516879</v>
      </c>
      <c r="I6" s="32">
        <v>0.15</v>
      </c>
      <c r="J6" s="33">
        <f t="shared" ref="J6:M6" si="1">I6</f>
        <v>0.15</v>
      </c>
      <c r="K6" s="33">
        <f t="shared" si="1"/>
        <v>0.15</v>
      </c>
      <c r="L6" s="33">
        <f t="shared" si="1"/>
        <v>0.15</v>
      </c>
      <c r="M6" s="33">
        <f t="shared" si="1"/>
        <v>0.15</v>
      </c>
    </row>
    <row r="7" spans="1:33" ht="14.25" customHeight="1">
      <c r="C7" s="31"/>
      <c r="D7" s="31"/>
      <c r="E7" s="31"/>
      <c r="F7" s="31"/>
      <c r="G7" s="31"/>
      <c r="H7" s="31"/>
      <c r="I7" s="32"/>
      <c r="J7" s="33"/>
      <c r="K7" s="33"/>
      <c r="L7" s="33"/>
      <c r="M7" s="33"/>
    </row>
    <row r="8" spans="1:33" ht="14.25" customHeight="1">
      <c r="A8" s="29" t="s">
        <v>26</v>
      </c>
      <c r="B8" s="29"/>
      <c r="C8" s="34"/>
      <c r="D8" s="34"/>
      <c r="E8" s="34"/>
      <c r="F8" s="34"/>
      <c r="G8" s="34"/>
      <c r="H8" s="34"/>
      <c r="I8" s="35"/>
      <c r="J8" s="36"/>
      <c r="K8" s="36"/>
      <c r="L8" s="36"/>
      <c r="M8" s="36"/>
    </row>
    <row r="9" spans="1:33" ht="14.25" customHeight="1">
      <c r="A9" s="33" t="s">
        <v>27</v>
      </c>
      <c r="B9" s="31">
        <f>IS!B6/IS!B3</f>
        <v>3.1215491785514145E-3</v>
      </c>
      <c r="C9" s="31">
        <f>IS!C6/IS!C3</f>
        <v>3.1156329423246533E-3</v>
      </c>
      <c r="D9" s="31">
        <f>IS!D6/IS!D3</f>
        <v>6.7198461100543084E-3</v>
      </c>
      <c r="E9" s="31">
        <f>IS!E6/IS!E3</f>
        <v>3.2206954119182439E-3</v>
      </c>
      <c r="F9" s="31">
        <f>IS!F6/IS!F3</f>
        <v>3.1402789491673908E-3</v>
      </c>
      <c r="G9" s="31">
        <f>IS!G6/IS!G3</f>
        <v>4.7385126472043711E-3</v>
      </c>
      <c r="H9" s="31">
        <f>IS!H6/IS!H3</f>
        <v>2.7975262681518708E-3</v>
      </c>
      <c r="I9" s="37">
        <v>3.0000000000000001E-3</v>
      </c>
      <c r="J9" s="31">
        <f t="shared" ref="J9:M9" si="2">I9</f>
        <v>3.0000000000000001E-3</v>
      </c>
      <c r="K9" s="31">
        <f t="shared" si="2"/>
        <v>3.0000000000000001E-3</v>
      </c>
      <c r="L9" s="31">
        <f t="shared" si="2"/>
        <v>3.0000000000000001E-3</v>
      </c>
      <c r="M9" s="31">
        <f t="shared" si="2"/>
        <v>3.0000000000000001E-3</v>
      </c>
      <c r="N9" s="38"/>
      <c r="O9" s="38"/>
      <c r="P9" s="38"/>
      <c r="Q9" s="38"/>
      <c r="R9" s="38"/>
      <c r="S9" s="38"/>
      <c r="T9" s="38"/>
      <c r="U9" s="38"/>
      <c r="V9" s="38"/>
      <c r="W9" s="38"/>
      <c r="X9" s="38"/>
      <c r="Y9" s="38"/>
      <c r="Z9" s="38"/>
      <c r="AA9" s="38"/>
      <c r="AB9" s="38"/>
      <c r="AC9" s="38"/>
      <c r="AD9" s="38"/>
      <c r="AE9" s="38"/>
      <c r="AF9" s="38"/>
      <c r="AG9" s="38"/>
    </row>
    <row r="10" spans="1:33" ht="14.25" customHeight="1">
      <c r="C10" s="31"/>
      <c r="D10" s="31"/>
      <c r="E10" s="31"/>
      <c r="F10" s="31"/>
      <c r="G10" s="31"/>
      <c r="H10" s="31"/>
      <c r="I10" s="32"/>
      <c r="J10" s="33"/>
      <c r="K10" s="33"/>
      <c r="L10" s="33"/>
      <c r="M10" s="33"/>
    </row>
    <row r="11" spans="1:33" ht="14.25" customHeight="1">
      <c r="I11" s="22"/>
    </row>
    <row r="12" spans="1:33" ht="14.25" customHeight="1">
      <c r="A12" s="27" t="s">
        <v>28</v>
      </c>
      <c r="B12" s="27"/>
      <c r="C12" s="27"/>
      <c r="D12" s="27"/>
      <c r="E12" s="27"/>
      <c r="F12" s="27"/>
      <c r="G12" s="27"/>
      <c r="H12" s="27"/>
      <c r="I12" s="28"/>
      <c r="J12" s="27"/>
      <c r="K12" s="27"/>
      <c r="L12" s="27"/>
      <c r="M12" s="27"/>
    </row>
    <row r="13" spans="1:33" ht="14.25" customHeight="1">
      <c r="A13" s="29" t="s">
        <v>29</v>
      </c>
      <c r="B13" s="29"/>
      <c r="C13" s="29"/>
      <c r="D13" s="29"/>
      <c r="E13" s="29"/>
      <c r="F13" s="29"/>
      <c r="G13" s="29"/>
      <c r="H13" s="29"/>
      <c r="I13" s="30"/>
      <c r="J13" s="29"/>
      <c r="K13" s="29"/>
      <c r="L13" s="29"/>
      <c r="M13" s="29"/>
    </row>
    <row r="14" spans="1:33" ht="14.25" customHeight="1">
      <c r="A14" s="33" t="s">
        <v>27</v>
      </c>
      <c r="B14" s="33">
        <f>ABS(IS!B4/IS!B3)</f>
        <v>0.74527217884720676</v>
      </c>
      <c r="C14" s="33">
        <f>ABS(IS!C4/IS!C3)</f>
        <v>0.77624081635812847</v>
      </c>
      <c r="D14" s="33">
        <f>ABS(IS!D4/IS!D3)</f>
        <v>0.7946850156043852</v>
      </c>
      <c r="E14" s="33">
        <f>ABS(IS!E4/IS!E3)</f>
        <v>0.79442730109105908</v>
      </c>
      <c r="F14" s="33">
        <f>ABS(IS!F4/IS!F3)</f>
        <v>0.76084996426910656</v>
      </c>
      <c r="G14" s="33">
        <f>ABS(IS!G4/IS!G3)</f>
        <v>0.75818146422768384</v>
      </c>
      <c r="H14" s="33">
        <f>ABS(IS!H4/IS!H3)</f>
        <v>0.76371534803526175</v>
      </c>
      <c r="I14" s="32">
        <f>ABS(AVERAGE(F14:H14))</f>
        <v>0.76091559217735083</v>
      </c>
      <c r="J14" s="33">
        <f t="shared" ref="J14:M14" si="3">I14</f>
        <v>0.76091559217735083</v>
      </c>
      <c r="K14" s="33">
        <f t="shared" si="3"/>
        <v>0.76091559217735083</v>
      </c>
      <c r="L14" s="33">
        <f t="shared" si="3"/>
        <v>0.76091559217735083</v>
      </c>
      <c r="M14" s="33">
        <f t="shared" si="3"/>
        <v>0.76091559217735083</v>
      </c>
      <c r="N14" s="31"/>
      <c r="O14" s="31"/>
      <c r="P14" s="31"/>
      <c r="Q14" s="31"/>
      <c r="R14" s="31"/>
      <c r="S14" s="31"/>
      <c r="T14" s="31"/>
      <c r="U14" s="31"/>
      <c r="V14" s="31"/>
      <c r="W14" s="31"/>
      <c r="X14" s="31"/>
      <c r="Y14" s="31"/>
      <c r="Z14" s="31"/>
      <c r="AA14" s="31"/>
      <c r="AB14" s="31"/>
      <c r="AC14" s="31"/>
      <c r="AD14" s="31"/>
      <c r="AE14" s="31"/>
      <c r="AF14" s="31"/>
      <c r="AG14" s="31"/>
    </row>
    <row r="15" spans="1:33" ht="14.25" customHeight="1">
      <c r="B15" s="33"/>
      <c r="C15" s="33"/>
      <c r="D15" s="33"/>
      <c r="E15" s="33"/>
      <c r="F15" s="33"/>
      <c r="G15" s="33"/>
      <c r="H15" s="33"/>
      <c r="I15" s="32"/>
      <c r="J15" s="33"/>
      <c r="K15" s="33"/>
      <c r="L15" s="33"/>
      <c r="M15" s="33"/>
    </row>
    <row r="16" spans="1:33" ht="14.25" customHeight="1">
      <c r="A16" s="39" t="s">
        <v>30</v>
      </c>
      <c r="B16" s="36"/>
      <c r="C16" s="36"/>
      <c r="D16" s="36"/>
      <c r="E16" s="36"/>
      <c r="F16" s="36"/>
      <c r="G16" s="36"/>
      <c r="H16" s="36"/>
      <c r="I16" s="35"/>
      <c r="J16" s="36"/>
      <c r="K16" s="36"/>
      <c r="L16" s="36"/>
      <c r="M16" s="36"/>
    </row>
    <row r="17" spans="1:33" ht="14.25" customHeight="1">
      <c r="A17" s="33" t="s">
        <v>27</v>
      </c>
      <c r="B17" s="33">
        <f>ABS(IS!B9/IS!B3)</f>
        <v>6.8543385078264435E-2</v>
      </c>
      <c r="C17" s="33">
        <f>ABS(IS!C9/IS!C3)</f>
        <v>6.1399265160322611E-2</v>
      </c>
      <c r="D17" s="33">
        <f>ABS(IS!D9/IS!D3)</f>
        <v>5.6819007462535188E-2</v>
      </c>
      <c r="E17" s="33">
        <f>ABS(IS!E9/IS!E3)</f>
        <v>5.8350204496769871E-2</v>
      </c>
      <c r="F17" s="33">
        <f>ABS(IS!F9/IS!F3)</f>
        <v>6.2073352015827102E-2</v>
      </c>
      <c r="G17" s="33">
        <f>ABS(IS!G9/IS!G3)</f>
        <v>6.7127837715391908E-2</v>
      </c>
      <c r="H17" s="33">
        <f>ABS(IS!H9/IS!H3)</f>
        <v>6.4565893582523223E-2</v>
      </c>
      <c r="I17" s="32">
        <f t="shared" ref="I17:M17" si="4">AVERAGE(B17:H17)</f>
        <v>6.2696992215947767E-2</v>
      </c>
      <c r="J17" s="33">
        <f t="shared" si="4"/>
        <v>6.1861793235616816E-2</v>
      </c>
      <c r="K17" s="33">
        <f t="shared" si="4"/>
        <v>6.1927868674944549E-2</v>
      </c>
      <c r="L17" s="33">
        <f t="shared" si="4"/>
        <v>6.2657705991003038E-2</v>
      </c>
      <c r="M17" s="33">
        <f t="shared" si="4"/>
        <v>6.3273063347322064E-2</v>
      </c>
      <c r="N17" s="31"/>
      <c r="O17" s="31"/>
      <c r="P17" s="31"/>
      <c r="Q17" s="31"/>
      <c r="R17" s="31"/>
      <c r="S17" s="31"/>
      <c r="T17" s="31"/>
      <c r="U17" s="31"/>
      <c r="V17" s="31"/>
      <c r="W17" s="31"/>
      <c r="X17" s="31"/>
      <c r="Y17" s="31"/>
      <c r="Z17" s="31"/>
      <c r="AA17" s="31"/>
      <c r="AB17" s="31"/>
      <c r="AC17" s="31"/>
      <c r="AD17" s="31"/>
      <c r="AE17" s="31"/>
      <c r="AF17" s="31"/>
      <c r="AG17" s="31"/>
    </row>
    <row r="18" spans="1:33" ht="14.25" customHeight="1">
      <c r="A18" s="40"/>
      <c r="B18" s="33"/>
      <c r="C18" s="33"/>
      <c r="D18" s="33"/>
      <c r="E18" s="33"/>
      <c r="F18" s="33"/>
      <c r="G18" s="33"/>
      <c r="H18" s="33"/>
      <c r="I18" s="32"/>
      <c r="J18" s="33"/>
      <c r="K18" s="33"/>
      <c r="L18" s="33"/>
      <c r="M18" s="33"/>
    </row>
    <row r="19" spans="1:33" ht="14.25" customHeight="1">
      <c r="A19" s="39" t="s">
        <v>31</v>
      </c>
      <c r="B19" s="36"/>
      <c r="C19" s="36"/>
      <c r="D19" s="36"/>
      <c r="E19" s="36"/>
      <c r="F19" s="36"/>
      <c r="G19" s="36"/>
      <c r="H19" s="36"/>
      <c r="I19" s="35"/>
      <c r="J19" s="36"/>
      <c r="K19" s="36"/>
      <c r="L19" s="36"/>
      <c r="M19" s="36"/>
    </row>
    <row r="20" spans="1:33" ht="14.25" customHeight="1">
      <c r="A20" s="33" t="s">
        <v>27</v>
      </c>
      <c r="B20" s="33">
        <f>ABS(IS!B10/IS!B3)</f>
        <v>3.7471684705010604E-2</v>
      </c>
      <c r="C20" s="33">
        <f>ABS(IS!C10/IS!C3)</f>
        <v>3.6180716016692434E-2</v>
      </c>
      <c r="D20" s="33">
        <f>ABS(IS!D10/IS!D3)</f>
        <v>3.7107310354768337E-2</v>
      </c>
      <c r="E20" s="33">
        <f>ABS(IS!E10/IS!E3)</f>
        <v>3.930220978747815E-2</v>
      </c>
      <c r="F20" s="33">
        <f>ABS(IS!F10/IS!F3)</f>
        <v>3.1977885943010355E-2</v>
      </c>
      <c r="G20" s="33">
        <f>ABS(IS!G10/IS!G3)</f>
        <v>3.7163324987959025E-2</v>
      </c>
      <c r="H20" s="33">
        <f>ABS(IS!H10/IS!H3)</f>
        <v>3.705134889775482E-2</v>
      </c>
      <c r="I20" s="32">
        <f t="shared" ref="I20:M20" si="5">H20</f>
        <v>3.705134889775482E-2</v>
      </c>
      <c r="J20" s="33">
        <f t="shared" si="5"/>
        <v>3.705134889775482E-2</v>
      </c>
      <c r="K20" s="33">
        <f t="shared" si="5"/>
        <v>3.705134889775482E-2</v>
      </c>
      <c r="L20" s="33">
        <f t="shared" si="5"/>
        <v>3.705134889775482E-2</v>
      </c>
      <c r="M20" s="33">
        <f t="shared" si="5"/>
        <v>3.705134889775482E-2</v>
      </c>
      <c r="N20" s="31"/>
      <c r="O20" s="31"/>
      <c r="P20" s="31"/>
      <c r="Q20" s="31"/>
      <c r="R20" s="31"/>
      <c r="S20" s="31"/>
      <c r="T20" s="31"/>
      <c r="U20" s="31"/>
      <c r="V20" s="31"/>
      <c r="W20" s="31"/>
      <c r="X20" s="31"/>
      <c r="Y20" s="31"/>
      <c r="Z20" s="31"/>
      <c r="AA20" s="31"/>
      <c r="AB20" s="31"/>
      <c r="AC20" s="31"/>
      <c r="AD20" s="31"/>
      <c r="AE20" s="31"/>
      <c r="AF20" s="31"/>
      <c r="AG20" s="31"/>
    </row>
    <row r="21" spans="1:33" ht="14.25" customHeight="1">
      <c r="A21" s="40"/>
      <c r="B21" s="33"/>
      <c r="C21" s="33"/>
      <c r="D21" s="33"/>
      <c r="E21" s="33"/>
      <c r="F21" s="33"/>
      <c r="G21" s="33"/>
      <c r="H21" s="33"/>
      <c r="I21" s="32"/>
      <c r="J21" s="33"/>
      <c r="K21" s="33"/>
      <c r="L21" s="33"/>
      <c r="M21" s="33"/>
    </row>
    <row r="22" spans="1:33" ht="14.25" customHeight="1">
      <c r="A22" s="39" t="s">
        <v>32</v>
      </c>
      <c r="B22" s="36"/>
      <c r="C22" s="36"/>
      <c r="D22" s="36"/>
      <c r="E22" s="36"/>
      <c r="F22" s="36"/>
      <c r="G22" s="36"/>
      <c r="H22" s="36"/>
      <c r="I22" s="35"/>
      <c r="J22" s="36"/>
      <c r="K22" s="36"/>
      <c r="L22" s="36"/>
      <c r="M22" s="36"/>
    </row>
    <row r="23" spans="1:33" ht="14.25" customHeight="1">
      <c r="A23" s="33" t="s">
        <v>27</v>
      </c>
      <c r="B23" s="33">
        <f>ABS(IS!B11/IS!B3)</f>
        <v>9.3440897511709742E-3</v>
      </c>
      <c r="C23" s="33">
        <f>ABS(IS!C11/IS!C3)</f>
        <v>1.1075525789600527E-2</v>
      </c>
      <c r="D23" s="33">
        <f>ABS(IS!D11/IS!D3)</f>
        <v>1.4110506272610686E-2</v>
      </c>
      <c r="E23" s="33">
        <f>ABS(IS!E11/IS!E3)</f>
        <v>1.1231893324865365E-2</v>
      </c>
      <c r="F23" s="33">
        <f>ABS(IS!F11/IS!F3)</f>
        <v>7.3770982396451227E-3</v>
      </c>
      <c r="G23" s="33">
        <f>ABS(IS!G11/IS!G3)</f>
        <v>5.0266205915522229E-3</v>
      </c>
      <c r="H23" s="33">
        <f>ABS(IS!H11/IS!H3)</f>
        <v>5.2224932226264797E-3</v>
      </c>
      <c r="I23" s="32">
        <f t="shared" ref="I23:M23" si="6">H23</f>
        <v>5.2224932226264797E-3</v>
      </c>
      <c r="J23" s="33">
        <f t="shared" si="6"/>
        <v>5.2224932226264797E-3</v>
      </c>
      <c r="K23" s="33">
        <f t="shared" si="6"/>
        <v>5.2224932226264797E-3</v>
      </c>
      <c r="L23" s="33">
        <f t="shared" si="6"/>
        <v>5.2224932226264797E-3</v>
      </c>
      <c r="M23" s="33">
        <f t="shared" si="6"/>
        <v>5.2224932226264797E-3</v>
      </c>
      <c r="N23" s="31"/>
      <c r="O23" s="31"/>
      <c r="P23" s="31"/>
      <c r="Q23" s="31"/>
      <c r="R23" s="31"/>
      <c r="S23" s="31"/>
      <c r="T23" s="31"/>
      <c r="U23" s="31"/>
      <c r="V23" s="31"/>
      <c r="W23" s="31"/>
      <c r="X23" s="31"/>
      <c r="Y23" s="31"/>
      <c r="Z23" s="31"/>
      <c r="AA23" s="31"/>
      <c r="AB23" s="31"/>
      <c r="AC23" s="31"/>
      <c r="AD23" s="31"/>
      <c r="AE23" s="31"/>
      <c r="AF23" s="31"/>
      <c r="AG23" s="31"/>
    </row>
    <row r="24" spans="1:33" ht="14.25" customHeight="1">
      <c r="B24" s="33"/>
      <c r="C24" s="33"/>
      <c r="D24" s="33"/>
      <c r="E24" s="33"/>
      <c r="F24" s="33"/>
      <c r="G24" s="33"/>
      <c r="H24" s="33"/>
      <c r="I24" s="32"/>
      <c r="J24" s="33"/>
      <c r="K24" s="33"/>
      <c r="L24" s="33"/>
      <c r="M24" s="33"/>
    </row>
    <row r="25" spans="1:33" ht="14.25" customHeight="1">
      <c r="A25" s="29" t="s">
        <v>33</v>
      </c>
      <c r="B25" s="29"/>
      <c r="C25" s="29"/>
      <c r="D25" s="29"/>
      <c r="E25" s="29"/>
      <c r="F25" s="29"/>
      <c r="G25" s="29"/>
      <c r="H25" s="29"/>
      <c r="I25" s="30"/>
      <c r="J25" s="29"/>
      <c r="K25" s="29"/>
      <c r="L25" s="29"/>
      <c r="M25" s="29"/>
    </row>
    <row r="26" spans="1:33" ht="14.25" customHeight="1">
      <c r="A26" s="33" t="s">
        <v>27</v>
      </c>
      <c r="B26" s="33">
        <f>IS!B16/IS!B3</f>
        <v>2.2840241340700455E-2</v>
      </c>
      <c r="C26" s="33">
        <f>IS!C16/IS!C3</f>
        <v>1.9321304988497393E-2</v>
      </c>
      <c r="D26" s="33">
        <f>IS!D16/IS!D3</f>
        <v>1.2979578698211531E-2</v>
      </c>
      <c r="E26" s="33">
        <f>IS!E16/IS!E3</f>
        <v>1.0423240053930147E-2</v>
      </c>
      <c r="F26" s="33">
        <f>IS!F16/IS!F3</f>
        <v>1.4560991552976226E-2</v>
      </c>
      <c r="G26" s="33">
        <f>IS!G16/IS!G3</f>
        <v>1.0293265619747008E-2</v>
      </c>
      <c r="H26" s="33">
        <f>IS!H16/IS!H3</f>
        <v>8.0117189133689353E-3</v>
      </c>
      <c r="I26" s="32">
        <f t="shared" ref="I26:M26" si="7">H26</f>
        <v>8.0117189133689353E-3</v>
      </c>
      <c r="J26" s="33">
        <f t="shared" si="7"/>
        <v>8.0117189133689353E-3</v>
      </c>
      <c r="K26" s="33">
        <f t="shared" si="7"/>
        <v>8.0117189133689353E-3</v>
      </c>
      <c r="L26" s="33">
        <f t="shared" si="7"/>
        <v>8.0117189133689353E-3</v>
      </c>
      <c r="M26" s="33">
        <f t="shared" si="7"/>
        <v>8.0117189133689353E-3</v>
      </c>
      <c r="N26" s="31"/>
      <c r="O26" s="31"/>
      <c r="P26" s="31"/>
      <c r="Q26" s="31"/>
      <c r="R26" s="31"/>
      <c r="S26" s="31"/>
      <c r="T26" s="31"/>
      <c r="U26" s="31"/>
      <c r="V26" s="31"/>
      <c r="W26" s="31"/>
      <c r="X26" s="31"/>
      <c r="Y26" s="31"/>
      <c r="Z26" s="31"/>
      <c r="AA26" s="31"/>
      <c r="AB26" s="31"/>
      <c r="AC26" s="31"/>
      <c r="AD26" s="31"/>
      <c r="AE26" s="31"/>
      <c r="AF26" s="31"/>
      <c r="AG26" s="31"/>
    </row>
    <row r="27" spans="1:33" ht="14.25" customHeight="1">
      <c r="A27" s="40"/>
      <c r="B27" s="33"/>
      <c r="C27" s="33"/>
      <c r="D27" s="33"/>
      <c r="E27" s="33"/>
      <c r="F27" s="33"/>
      <c r="G27" s="33"/>
      <c r="H27" s="33"/>
      <c r="I27" s="32"/>
      <c r="J27" s="33"/>
      <c r="K27" s="33"/>
      <c r="L27" s="33"/>
      <c r="M27" s="33"/>
    </row>
    <row r="28" spans="1:33" ht="14.25" customHeight="1">
      <c r="I28" s="22"/>
    </row>
    <row r="29" spans="1:33" ht="14.25" customHeight="1">
      <c r="A29" s="33" t="s">
        <v>34</v>
      </c>
      <c r="B29" s="33">
        <f>ABS(IS!B20/IS!B19)</f>
        <v>0.41232023862544198</v>
      </c>
      <c r="C29" s="33">
        <f>ABS(IS!C20/IS!C19)</f>
        <v>0.37336168072911102</v>
      </c>
      <c r="D29" s="33">
        <f>ABS(IS!D20/IS!D19)</f>
        <v>0.43179063542199836</v>
      </c>
      <c r="E29" s="33">
        <f>ABS(IS!E20/IS!E19)</f>
        <v>0.35060599716983826</v>
      </c>
      <c r="F29" s="33">
        <f>ABS(IS!F20/IS!F19)</f>
        <v>0.40092690612822079</v>
      </c>
      <c r="G29" s="33">
        <f>ABS(IS!G20/IS!G19)</f>
        <v>0.43125990450317198</v>
      </c>
      <c r="H29" s="33">
        <f>ABS(IS!H20/IS!H19)</f>
        <v>0.39775959727177668</v>
      </c>
      <c r="I29" s="32">
        <f t="shared" ref="I29:M29" si="8">AVERAGE(F29:H29)</f>
        <v>0.40998213596772315</v>
      </c>
      <c r="J29" s="33">
        <f t="shared" si="8"/>
        <v>0.41300054591422392</v>
      </c>
      <c r="K29" s="33">
        <f t="shared" si="8"/>
        <v>0.40691409305124121</v>
      </c>
      <c r="L29" s="33">
        <f t="shared" si="8"/>
        <v>0.40996559164439605</v>
      </c>
      <c r="M29" s="33">
        <f t="shared" si="8"/>
        <v>0.40996007686995367</v>
      </c>
      <c r="N29" s="31"/>
      <c r="O29" s="31"/>
      <c r="P29" s="31"/>
      <c r="Q29" s="31"/>
      <c r="R29" s="31"/>
      <c r="S29" s="31"/>
      <c r="T29" s="31"/>
      <c r="U29" s="31"/>
      <c r="V29" s="31"/>
      <c r="W29" s="31"/>
      <c r="X29" s="31"/>
      <c r="Y29" s="31"/>
      <c r="Z29" s="31"/>
      <c r="AA29" s="31"/>
      <c r="AB29" s="31"/>
      <c r="AC29" s="31"/>
      <c r="AD29" s="31"/>
      <c r="AE29" s="31"/>
      <c r="AF29" s="31"/>
      <c r="AG29" s="31"/>
    </row>
    <row r="30" spans="1:33" ht="14.25" customHeight="1">
      <c r="I30" s="22"/>
    </row>
    <row r="31" spans="1:33" ht="14.25" customHeight="1">
      <c r="A31" s="33" t="s">
        <v>35</v>
      </c>
      <c r="B31" s="33">
        <f>CF!B8/SOFP!B5</f>
        <v>6.7415486601371213E-2</v>
      </c>
      <c r="C31" s="33">
        <f>CF!C8/SOFP!C5</f>
        <v>6.4160854896064476E-2</v>
      </c>
      <c r="D31" s="33">
        <f>CF!D8/SOFP!D5</f>
        <v>6.9907164661500099E-2</v>
      </c>
      <c r="E31" s="33">
        <f>CF!E8/SOFP!E5</f>
        <v>7.4509277474040875E-2</v>
      </c>
      <c r="F31" s="33">
        <f>CF!F8/SOFP!F5</f>
        <v>7.8128968683037217E-2</v>
      </c>
      <c r="G31" s="33">
        <f>CF!G8/SOFP!G5</f>
        <v>8.6868488129093882E-2</v>
      </c>
      <c r="H31" s="33">
        <f>CF!H8/SOFP!H5</f>
        <v>9.5147209846446382E-2</v>
      </c>
      <c r="I31" s="32">
        <f t="shared" ref="I31:M31" si="9">H31</f>
        <v>9.5147209846446382E-2</v>
      </c>
      <c r="J31" s="33">
        <f t="shared" si="9"/>
        <v>9.5147209846446382E-2</v>
      </c>
      <c r="K31" s="33">
        <f t="shared" si="9"/>
        <v>9.5147209846446382E-2</v>
      </c>
      <c r="L31" s="33">
        <f t="shared" si="9"/>
        <v>9.5147209846446382E-2</v>
      </c>
      <c r="M31" s="33">
        <f t="shared" si="9"/>
        <v>9.5147209846446382E-2</v>
      </c>
      <c r="N31" s="41"/>
      <c r="O31" s="41"/>
      <c r="P31" s="41"/>
      <c r="Q31" s="41"/>
      <c r="R31" s="41"/>
      <c r="S31" s="41"/>
      <c r="T31" s="41"/>
      <c r="U31" s="41"/>
      <c r="V31" s="41"/>
      <c r="W31" s="41"/>
      <c r="X31" s="41"/>
      <c r="Y31" s="41"/>
      <c r="Z31" s="41"/>
      <c r="AA31" s="41"/>
      <c r="AB31" s="41"/>
      <c r="AC31" s="41"/>
      <c r="AD31" s="41"/>
      <c r="AE31" s="41"/>
      <c r="AF31" s="41"/>
      <c r="AG31" s="41"/>
    </row>
    <row r="32" spans="1:33" ht="14.25" customHeight="1">
      <c r="A32" s="33" t="s">
        <v>36</v>
      </c>
      <c r="B32" s="33">
        <v>0.2</v>
      </c>
      <c r="C32" s="33">
        <v>0.2</v>
      </c>
      <c r="D32" s="33">
        <v>0.2</v>
      </c>
      <c r="E32" s="33">
        <v>0.2</v>
      </c>
      <c r="F32" s="33">
        <v>0.2</v>
      </c>
      <c r="G32" s="33">
        <v>0.2</v>
      </c>
      <c r="H32" s="33">
        <v>0.2</v>
      </c>
      <c r="I32" s="32">
        <v>0.2</v>
      </c>
      <c r="J32" s="33">
        <v>0.2</v>
      </c>
      <c r="K32" s="33">
        <v>0.2</v>
      </c>
      <c r="L32" s="33">
        <v>0.2</v>
      </c>
      <c r="M32" s="33">
        <v>0.2</v>
      </c>
      <c r="N32" s="41"/>
      <c r="O32" s="41"/>
      <c r="P32" s="41"/>
      <c r="Q32" s="41"/>
      <c r="R32" s="41"/>
      <c r="S32" s="41"/>
      <c r="T32" s="41"/>
      <c r="U32" s="41"/>
      <c r="V32" s="41"/>
      <c r="W32" s="41"/>
      <c r="X32" s="41"/>
      <c r="Y32" s="41"/>
      <c r="Z32" s="41"/>
      <c r="AA32" s="41"/>
      <c r="AB32" s="41"/>
      <c r="AC32" s="41"/>
      <c r="AD32" s="41"/>
      <c r="AE32" s="41"/>
      <c r="AF32" s="41"/>
      <c r="AG32" s="41"/>
    </row>
    <row r="33" spans="1:33" ht="14.25" customHeight="1">
      <c r="A33" s="33" t="s">
        <v>37</v>
      </c>
      <c r="B33" s="33"/>
      <c r="C33" s="33">
        <f>CF!C6/SOFP!C9</f>
        <v>0.22709007573392914</v>
      </c>
      <c r="D33" s="33">
        <f>CF!D6/SOFP!D9</f>
        <v>0.32529092741345356</v>
      </c>
      <c r="E33" s="33">
        <f>CF!E6/SOFP!E9</f>
        <v>0.3384584211770495</v>
      </c>
      <c r="F33" s="33">
        <f>CF!F6/SOFP!F9</f>
        <v>0.31325048702767844</v>
      </c>
      <c r="G33" s="33">
        <f>CF!G6/SOFP!G9</f>
        <v>0.28359281864900948</v>
      </c>
      <c r="H33" s="33">
        <f>CF!H6/SOFP!H9</f>
        <v>7.4148719270699076E-2</v>
      </c>
      <c r="I33" s="32">
        <f>AVERAGE(F33:H33)</f>
        <v>0.22366400831579569</v>
      </c>
      <c r="J33" s="33">
        <f t="shared" ref="J33:M33" si="10">I33</f>
        <v>0.22366400831579569</v>
      </c>
      <c r="K33" s="33">
        <f t="shared" si="10"/>
        <v>0.22366400831579569</v>
      </c>
      <c r="L33" s="33">
        <f t="shared" si="10"/>
        <v>0.22366400831579569</v>
      </c>
      <c r="M33" s="33">
        <f t="shared" si="10"/>
        <v>0.22366400831579569</v>
      </c>
      <c r="N33" s="41"/>
      <c r="O33" s="41"/>
      <c r="P33" s="41"/>
      <c r="Q33" s="41"/>
      <c r="R33" s="41"/>
      <c r="S33" s="41"/>
      <c r="T33" s="41"/>
      <c r="U33" s="41"/>
      <c r="V33" s="41"/>
      <c r="W33" s="41"/>
      <c r="X33" s="41"/>
      <c r="Y33" s="41"/>
      <c r="Z33" s="41"/>
      <c r="AA33" s="41"/>
      <c r="AB33" s="41"/>
      <c r="AC33" s="41"/>
      <c r="AD33" s="41"/>
      <c r="AE33" s="41"/>
      <c r="AF33" s="41"/>
      <c r="AG33" s="41"/>
    </row>
    <row r="34" spans="1:33" ht="14.25" customHeight="1">
      <c r="A34" s="40"/>
      <c r="B34" s="40"/>
      <c r="C34" s="40"/>
      <c r="D34" s="40"/>
      <c r="E34" s="40"/>
      <c r="F34" s="40"/>
      <c r="G34" s="40"/>
      <c r="H34" s="40"/>
      <c r="I34" s="42"/>
      <c r="J34" s="40"/>
      <c r="K34" s="40"/>
      <c r="L34" s="40"/>
      <c r="M34" s="40"/>
      <c r="N34" s="43"/>
      <c r="O34" s="43"/>
      <c r="P34" s="43"/>
      <c r="Q34" s="43"/>
      <c r="R34" s="43"/>
      <c r="S34" s="43"/>
      <c r="T34" s="43"/>
      <c r="U34" s="43"/>
      <c r="V34" s="43"/>
      <c r="W34" s="43"/>
      <c r="X34" s="43"/>
      <c r="Y34" s="43"/>
      <c r="Z34" s="43"/>
      <c r="AA34" s="43"/>
      <c r="AB34" s="43"/>
      <c r="AC34" s="43"/>
      <c r="AD34" s="43"/>
      <c r="AE34" s="43"/>
      <c r="AF34" s="43"/>
      <c r="AG34" s="43"/>
    </row>
    <row r="35" spans="1:33" ht="14.25" customHeight="1">
      <c r="A35" s="10" t="s">
        <v>38</v>
      </c>
      <c r="I35" s="44">
        <v>2.5000000000000001E-2</v>
      </c>
      <c r="J35" s="45">
        <v>2.5000000000000001E-2</v>
      </c>
      <c r="K35" s="45">
        <v>2.5000000000000001E-2</v>
      </c>
      <c r="L35" s="45">
        <v>2.5000000000000001E-2</v>
      </c>
      <c r="M35" s="45">
        <v>2.5000000000000001E-2</v>
      </c>
    </row>
    <row r="36" spans="1:33" ht="14.25" customHeight="1">
      <c r="A36" s="10" t="s">
        <v>39</v>
      </c>
      <c r="B36" s="31">
        <f>CapEx!B13/IS!B3</f>
        <v>1.1128116452137102E-3</v>
      </c>
      <c r="C36" s="31">
        <f>CapEx!C13/IS!C3</f>
        <v>1.1675216605644729E-4</v>
      </c>
      <c r="D36" s="31">
        <f>CapEx!D13/IS!D3</f>
        <v>5.3146091915536714E-4</v>
      </c>
      <c r="E36" s="31">
        <f>CapEx!E13/IS!E3</f>
        <v>1.238473493810622E-4</v>
      </c>
      <c r="F36" s="31">
        <f>CapEx!F13/IS!F3</f>
        <v>8.0618105565917329E-5</v>
      </c>
      <c r="G36" s="31">
        <f>CapEx!G13/IS!G3</f>
        <v>3.6828286039156344E-4</v>
      </c>
      <c r="H36" s="31">
        <f>CapEx!H13/IS!H3</f>
        <v>2.0887256628408514E-4</v>
      </c>
      <c r="I36" s="37">
        <v>5.0000000000000001E-4</v>
      </c>
      <c r="J36" s="31">
        <f t="shared" ref="J36:M36" si="11">I36</f>
        <v>5.0000000000000001E-4</v>
      </c>
      <c r="K36" s="31">
        <f t="shared" si="11"/>
        <v>5.0000000000000001E-4</v>
      </c>
      <c r="L36" s="31">
        <f t="shared" si="11"/>
        <v>5.0000000000000001E-4</v>
      </c>
      <c r="M36" s="31">
        <f t="shared" si="11"/>
        <v>5.0000000000000001E-4</v>
      </c>
    </row>
    <row r="37" spans="1:33" ht="14.25" customHeight="1">
      <c r="A37" s="10" t="s">
        <v>40</v>
      </c>
      <c r="B37" s="31">
        <f>CapEx!B21/IS!B3</f>
        <v>0</v>
      </c>
      <c r="C37" s="31">
        <f>CapEx!C21/IS!C3</f>
        <v>4.7797881641059182E-3</v>
      </c>
      <c r="D37" s="31">
        <f>CapEx!D21/IS!D3</f>
        <v>9.7293148926269547E-4</v>
      </c>
      <c r="E37" s="31">
        <f>CapEx!E21/IS!E3</f>
        <v>6.7856123825426554E-4</v>
      </c>
      <c r="F37" s="31">
        <f>CapEx!F21/IS!F3</f>
        <v>7.8447657784590523E-4</v>
      </c>
      <c r="G37" s="31">
        <f>CapEx!G21/IS!G3</f>
        <v>8.2131491329378551E-4</v>
      </c>
      <c r="H37" s="31">
        <f>CapEx!H21/IS!H3</f>
        <v>4.7905276590777898E-4</v>
      </c>
      <c r="I37" s="37">
        <f t="shared" ref="I37:M37" si="12">H37</f>
        <v>4.7905276590777898E-4</v>
      </c>
      <c r="J37" s="31">
        <f t="shared" si="12"/>
        <v>4.7905276590777898E-4</v>
      </c>
      <c r="K37" s="31">
        <f t="shared" si="12"/>
        <v>4.7905276590777898E-4</v>
      </c>
      <c r="L37" s="31">
        <f t="shared" si="12"/>
        <v>4.7905276590777898E-4</v>
      </c>
      <c r="M37" s="31">
        <f t="shared" si="12"/>
        <v>4.7905276590777898E-4</v>
      </c>
    </row>
    <row r="38" spans="1:33" ht="14.25" customHeight="1">
      <c r="I38" s="22"/>
    </row>
    <row r="39" spans="1:33" ht="14.25" customHeight="1">
      <c r="I39" s="22"/>
    </row>
    <row r="40" spans="1:33" ht="14.25" customHeight="1">
      <c r="I40" s="22"/>
    </row>
    <row r="41" spans="1:33" ht="14.25" customHeight="1">
      <c r="I41" s="22"/>
    </row>
    <row r="42" spans="1:33" ht="14.25" customHeight="1">
      <c r="I42" s="22"/>
    </row>
    <row r="43" spans="1:33" ht="14.25" customHeight="1">
      <c r="I43" s="22"/>
    </row>
    <row r="44" spans="1:33" ht="14.25" customHeight="1">
      <c r="I44" s="22"/>
    </row>
    <row r="45" spans="1:33" ht="14.25" customHeight="1">
      <c r="I45" s="22"/>
    </row>
    <row r="46" spans="1:33" ht="14.25" customHeight="1">
      <c r="I46" s="22"/>
    </row>
    <row r="47" spans="1:33" ht="14.25" customHeight="1">
      <c r="I47" s="22"/>
    </row>
    <row r="48" spans="1:33" ht="14.25" customHeight="1">
      <c r="I48" s="22"/>
    </row>
    <row r="49" spans="9:9" ht="14.25" customHeight="1">
      <c r="I49" s="22"/>
    </row>
    <row r="50" spans="9:9" ht="14.25" customHeight="1">
      <c r="I50" s="22"/>
    </row>
    <row r="51" spans="9:9" ht="14.25" customHeight="1">
      <c r="I51" s="22"/>
    </row>
    <row r="52" spans="9:9" ht="14.25" customHeight="1">
      <c r="I52" s="22"/>
    </row>
    <row r="53" spans="9:9" ht="14.25" customHeight="1">
      <c r="I53" s="22"/>
    </row>
    <row r="54" spans="9:9" ht="14.25" customHeight="1">
      <c r="I54" s="22"/>
    </row>
    <row r="55" spans="9:9" ht="14.25" customHeight="1">
      <c r="I55" s="22"/>
    </row>
    <row r="56" spans="9:9" ht="14.25" customHeight="1">
      <c r="I56" s="22"/>
    </row>
    <row r="57" spans="9:9" ht="14.25" customHeight="1">
      <c r="I57" s="22"/>
    </row>
    <row r="58" spans="9:9" ht="14.25" customHeight="1">
      <c r="I58" s="22"/>
    </row>
    <row r="59" spans="9:9" ht="14.25" customHeight="1">
      <c r="I59" s="22"/>
    </row>
    <row r="60" spans="9:9" ht="14.25" customHeight="1">
      <c r="I60" s="22"/>
    </row>
    <row r="61" spans="9:9" ht="14.25" customHeight="1">
      <c r="I61" s="22"/>
    </row>
    <row r="62" spans="9:9" ht="14.25" customHeight="1">
      <c r="I62" s="22"/>
    </row>
    <row r="63" spans="9:9" ht="14.25" customHeight="1">
      <c r="I63" s="22"/>
    </row>
    <row r="64" spans="9:9" ht="14.25" customHeight="1">
      <c r="I64" s="22"/>
    </row>
    <row r="65" spans="9:9" ht="14.25" customHeight="1">
      <c r="I65" s="22"/>
    </row>
    <row r="66" spans="9:9" ht="14.25" customHeight="1">
      <c r="I66" s="22"/>
    </row>
    <row r="67" spans="9:9" ht="14.25" customHeight="1">
      <c r="I67" s="22"/>
    </row>
    <row r="68" spans="9:9" ht="14.25" customHeight="1">
      <c r="I68" s="22"/>
    </row>
    <row r="69" spans="9:9" ht="14.25" customHeight="1">
      <c r="I69" s="22"/>
    </row>
    <row r="70" spans="9:9" ht="14.25" customHeight="1">
      <c r="I70" s="22"/>
    </row>
    <row r="71" spans="9:9" ht="14.25" customHeight="1">
      <c r="I71" s="22"/>
    </row>
    <row r="72" spans="9:9" ht="14.25" customHeight="1">
      <c r="I72" s="22"/>
    </row>
    <row r="73" spans="9:9" ht="14.25" customHeight="1">
      <c r="I73" s="22"/>
    </row>
    <row r="74" spans="9:9" ht="14.25" customHeight="1">
      <c r="I74" s="22"/>
    </row>
    <row r="75" spans="9:9" ht="14.25" customHeight="1">
      <c r="I75" s="22"/>
    </row>
    <row r="76" spans="9:9" ht="14.25" customHeight="1">
      <c r="I76" s="22"/>
    </row>
    <row r="77" spans="9:9" ht="14.25" customHeight="1">
      <c r="I77" s="22"/>
    </row>
    <row r="78" spans="9:9" ht="14.25" customHeight="1">
      <c r="I78" s="22"/>
    </row>
    <row r="79" spans="9:9" ht="14.25" customHeight="1">
      <c r="I79" s="22"/>
    </row>
    <row r="80" spans="9:9" ht="14.25" customHeight="1">
      <c r="I80" s="22"/>
    </row>
    <row r="81" spans="9:9" ht="14.25" customHeight="1">
      <c r="I81" s="22"/>
    </row>
    <row r="82" spans="9:9" ht="14.25" customHeight="1">
      <c r="I82" s="22"/>
    </row>
    <row r="83" spans="9:9" ht="14.25" customHeight="1">
      <c r="I83" s="22"/>
    </row>
    <row r="84" spans="9:9" ht="14.25" customHeight="1">
      <c r="I84" s="22"/>
    </row>
    <row r="85" spans="9:9" ht="14.25" customHeight="1">
      <c r="I85" s="22"/>
    </row>
    <row r="86" spans="9:9" ht="14.25" customHeight="1">
      <c r="I86" s="22"/>
    </row>
    <row r="87" spans="9:9" ht="14.25" customHeight="1">
      <c r="I87" s="22"/>
    </row>
    <row r="88" spans="9:9" ht="14.25" customHeight="1">
      <c r="I88" s="22"/>
    </row>
    <row r="89" spans="9:9" ht="14.25" customHeight="1">
      <c r="I89" s="22"/>
    </row>
    <row r="90" spans="9:9" ht="14.25" customHeight="1">
      <c r="I90" s="22"/>
    </row>
    <row r="91" spans="9:9" ht="14.25" customHeight="1">
      <c r="I91" s="22"/>
    </row>
    <row r="92" spans="9:9" ht="14.25" customHeight="1">
      <c r="I92" s="22"/>
    </row>
    <row r="93" spans="9:9" ht="14.25" customHeight="1">
      <c r="I93" s="22"/>
    </row>
    <row r="94" spans="9:9" ht="14.25" customHeight="1">
      <c r="I94" s="22"/>
    </row>
    <row r="95" spans="9:9" ht="14.25" customHeight="1">
      <c r="I95" s="22"/>
    </row>
    <row r="96" spans="9:9" ht="14.25" customHeight="1">
      <c r="I96" s="22"/>
    </row>
    <row r="97" spans="9:9" ht="14.25" customHeight="1">
      <c r="I97" s="22"/>
    </row>
    <row r="98" spans="9:9" ht="14.25" customHeight="1">
      <c r="I98" s="22"/>
    </row>
    <row r="99" spans="9:9" ht="14.25" customHeight="1">
      <c r="I99" s="22"/>
    </row>
    <row r="100" spans="9:9" ht="14.25" customHeight="1">
      <c r="I100" s="22"/>
    </row>
    <row r="101" spans="9:9" ht="14.25" customHeight="1">
      <c r="I101" s="22"/>
    </row>
    <row r="102" spans="9:9" ht="14.25" customHeight="1">
      <c r="I102" s="22"/>
    </row>
    <row r="103" spans="9:9" ht="14.25" customHeight="1">
      <c r="I103" s="22"/>
    </row>
    <row r="104" spans="9:9" ht="14.25" customHeight="1">
      <c r="I104" s="22"/>
    </row>
    <row r="105" spans="9:9" ht="14.25" customHeight="1">
      <c r="I105" s="22"/>
    </row>
    <row r="106" spans="9:9" ht="14.25" customHeight="1">
      <c r="I106" s="22"/>
    </row>
    <row r="107" spans="9:9" ht="14.25" customHeight="1">
      <c r="I107" s="22"/>
    </row>
    <row r="108" spans="9:9" ht="14.25" customHeight="1">
      <c r="I108" s="22"/>
    </row>
    <row r="109" spans="9:9" ht="14.25" customHeight="1">
      <c r="I109" s="22"/>
    </row>
    <row r="110" spans="9:9" ht="14.25" customHeight="1">
      <c r="I110" s="22"/>
    </row>
    <row r="111" spans="9:9" ht="14.25" customHeight="1">
      <c r="I111" s="22"/>
    </row>
    <row r="112" spans="9:9" ht="14.25" customHeight="1">
      <c r="I112" s="22"/>
    </row>
    <row r="113" spans="9:9" ht="14.25" customHeight="1">
      <c r="I113" s="22"/>
    </row>
    <row r="114" spans="9:9" ht="14.25" customHeight="1">
      <c r="I114" s="22"/>
    </row>
    <row r="115" spans="9:9" ht="14.25" customHeight="1">
      <c r="I115" s="22"/>
    </row>
    <row r="116" spans="9:9" ht="14.25" customHeight="1">
      <c r="I116" s="22"/>
    </row>
    <row r="117" spans="9:9" ht="14.25" customHeight="1">
      <c r="I117" s="22"/>
    </row>
    <row r="118" spans="9:9" ht="14.25" customHeight="1">
      <c r="I118" s="22"/>
    </row>
    <row r="119" spans="9:9" ht="14.25" customHeight="1">
      <c r="I119" s="22"/>
    </row>
    <row r="120" spans="9:9" ht="14.25" customHeight="1">
      <c r="I120" s="22"/>
    </row>
    <row r="121" spans="9:9" ht="14.25" customHeight="1">
      <c r="I121" s="22"/>
    </row>
    <row r="122" spans="9:9" ht="14.25" customHeight="1">
      <c r="I122" s="22"/>
    </row>
    <row r="123" spans="9:9" ht="14.25" customHeight="1">
      <c r="I123" s="22"/>
    </row>
    <row r="124" spans="9:9" ht="14.25" customHeight="1">
      <c r="I124" s="22"/>
    </row>
    <row r="125" spans="9:9" ht="14.25" customHeight="1">
      <c r="I125" s="22"/>
    </row>
    <row r="126" spans="9:9" ht="14.25" customHeight="1">
      <c r="I126" s="22"/>
    </row>
    <row r="127" spans="9:9" ht="14.25" customHeight="1">
      <c r="I127" s="22"/>
    </row>
    <row r="128" spans="9:9" ht="14.25" customHeight="1">
      <c r="I128" s="22"/>
    </row>
    <row r="129" spans="9:9" ht="14.25" customHeight="1">
      <c r="I129" s="22"/>
    </row>
    <row r="130" spans="9:9" ht="14.25" customHeight="1">
      <c r="I130" s="22"/>
    </row>
    <row r="131" spans="9:9" ht="14.25" customHeight="1">
      <c r="I131" s="22"/>
    </row>
    <row r="132" spans="9:9" ht="14.25" customHeight="1">
      <c r="I132" s="22"/>
    </row>
    <row r="133" spans="9:9" ht="14.25" customHeight="1">
      <c r="I133" s="22"/>
    </row>
    <row r="134" spans="9:9" ht="14.25" customHeight="1">
      <c r="I134" s="22"/>
    </row>
    <row r="135" spans="9:9" ht="14.25" customHeight="1">
      <c r="I135" s="22"/>
    </row>
    <row r="136" spans="9:9" ht="14.25" customHeight="1">
      <c r="I136" s="22"/>
    </row>
    <row r="137" spans="9:9" ht="14.25" customHeight="1">
      <c r="I137" s="22"/>
    </row>
    <row r="138" spans="9:9" ht="14.25" customHeight="1">
      <c r="I138" s="22"/>
    </row>
    <row r="139" spans="9:9" ht="14.25" customHeight="1">
      <c r="I139" s="22"/>
    </row>
    <row r="140" spans="9:9" ht="14.25" customHeight="1">
      <c r="I140" s="22"/>
    </row>
    <row r="141" spans="9:9" ht="14.25" customHeight="1">
      <c r="I141" s="22"/>
    </row>
    <row r="142" spans="9:9" ht="14.25" customHeight="1">
      <c r="I142" s="22"/>
    </row>
    <row r="143" spans="9:9" ht="14.25" customHeight="1">
      <c r="I143" s="22"/>
    </row>
    <row r="144" spans="9:9" ht="14.25" customHeight="1">
      <c r="I144" s="22"/>
    </row>
    <row r="145" spans="9:9" ht="14.25" customHeight="1">
      <c r="I145" s="22"/>
    </row>
    <row r="146" spans="9:9" ht="14.25" customHeight="1">
      <c r="I146" s="22"/>
    </row>
    <row r="147" spans="9:9" ht="14.25" customHeight="1">
      <c r="I147" s="22"/>
    </row>
    <row r="148" spans="9:9" ht="14.25" customHeight="1">
      <c r="I148" s="22"/>
    </row>
    <row r="149" spans="9:9" ht="14.25" customHeight="1">
      <c r="I149" s="22"/>
    </row>
    <row r="150" spans="9:9" ht="14.25" customHeight="1">
      <c r="I150" s="22"/>
    </row>
    <row r="151" spans="9:9" ht="14.25" customHeight="1">
      <c r="I151" s="22"/>
    </row>
    <row r="152" spans="9:9" ht="14.25" customHeight="1">
      <c r="I152" s="22"/>
    </row>
    <row r="153" spans="9:9" ht="14.25" customHeight="1">
      <c r="I153" s="22"/>
    </row>
    <row r="154" spans="9:9" ht="14.25" customHeight="1">
      <c r="I154" s="22"/>
    </row>
    <row r="155" spans="9:9" ht="14.25" customHeight="1">
      <c r="I155" s="22"/>
    </row>
    <row r="156" spans="9:9" ht="14.25" customHeight="1">
      <c r="I156" s="22"/>
    </row>
    <row r="157" spans="9:9" ht="14.25" customHeight="1">
      <c r="I157" s="22"/>
    </row>
    <row r="158" spans="9:9" ht="14.25" customHeight="1">
      <c r="I158" s="22"/>
    </row>
    <row r="159" spans="9:9" ht="14.25" customHeight="1">
      <c r="I159" s="22"/>
    </row>
    <row r="160" spans="9:9" ht="14.25" customHeight="1">
      <c r="I160" s="22"/>
    </row>
    <row r="161" spans="9:9" ht="14.25" customHeight="1">
      <c r="I161" s="22"/>
    </row>
    <row r="162" spans="9:9" ht="14.25" customHeight="1">
      <c r="I162" s="22"/>
    </row>
    <row r="163" spans="9:9" ht="14.25" customHeight="1">
      <c r="I163" s="22"/>
    </row>
    <row r="164" spans="9:9" ht="14.25" customHeight="1">
      <c r="I164" s="22"/>
    </row>
    <row r="165" spans="9:9" ht="14.25" customHeight="1">
      <c r="I165" s="22"/>
    </row>
    <row r="166" spans="9:9" ht="14.25" customHeight="1">
      <c r="I166" s="22"/>
    </row>
    <row r="167" spans="9:9" ht="14.25" customHeight="1">
      <c r="I167" s="22"/>
    </row>
    <row r="168" spans="9:9" ht="14.25" customHeight="1">
      <c r="I168" s="22"/>
    </row>
    <row r="169" spans="9:9" ht="14.25" customHeight="1">
      <c r="I169" s="22"/>
    </row>
    <row r="170" spans="9:9" ht="14.25" customHeight="1">
      <c r="I170" s="22"/>
    </row>
    <row r="171" spans="9:9" ht="14.25" customHeight="1">
      <c r="I171" s="22"/>
    </row>
    <row r="172" spans="9:9" ht="14.25" customHeight="1">
      <c r="I172" s="22"/>
    </row>
    <row r="173" spans="9:9" ht="14.25" customHeight="1">
      <c r="I173" s="22"/>
    </row>
    <row r="174" spans="9:9" ht="14.25" customHeight="1">
      <c r="I174" s="22"/>
    </row>
    <row r="175" spans="9:9" ht="14.25" customHeight="1">
      <c r="I175" s="22"/>
    </row>
    <row r="176" spans="9:9" ht="14.25" customHeight="1">
      <c r="I176" s="22"/>
    </row>
    <row r="177" spans="9:9" ht="14.25" customHeight="1">
      <c r="I177" s="22"/>
    </row>
    <row r="178" spans="9:9" ht="14.25" customHeight="1">
      <c r="I178" s="22"/>
    </row>
    <row r="179" spans="9:9" ht="14.25" customHeight="1">
      <c r="I179" s="22"/>
    </row>
    <row r="180" spans="9:9" ht="14.25" customHeight="1">
      <c r="I180" s="22"/>
    </row>
    <row r="181" spans="9:9" ht="14.25" customHeight="1">
      <c r="I181" s="22"/>
    </row>
    <row r="182" spans="9:9" ht="14.25" customHeight="1">
      <c r="I182" s="22"/>
    </row>
    <row r="183" spans="9:9" ht="14.25" customHeight="1">
      <c r="I183" s="22"/>
    </row>
    <row r="184" spans="9:9" ht="14.25" customHeight="1">
      <c r="I184" s="22"/>
    </row>
    <row r="185" spans="9:9" ht="14.25" customHeight="1">
      <c r="I185" s="22"/>
    </row>
    <row r="186" spans="9:9" ht="14.25" customHeight="1">
      <c r="I186" s="22"/>
    </row>
    <row r="187" spans="9:9" ht="14.25" customHeight="1">
      <c r="I187" s="22"/>
    </row>
    <row r="188" spans="9:9" ht="14.25" customHeight="1">
      <c r="I188" s="22"/>
    </row>
    <row r="189" spans="9:9" ht="14.25" customHeight="1">
      <c r="I189" s="22"/>
    </row>
    <row r="190" spans="9:9" ht="14.25" customHeight="1">
      <c r="I190" s="22"/>
    </row>
    <row r="191" spans="9:9" ht="14.25" customHeight="1">
      <c r="I191" s="22"/>
    </row>
    <row r="192" spans="9:9" ht="14.25" customHeight="1">
      <c r="I192" s="22"/>
    </row>
    <row r="193" spans="9:9" ht="14.25" customHeight="1">
      <c r="I193" s="22"/>
    </row>
    <row r="194" spans="9:9" ht="14.25" customHeight="1">
      <c r="I194" s="22"/>
    </row>
    <row r="195" spans="9:9" ht="14.25" customHeight="1">
      <c r="I195" s="22"/>
    </row>
    <row r="196" spans="9:9" ht="14.25" customHeight="1">
      <c r="I196" s="22"/>
    </row>
    <row r="197" spans="9:9" ht="14.25" customHeight="1">
      <c r="I197" s="22"/>
    </row>
    <row r="198" spans="9:9" ht="14.25" customHeight="1">
      <c r="I198" s="22"/>
    </row>
    <row r="199" spans="9:9" ht="14.25" customHeight="1">
      <c r="I199" s="22"/>
    </row>
    <row r="200" spans="9:9" ht="14.25" customHeight="1">
      <c r="I200" s="22"/>
    </row>
    <row r="201" spans="9:9" ht="14.25" customHeight="1">
      <c r="I201" s="22"/>
    </row>
    <row r="202" spans="9:9" ht="14.25" customHeight="1">
      <c r="I202" s="22"/>
    </row>
    <row r="203" spans="9:9" ht="14.25" customHeight="1">
      <c r="I203" s="22"/>
    </row>
    <row r="204" spans="9:9" ht="14.25" customHeight="1">
      <c r="I204" s="22"/>
    </row>
    <row r="205" spans="9:9" ht="14.25" customHeight="1">
      <c r="I205" s="22"/>
    </row>
    <row r="206" spans="9:9" ht="14.25" customHeight="1">
      <c r="I206" s="22"/>
    </row>
    <row r="207" spans="9:9" ht="14.25" customHeight="1">
      <c r="I207" s="22"/>
    </row>
    <row r="208" spans="9:9" ht="14.25" customHeight="1">
      <c r="I208" s="22"/>
    </row>
    <row r="209" spans="9:9" ht="14.25" customHeight="1">
      <c r="I209" s="22"/>
    </row>
    <row r="210" spans="9:9" ht="14.25" customHeight="1">
      <c r="I210" s="22"/>
    </row>
    <row r="211" spans="9:9" ht="14.25" customHeight="1">
      <c r="I211" s="22"/>
    </row>
    <row r="212" spans="9:9" ht="14.25" customHeight="1">
      <c r="I212" s="22"/>
    </row>
    <row r="213" spans="9:9" ht="14.25" customHeight="1">
      <c r="I213" s="22"/>
    </row>
    <row r="214" spans="9:9" ht="14.25" customHeight="1">
      <c r="I214" s="22"/>
    </row>
    <row r="215" spans="9:9" ht="14.25" customHeight="1">
      <c r="I215" s="22"/>
    </row>
    <row r="216" spans="9:9" ht="14.25" customHeight="1">
      <c r="I216" s="22"/>
    </row>
    <row r="217" spans="9:9" ht="14.25" customHeight="1">
      <c r="I217" s="22"/>
    </row>
    <row r="218" spans="9:9" ht="14.25" customHeight="1">
      <c r="I218" s="22"/>
    </row>
    <row r="219" spans="9:9" ht="14.25" customHeight="1">
      <c r="I219" s="22"/>
    </row>
    <row r="220" spans="9:9" ht="14.25" customHeight="1">
      <c r="I220" s="22"/>
    </row>
    <row r="221" spans="9:9" ht="14.25" customHeight="1">
      <c r="I221" s="22"/>
    </row>
    <row r="222" spans="9:9" ht="14.25" customHeight="1">
      <c r="I222" s="22"/>
    </row>
    <row r="223" spans="9:9" ht="14.25" customHeight="1">
      <c r="I223" s="22"/>
    </row>
    <row r="224" spans="9:9" ht="14.25" customHeight="1">
      <c r="I224" s="22"/>
    </row>
    <row r="225" spans="9:9" ht="14.25" customHeight="1">
      <c r="I225" s="22"/>
    </row>
    <row r="226" spans="9:9" ht="14.25" customHeight="1">
      <c r="I226" s="22"/>
    </row>
    <row r="227" spans="9:9" ht="14.25" customHeight="1">
      <c r="I227" s="22"/>
    </row>
    <row r="228" spans="9:9" ht="14.25" customHeight="1">
      <c r="I228" s="22"/>
    </row>
    <row r="229" spans="9:9" ht="14.25" customHeight="1">
      <c r="I229" s="22"/>
    </row>
    <row r="230" spans="9:9" ht="14.25" customHeight="1">
      <c r="I230" s="22"/>
    </row>
    <row r="231" spans="9:9" ht="14.25" customHeight="1">
      <c r="I231" s="22"/>
    </row>
    <row r="232" spans="9:9" ht="14.25" customHeight="1">
      <c r="I232" s="22"/>
    </row>
    <row r="233" spans="9:9" ht="14.25" customHeight="1">
      <c r="I233" s="22"/>
    </row>
    <row r="234" spans="9:9" ht="14.25" customHeight="1">
      <c r="I234" s="22"/>
    </row>
    <row r="235" spans="9:9" ht="14.25" customHeight="1">
      <c r="I235" s="22"/>
    </row>
    <row r="236" spans="9:9" ht="14.25" customHeight="1">
      <c r="I236" s="22"/>
    </row>
    <row r="237" spans="9:9" ht="14.25" customHeight="1">
      <c r="I237" s="22"/>
    </row>
    <row r="238" spans="9:9" ht="14.25" customHeight="1">
      <c r="I238" s="22"/>
    </row>
    <row r="239" spans="9:9" ht="14.25" customHeight="1">
      <c r="I239" s="22"/>
    </row>
    <row r="240" spans="9:9" ht="14.25" customHeight="1">
      <c r="I240" s="22"/>
    </row>
    <row r="241" spans="9:9" ht="14.25" customHeight="1">
      <c r="I241" s="22"/>
    </row>
    <row r="242" spans="9:9" ht="14.25" customHeight="1">
      <c r="I242" s="22"/>
    </row>
    <row r="243" spans="9:9" ht="14.25" customHeight="1">
      <c r="I243" s="22"/>
    </row>
    <row r="244" spans="9:9" ht="14.25" customHeight="1">
      <c r="I244" s="22"/>
    </row>
    <row r="245" spans="9:9" ht="14.25" customHeight="1">
      <c r="I245" s="22"/>
    </row>
    <row r="246" spans="9:9" ht="14.25" customHeight="1">
      <c r="I246" s="22"/>
    </row>
    <row r="247" spans="9:9" ht="14.25" customHeight="1">
      <c r="I247" s="22"/>
    </row>
    <row r="248" spans="9:9" ht="14.25" customHeight="1">
      <c r="I248" s="22"/>
    </row>
    <row r="249" spans="9:9" ht="14.25" customHeight="1">
      <c r="I249" s="22"/>
    </row>
    <row r="250" spans="9:9" ht="14.25" customHeight="1">
      <c r="I250" s="22"/>
    </row>
    <row r="251" spans="9:9" ht="14.25" customHeight="1">
      <c r="I251" s="22"/>
    </row>
    <row r="252" spans="9:9" ht="14.25" customHeight="1">
      <c r="I252" s="22"/>
    </row>
    <row r="253" spans="9:9" ht="14.25" customHeight="1">
      <c r="I253" s="22"/>
    </row>
    <row r="254" spans="9:9" ht="14.25" customHeight="1">
      <c r="I254" s="22"/>
    </row>
    <row r="255" spans="9:9" ht="14.25" customHeight="1">
      <c r="I255" s="22"/>
    </row>
    <row r="256" spans="9:9" ht="14.25" customHeight="1">
      <c r="I256" s="22"/>
    </row>
    <row r="257" spans="9:9" ht="14.25" customHeight="1">
      <c r="I257" s="22"/>
    </row>
    <row r="258" spans="9:9" ht="14.25" customHeight="1">
      <c r="I258" s="22"/>
    </row>
    <row r="259" spans="9:9" ht="14.25" customHeight="1">
      <c r="I259" s="22"/>
    </row>
    <row r="260" spans="9:9" ht="14.25" customHeight="1">
      <c r="I260" s="22"/>
    </row>
    <row r="261" spans="9:9" ht="14.25" customHeight="1">
      <c r="I261" s="22"/>
    </row>
    <row r="262" spans="9:9" ht="14.25" customHeight="1">
      <c r="I262" s="22"/>
    </row>
    <row r="263" spans="9:9" ht="14.25" customHeight="1">
      <c r="I263" s="22"/>
    </row>
    <row r="264" spans="9:9" ht="14.25" customHeight="1">
      <c r="I264" s="22"/>
    </row>
    <row r="265" spans="9:9" ht="14.25" customHeight="1">
      <c r="I265" s="22"/>
    </row>
    <row r="266" spans="9:9" ht="14.25" customHeight="1">
      <c r="I266" s="22"/>
    </row>
    <row r="267" spans="9:9" ht="14.25" customHeight="1">
      <c r="I267" s="22"/>
    </row>
    <row r="268" spans="9:9" ht="14.25" customHeight="1">
      <c r="I268" s="22"/>
    </row>
    <row r="269" spans="9:9" ht="14.25" customHeight="1">
      <c r="I269" s="22"/>
    </row>
    <row r="270" spans="9:9" ht="14.25" customHeight="1">
      <c r="I270" s="22"/>
    </row>
    <row r="271" spans="9:9" ht="14.25" customHeight="1">
      <c r="I271" s="22"/>
    </row>
    <row r="272" spans="9:9" ht="14.25" customHeight="1">
      <c r="I272" s="22"/>
    </row>
    <row r="273" spans="9:9" ht="14.25" customHeight="1">
      <c r="I273" s="22"/>
    </row>
    <row r="274" spans="9:9" ht="14.25" customHeight="1">
      <c r="I274" s="22"/>
    </row>
    <row r="275" spans="9:9" ht="14.25" customHeight="1">
      <c r="I275" s="22"/>
    </row>
    <row r="276" spans="9:9" ht="14.25" customHeight="1">
      <c r="I276" s="22"/>
    </row>
    <row r="277" spans="9:9" ht="14.25" customHeight="1">
      <c r="I277" s="22"/>
    </row>
    <row r="278" spans="9:9" ht="14.25" customHeight="1">
      <c r="I278" s="22"/>
    </row>
    <row r="279" spans="9:9" ht="14.25" customHeight="1">
      <c r="I279" s="22"/>
    </row>
    <row r="280" spans="9:9" ht="14.25" customHeight="1">
      <c r="I280" s="22"/>
    </row>
    <row r="281" spans="9:9" ht="14.25" customHeight="1">
      <c r="I281" s="22"/>
    </row>
    <row r="282" spans="9:9" ht="14.25" customHeight="1">
      <c r="I282" s="22"/>
    </row>
    <row r="283" spans="9:9" ht="14.25" customHeight="1">
      <c r="I283" s="22"/>
    </row>
    <row r="284" spans="9:9" ht="14.25" customHeight="1">
      <c r="I284" s="22"/>
    </row>
    <row r="285" spans="9:9" ht="14.25" customHeight="1">
      <c r="I285" s="22"/>
    </row>
    <row r="286" spans="9:9" ht="14.25" customHeight="1">
      <c r="I286" s="22"/>
    </row>
    <row r="287" spans="9:9" ht="14.25" customHeight="1">
      <c r="I287" s="22"/>
    </row>
    <row r="288" spans="9:9" ht="14.25" customHeight="1">
      <c r="I288" s="22"/>
    </row>
    <row r="289" spans="9:9" ht="14.25" customHeight="1">
      <c r="I289" s="22"/>
    </row>
    <row r="290" spans="9:9" ht="14.25" customHeight="1">
      <c r="I290" s="22"/>
    </row>
    <row r="291" spans="9:9" ht="14.25" customHeight="1">
      <c r="I291" s="22"/>
    </row>
    <row r="292" spans="9:9" ht="14.25" customHeight="1">
      <c r="I292" s="22"/>
    </row>
    <row r="293" spans="9:9" ht="14.25" customHeight="1">
      <c r="I293" s="22"/>
    </row>
    <row r="294" spans="9:9" ht="14.25" customHeight="1">
      <c r="I294" s="22"/>
    </row>
    <row r="295" spans="9:9" ht="14.25" customHeight="1">
      <c r="I295" s="22"/>
    </row>
    <row r="296" spans="9:9" ht="14.25" customHeight="1">
      <c r="I296" s="22"/>
    </row>
    <row r="297" spans="9:9" ht="14.25" customHeight="1">
      <c r="I297" s="22"/>
    </row>
    <row r="298" spans="9:9" ht="14.25" customHeight="1">
      <c r="I298" s="22"/>
    </row>
    <row r="299" spans="9:9" ht="14.25" customHeight="1">
      <c r="I299" s="22"/>
    </row>
    <row r="300" spans="9:9" ht="14.25" customHeight="1">
      <c r="I300" s="22"/>
    </row>
    <row r="301" spans="9:9" ht="14.25" customHeight="1">
      <c r="I301" s="22"/>
    </row>
    <row r="302" spans="9:9" ht="14.25" customHeight="1">
      <c r="I302" s="22"/>
    </row>
    <row r="303" spans="9:9" ht="14.25" customHeight="1">
      <c r="I303" s="22"/>
    </row>
    <row r="304" spans="9:9" ht="14.25" customHeight="1">
      <c r="I304" s="22"/>
    </row>
    <row r="305" spans="9:9" ht="14.25" customHeight="1">
      <c r="I305" s="22"/>
    </row>
    <row r="306" spans="9:9" ht="14.25" customHeight="1">
      <c r="I306" s="22"/>
    </row>
    <row r="307" spans="9:9" ht="14.25" customHeight="1">
      <c r="I307" s="22"/>
    </row>
    <row r="308" spans="9:9" ht="14.25" customHeight="1">
      <c r="I308" s="22"/>
    </row>
    <row r="309" spans="9:9" ht="14.25" customHeight="1">
      <c r="I309" s="22"/>
    </row>
    <row r="310" spans="9:9" ht="14.25" customHeight="1">
      <c r="I310" s="22"/>
    </row>
    <row r="311" spans="9:9" ht="14.25" customHeight="1">
      <c r="I311" s="22"/>
    </row>
    <row r="312" spans="9:9" ht="14.25" customHeight="1">
      <c r="I312" s="22"/>
    </row>
    <row r="313" spans="9:9" ht="14.25" customHeight="1">
      <c r="I313" s="22"/>
    </row>
    <row r="314" spans="9:9" ht="14.25" customHeight="1">
      <c r="I314" s="22"/>
    </row>
    <row r="315" spans="9:9" ht="14.25" customHeight="1">
      <c r="I315" s="22"/>
    </row>
    <row r="316" spans="9:9" ht="14.25" customHeight="1">
      <c r="I316" s="22"/>
    </row>
    <row r="317" spans="9:9" ht="14.25" customHeight="1">
      <c r="I317" s="22"/>
    </row>
    <row r="318" spans="9:9" ht="14.25" customHeight="1">
      <c r="I318" s="22"/>
    </row>
    <row r="319" spans="9:9" ht="14.25" customHeight="1">
      <c r="I319" s="22"/>
    </row>
    <row r="320" spans="9:9" ht="14.25" customHeight="1">
      <c r="I320" s="22"/>
    </row>
    <row r="321" spans="9:9" ht="14.25" customHeight="1">
      <c r="I321" s="22"/>
    </row>
    <row r="322" spans="9:9" ht="14.25" customHeight="1">
      <c r="I322" s="22"/>
    </row>
    <row r="323" spans="9:9" ht="14.25" customHeight="1">
      <c r="I323" s="22"/>
    </row>
    <row r="324" spans="9:9" ht="14.25" customHeight="1">
      <c r="I324" s="22"/>
    </row>
    <row r="325" spans="9:9" ht="14.25" customHeight="1">
      <c r="I325" s="22"/>
    </row>
    <row r="326" spans="9:9" ht="14.25" customHeight="1">
      <c r="I326" s="22"/>
    </row>
    <row r="327" spans="9:9" ht="14.25" customHeight="1">
      <c r="I327" s="22"/>
    </row>
    <row r="328" spans="9:9" ht="14.25" customHeight="1">
      <c r="I328" s="22"/>
    </row>
    <row r="329" spans="9:9" ht="14.25" customHeight="1">
      <c r="I329" s="22"/>
    </row>
    <row r="330" spans="9:9" ht="14.25" customHeight="1">
      <c r="I330" s="22"/>
    </row>
    <row r="331" spans="9:9" ht="14.25" customHeight="1">
      <c r="I331" s="22"/>
    </row>
    <row r="332" spans="9:9" ht="14.25" customHeight="1">
      <c r="I332" s="22"/>
    </row>
    <row r="333" spans="9:9" ht="14.25" customHeight="1">
      <c r="I333" s="22"/>
    </row>
    <row r="334" spans="9:9" ht="14.25" customHeight="1">
      <c r="I334" s="22"/>
    </row>
    <row r="335" spans="9:9" ht="14.25" customHeight="1">
      <c r="I335" s="22"/>
    </row>
    <row r="336" spans="9:9" ht="14.25" customHeight="1">
      <c r="I336" s="22"/>
    </row>
    <row r="337" spans="9:9" ht="14.25" customHeight="1">
      <c r="I337" s="22"/>
    </row>
    <row r="338" spans="9:9" ht="14.25" customHeight="1">
      <c r="I338" s="22"/>
    </row>
    <row r="339" spans="9:9" ht="14.25" customHeight="1">
      <c r="I339" s="22"/>
    </row>
    <row r="340" spans="9:9" ht="14.25" customHeight="1">
      <c r="I340" s="22"/>
    </row>
    <row r="341" spans="9:9" ht="14.25" customHeight="1">
      <c r="I341" s="22"/>
    </row>
    <row r="342" spans="9:9" ht="14.25" customHeight="1">
      <c r="I342" s="22"/>
    </row>
    <row r="343" spans="9:9" ht="14.25" customHeight="1">
      <c r="I343" s="22"/>
    </row>
    <row r="344" spans="9:9" ht="14.25" customHeight="1">
      <c r="I344" s="22"/>
    </row>
    <row r="345" spans="9:9" ht="14.25" customHeight="1">
      <c r="I345" s="22"/>
    </row>
    <row r="346" spans="9:9" ht="14.25" customHeight="1">
      <c r="I346" s="22"/>
    </row>
    <row r="347" spans="9:9" ht="14.25" customHeight="1">
      <c r="I347" s="22"/>
    </row>
    <row r="348" spans="9:9" ht="14.25" customHeight="1">
      <c r="I348" s="22"/>
    </row>
    <row r="349" spans="9:9" ht="14.25" customHeight="1">
      <c r="I349" s="22"/>
    </row>
    <row r="350" spans="9:9" ht="14.25" customHeight="1">
      <c r="I350" s="22"/>
    </row>
    <row r="351" spans="9:9" ht="14.25" customHeight="1">
      <c r="I351" s="22"/>
    </row>
    <row r="352" spans="9:9" ht="14.25" customHeight="1">
      <c r="I352" s="22"/>
    </row>
    <row r="353" spans="9:9" ht="14.25" customHeight="1">
      <c r="I353" s="22"/>
    </row>
    <row r="354" spans="9:9" ht="14.25" customHeight="1">
      <c r="I354" s="22"/>
    </row>
    <row r="355" spans="9:9" ht="14.25" customHeight="1">
      <c r="I355" s="22"/>
    </row>
    <row r="356" spans="9:9" ht="14.25" customHeight="1">
      <c r="I356" s="22"/>
    </row>
    <row r="357" spans="9:9" ht="14.25" customHeight="1">
      <c r="I357" s="22"/>
    </row>
    <row r="358" spans="9:9" ht="14.25" customHeight="1">
      <c r="I358" s="22"/>
    </row>
    <row r="359" spans="9:9" ht="14.25" customHeight="1">
      <c r="I359" s="22"/>
    </row>
    <row r="360" spans="9:9" ht="14.25" customHeight="1">
      <c r="I360" s="22"/>
    </row>
    <row r="361" spans="9:9" ht="14.25" customHeight="1">
      <c r="I361" s="22"/>
    </row>
    <row r="362" spans="9:9" ht="14.25" customHeight="1">
      <c r="I362" s="22"/>
    </row>
    <row r="363" spans="9:9" ht="14.25" customHeight="1">
      <c r="I363" s="22"/>
    </row>
    <row r="364" spans="9:9" ht="14.25" customHeight="1">
      <c r="I364" s="22"/>
    </row>
    <row r="365" spans="9:9" ht="14.25" customHeight="1">
      <c r="I365" s="22"/>
    </row>
    <row r="366" spans="9:9" ht="14.25" customHeight="1">
      <c r="I366" s="22"/>
    </row>
    <row r="367" spans="9:9" ht="14.25" customHeight="1">
      <c r="I367" s="22"/>
    </row>
    <row r="368" spans="9:9" ht="14.25" customHeight="1">
      <c r="I368" s="22"/>
    </row>
    <row r="369" spans="9:9" ht="14.25" customHeight="1">
      <c r="I369" s="22"/>
    </row>
    <row r="370" spans="9:9" ht="14.25" customHeight="1">
      <c r="I370" s="22"/>
    </row>
    <row r="371" spans="9:9" ht="14.25" customHeight="1">
      <c r="I371" s="22"/>
    </row>
    <row r="372" spans="9:9" ht="14.25" customHeight="1">
      <c r="I372" s="22"/>
    </row>
    <row r="373" spans="9:9" ht="14.25" customHeight="1">
      <c r="I373" s="22"/>
    </row>
    <row r="374" spans="9:9" ht="14.25" customHeight="1">
      <c r="I374" s="22"/>
    </row>
    <row r="375" spans="9:9" ht="14.25" customHeight="1">
      <c r="I375" s="22"/>
    </row>
    <row r="376" spans="9:9" ht="14.25" customHeight="1">
      <c r="I376" s="22"/>
    </row>
    <row r="377" spans="9:9" ht="14.25" customHeight="1">
      <c r="I377" s="22"/>
    </row>
    <row r="378" spans="9:9" ht="14.25" customHeight="1">
      <c r="I378" s="22"/>
    </row>
    <row r="379" spans="9:9" ht="14.25" customHeight="1">
      <c r="I379" s="22"/>
    </row>
    <row r="380" spans="9:9" ht="14.25" customHeight="1">
      <c r="I380" s="22"/>
    </row>
    <row r="381" spans="9:9" ht="14.25" customHeight="1">
      <c r="I381" s="22"/>
    </row>
    <row r="382" spans="9:9" ht="14.25" customHeight="1">
      <c r="I382" s="22"/>
    </row>
    <row r="383" spans="9:9" ht="14.25" customHeight="1">
      <c r="I383" s="22"/>
    </row>
    <row r="384" spans="9:9" ht="14.25" customHeight="1">
      <c r="I384" s="22"/>
    </row>
    <row r="385" spans="9:9" ht="14.25" customHeight="1">
      <c r="I385" s="22"/>
    </row>
    <row r="386" spans="9:9" ht="14.25" customHeight="1">
      <c r="I386" s="22"/>
    </row>
    <row r="387" spans="9:9" ht="14.25" customHeight="1">
      <c r="I387" s="22"/>
    </row>
    <row r="388" spans="9:9" ht="14.25" customHeight="1">
      <c r="I388" s="22"/>
    </row>
    <row r="389" spans="9:9" ht="14.25" customHeight="1">
      <c r="I389" s="22"/>
    </row>
    <row r="390" spans="9:9" ht="14.25" customHeight="1">
      <c r="I390" s="22"/>
    </row>
    <row r="391" spans="9:9" ht="14.25" customHeight="1">
      <c r="I391" s="22"/>
    </row>
    <row r="392" spans="9:9" ht="14.25" customHeight="1">
      <c r="I392" s="22"/>
    </row>
    <row r="393" spans="9:9" ht="14.25" customHeight="1">
      <c r="I393" s="22"/>
    </row>
    <row r="394" spans="9:9" ht="14.25" customHeight="1">
      <c r="I394" s="22"/>
    </row>
    <row r="395" spans="9:9" ht="14.25" customHeight="1">
      <c r="I395" s="22"/>
    </row>
    <row r="396" spans="9:9" ht="14.25" customHeight="1">
      <c r="I396" s="22"/>
    </row>
    <row r="397" spans="9:9" ht="14.25" customHeight="1">
      <c r="I397" s="22"/>
    </row>
    <row r="398" spans="9:9" ht="14.25" customHeight="1">
      <c r="I398" s="22"/>
    </row>
    <row r="399" spans="9:9" ht="14.25" customHeight="1">
      <c r="I399" s="22"/>
    </row>
    <row r="400" spans="9:9" ht="14.25" customHeight="1">
      <c r="I400" s="22"/>
    </row>
    <row r="401" spans="9:9" ht="14.25" customHeight="1">
      <c r="I401" s="22"/>
    </row>
    <row r="402" spans="9:9" ht="14.25" customHeight="1">
      <c r="I402" s="22"/>
    </row>
    <row r="403" spans="9:9" ht="14.25" customHeight="1">
      <c r="I403" s="22"/>
    </row>
    <row r="404" spans="9:9" ht="14.25" customHeight="1">
      <c r="I404" s="22"/>
    </row>
    <row r="405" spans="9:9" ht="14.25" customHeight="1">
      <c r="I405" s="22"/>
    </row>
    <row r="406" spans="9:9" ht="14.25" customHeight="1">
      <c r="I406" s="22"/>
    </row>
    <row r="407" spans="9:9" ht="14.25" customHeight="1">
      <c r="I407" s="22"/>
    </row>
    <row r="408" spans="9:9" ht="14.25" customHeight="1">
      <c r="I408" s="22"/>
    </row>
    <row r="409" spans="9:9" ht="14.25" customHeight="1">
      <c r="I409" s="22"/>
    </row>
    <row r="410" spans="9:9" ht="14.25" customHeight="1">
      <c r="I410" s="22"/>
    </row>
    <row r="411" spans="9:9" ht="14.25" customHeight="1">
      <c r="I411" s="22"/>
    </row>
    <row r="412" spans="9:9" ht="14.25" customHeight="1">
      <c r="I412" s="22"/>
    </row>
    <row r="413" spans="9:9" ht="14.25" customHeight="1">
      <c r="I413" s="22"/>
    </row>
    <row r="414" spans="9:9" ht="14.25" customHeight="1">
      <c r="I414" s="22"/>
    </row>
    <row r="415" spans="9:9" ht="14.25" customHeight="1">
      <c r="I415" s="22"/>
    </row>
    <row r="416" spans="9:9" ht="14.25" customHeight="1">
      <c r="I416" s="22"/>
    </row>
    <row r="417" spans="9:9" ht="14.25" customHeight="1">
      <c r="I417" s="22"/>
    </row>
    <row r="418" spans="9:9" ht="14.25" customHeight="1">
      <c r="I418" s="22"/>
    </row>
    <row r="419" spans="9:9" ht="14.25" customHeight="1">
      <c r="I419" s="22"/>
    </row>
    <row r="420" spans="9:9" ht="14.25" customHeight="1">
      <c r="I420" s="22"/>
    </row>
    <row r="421" spans="9:9" ht="14.25" customHeight="1">
      <c r="I421" s="22"/>
    </row>
    <row r="422" spans="9:9" ht="14.25" customHeight="1">
      <c r="I422" s="22"/>
    </row>
    <row r="423" spans="9:9" ht="14.25" customHeight="1">
      <c r="I423" s="22"/>
    </row>
    <row r="424" spans="9:9" ht="14.25" customHeight="1">
      <c r="I424" s="22"/>
    </row>
    <row r="425" spans="9:9" ht="14.25" customHeight="1">
      <c r="I425" s="22"/>
    </row>
    <row r="426" spans="9:9" ht="14.25" customHeight="1">
      <c r="I426" s="22"/>
    </row>
    <row r="427" spans="9:9" ht="14.25" customHeight="1">
      <c r="I427" s="22"/>
    </row>
    <row r="428" spans="9:9" ht="14.25" customHeight="1">
      <c r="I428" s="22"/>
    </row>
    <row r="429" spans="9:9" ht="14.25" customHeight="1">
      <c r="I429" s="22"/>
    </row>
    <row r="430" spans="9:9" ht="14.25" customHeight="1">
      <c r="I430" s="22"/>
    </row>
    <row r="431" spans="9:9" ht="14.25" customHeight="1">
      <c r="I431" s="22"/>
    </row>
    <row r="432" spans="9:9" ht="14.25" customHeight="1">
      <c r="I432" s="22"/>
    </row>
    <row r="433" spans="9:9" ht="14.25" customHeight="1">
      <c r="I433" s="22"/>
    </row>
    <row r="434" spans="9:9" ht="14.25" customHeight="1">
      <c r="I434" s="22"/>
    </row>
    <row r="435" spans="9:9" ht="14.25" customHeight="1">
      <c r="I435" s="22"/>
    </row>
    <row r="436" spans="9:9" ht="14.25" customHeight="1">
      <c r="I436" s="22"/>
    </row>
    <row r="437" spans="9:9" ht="14.25" customHeight="1">
      <c r="I437" s="22"/>
    </row>
    <row r="438" spans="9:9" ht="14.25" customHeight="1">
      <c r="I438" s="22"/>
    </row>
    <row r="439" spans="9:9" ht="14.25" customHeight="1">
      <c r="I439" s="22"/>
    </row>
    <row r="440" spans="9:9" ht="14.25" customHeight="1">
      <c r="I440" s="22"/>
    </row>
    <row r="441" spans="9:9" ht="14.25" customHeight="1">
      <c r="I441" s="22"/>
    </row>
    <row r="442" spans="9:9" ht="14.25" customHeight="1">
      <c r="I442" s="22"/>
    </row>
    <row r="443" spans="9:9" ht="14.25" customHeight="1">
      <c r="I443" s="22"/>
    </row>
    <row r="444" spans="9:9" ht="14.25" customHeight="1">
      <c r="I444" s="22"/>
    </row>
    <row r="445" spans="9:9" ht="14.25" customHeight="1">
      <c r="I445" s="22"/>
    </row>
    <row r="446" spans="9:9" ht="14.25" customHeight="1">
      <c r="I446" s="22"/>
    </row>
    <row r="447" spans="9:9" ht="14.25" customHeight="1">
      <c r="I447" s="22"/>
    </row>
    <row r="448" spans="9:9" ht="14.25" customHeight="1">
      <c r="I448" s="22"/>
    </row>
    <row r="449" spans="9:9" ht="14.25" customHeight="1">
      <c r="I449" s="22"/>
    </row>
    <row r="450" spans="9:9" ht="14.25" customHeight="1">
      <c r="I450" s="22"/>
    </row>
    <row r="451" spans="9:9" ht="14.25" customHeight="1">
      <c r="I451" s="22"/>
    </row>
    <row r="452" spans="9:9" ht="14.25" customHeight="1">
      <c r="I452" s="22"/>
    </row>
    <row r="453" spans="9:9" ht="14.25" customHeight="1">
      <c r="I453" s="22"/>
    </row>
    <row r="454" spans="9:9" ht="14.25" customHeight="1">
      <c r="I454" s="22"/>
    </row>
    <row r="455" spans="9:9" ht="14.25" customHeight="1">
      <c r="I455" s="22"/>
    </row>
    <row r="456" spans="9:9" ht="14.25" customHeight="1">
      <c r="I456" s="22"/>
    </row>
    <row r="457" spans="9:9" ht="14.25" customHeight="1">
      <c r="I457" s="22"/>
    </row>
    <row r="458" spans="9:9" ht="14.25" customHeight="1">
      <c r="I458" s="22"/>
    </row>
    <row r="459" spans="9:9" ht="14.25" customHeight="1">
      <c r="I459" s="22"/>
    </row>
    <row r="460" spans="9:9" ht="14.25" customHeight="1">
      <c r="I460" s="22"/>
    </row>
    <row r="461" spans="9:9" ht="14.25" customHeight="1">
      <c r="I461" s="22"/>
    </row>
    <row r="462" spans="9:9" ht="14.25" customHeight="1">
      <c r="I462" s="22"/>
    </row>
    <row r="463" spans="9:9" ht="14.25" customHeight="1">
      <c r="I463" s="22"/>
    </row>
    <row r="464" spans="9:9" ht="14.25" customHeight="1">
      <c r="I464" s="22"/>
    </row>
    <row r="465" spans="9:9" ht="14.25" customHeight="1">
      <c r="I465" s="22"/>
    </row>
    <row r="466" spans="9:9" ht="14.25" customHeight="1">
      <c r="I466" s="22"/>
    </row>
    <row r="467" spans="9:9" ht="14.25" customHeight="1">
      <c r="I467" s="22"/>
    </row>
    <row r="468" spans="9:9" ht="14.25" customHeight="1">
      <c r="I468" s="22"/>
    </row>
    <row r="469" spans="9:9" ht="14.25" customHeight="1">
      <c r="I469" s="22"/>
    </row>
    <row r="470" spans="9:9" ht="14.25" customHeight="1">
      <c r="I470" s="22"/>
    </row>
    <row r="471" spans="9:9" ht="14.25" customHeight="1">
      <c r="I471" s="22"/>
    </row>
    <row r="472" spans="9:9" ht="14.25" customHeight="1">
      <c r="I472" s="22"/>
    </row>
    <row r="473" spans="9:9" ht="14.25" customHeight="1">
      <c r="I473" s="22"/>
    </row>
    <row r="474" spans="9:9" ht="14.25" customHeight="1">
      <c r="I474" s="22"/>
    </row>
    <row r="475" spans="9:9" ht="14.25" customHeight="1">
      <c r="I475" s="22"/>
    </row>
    <row r="476" spans="9:9" ht="14.25" customHeight="1">
      <c r="I476" s="22"/>
    </row>
    <row r="477" spans="9:9" ht="14.25" customHeight="1">
      <c r="I477" s="22"/>
    </row>
    <row r="478" spans="9:9" ht="14.25" customHeight="1">
      <c r="I478" s="22"/>
    </row>
    <row r="479" spans="9:9" ht="14.25" customHeight="1">
      <c r="I479" s="22"/>
    </row>
    <row r="480" spans="9:9" ht="14.25" customHeight="1">
      <c r="I480" s="22"/>
    </row>
    <row r="481" spans="9:9" ht="14.25" customHeight="1">
      <c r="I481" s="22"/>
    </row>
    <row r="482" spans="9:9" ht="14.25" customHeight="1">
      <c r="I482" s="22"/>
    </row>
    <row r="483" spans="9:9" ht="14.25" customHeight="1">
      <c r="I483" s="22"/>
    </row>
    <row r="484" spans="9:9" ht="14.25" customHeight="1">
      <c r="I484" s="22"/>
    </row>
    <row r="485" spans="9:9" ht="14.25" customHeight="1">
      <c r="I485" s="22"/>
    </row>
    <row r="486" spans="9:9" ht="14.25" customHeight="1">
      <c r="I486" s="22"/>
    </row>
    <row r="487" spans="9:9" ht="14.25" customHeight="1">
      <c r="I487" s="22"/>
    </row>
    <row r="488" spans="9:9" ht="14.25" customHeight="1">
      <c r="I488" s="22"/>
    </row>
    <row r="489" spans="9:9" ht="14.25" customHeight="1">
      <c r="I489" s="22"/>
    </row>
    <row r="490" spans="9:9" ht="14.25" customHeight="1">
      <c r="I490" s="22"/>
    </row>
    <row r="491" spans="9:9" ht="14.25" customHeight="1">
      <c r="I491" s="22"/>
    </row>
    <row r="492" spans="9:9" ht="14.25" customHeight="1">
      <c r="I492" s="22"/>
    </row>
    <row r="493" spans="9:9" ht="14.25" customHeight="1">
      <c r="I493" s="22"/>
    </row>
    <row r="494" spans="9:9" ht="14.25" customHeight="1">
      <c r="I494" s="22"/>
    </row>
    <row r="495" spans="9:9" ht="14.25" customHeight="1">
      <c r="I495" s="22"/>
    </row>
    <row r="496" spans="9:9" ht="14.25" customHeight="1">
      <c r="I496" s="22"/>
    </row>
    <row r="497" spans="9:9" ht="14.25" customHeight="1">
      <c r="I497" s="22"/>
    </row>
    <row r="498" spans="9:9" ht="14.25" customHeight="1">
      <c r="I498" s="22"/>
    </row>
    <row r="499" spans="9:9" ht="14.25" customHeight="1">
      <c r="I499" s="22"/>
    </row>
    <row r="500" spans="9:9" ht="14.25" customHeight="1">
      <c r="I500" s="22"/>
    </row>
    <row r="501" spans="9:9" ht="14.25" customHeight="1">
      <c r="I501" s="22"/>
    </row>
    <row r="502" spans="9:9" ht="14.25" customHeight="1">
      <c r="I502" s="22"/>
    </row>
    <row r="503" spans="9:9" ht="14.25" customHeight="1">
      <c r="I503" s="22"/>
    </row>
    <row r="504" spans="9:9" ht="14.25" customHeight="1">
      <c r="I504" s="22"/>
    </row>
    <row r="505" spans="9:9" ht="14.25" customHeight="1">
      <c r="I505" s="22"/>
    </row>
    <row r="506" spans="9:9" ht="14.25" customHeight="1">
      <c r="I506" s="22"/>
    </row>
    <row r="507" spans="9:9" ht="14.25" customHeight="1">
      <c r="I507" s="22"/>
    </row>
    <row r="508" spans="9:9" ht="14.25" customHeight="1">
      <c r="I508" s="22"/>
    </row>
    <row r="509" spans="9:9" ht="14.25" customHeight="1">
      <c r="I509" s="22"/>
    </row>
    <row r="510" spans="9:9" ht="14.25" customHeight="1">
      <c r="I510" s="22"/>
    </row>
    <row r="511" spans="9:9" ht="14.25" customHeight="1">
      <c r="I511" s="22"/>
    </row>
    <row r="512" spans="9:9" ht="14.25" customHeight="1">
      <c r="I512" s="22"/>
    </row>
    <row r="513" spans="9:9" ht="14.25" customHeight="1">
      <c r="I513" s="22"/>
    </row>
    <row r="514" spans="9:9" ht="14.25" customHeight="1">
      <c r="I514" s="22"/>
    </row>
    <row r="515" spans="9:9" ht="14.25" customHeight="1">
      <c r="I515" s="22"/>
    </row>
    <row r="516" spans="9:9" ht="14.25" customHeight="1">
      <c r="I516" s="22"/>
    </row>
    <row r="517" spans="9:9" ht="14.25" customHeight="1">
      <c r="I517" s="22"/>
    </row>
    <row r="518" spans="9:9" ht="14.25" customHeight="1">
      <c r="I518" s="22"/>
    </row>
    <row r="519" spans="9:9" ht="14.25" customHeight="1">
      <c r="I519" s="22"/>
    </row>
    <row r="520" spans="9:9" ht="14.25" customHeight="1">
      <c r="I520" s="22"/>
    </row>
    <row r="521" spans="9:9" ht="14.25" customHeight="1">
      <c r="I521" s="22"/>
    </row>
    <row r="522" spans="9:9" ht="14.25" customHeight="1">
      <c r="I522" s="22"/>
    </row>
    <row r="523" spans="9:9" ht="14.25" customHeight="1">
      <c r="I523" s="22"/>
    </row>
    <row r="524" spans="9:9" ht="14.25" customHeight="1">
      <c r="I524" s="22"/>
    </row>
    <row r="525" spans="9:9" ht="14.25" customHeight="1">
      <c r="I525" s="22"/>
    </row>
    <row r="526" spans="9:9" ht="14.25" customHeight="1">
      <c r="I526" s="22"/>
    </row>
    <row r="527" spans="9:9" ht="14.25" customHeight="1">
      <c r="I527" s="22"/>
    </row>
    <row r="528" spans="9:9" ht="14.25" customHeight="1">
      <c r="I528" s="22"/>
    </row>
    <row r="529" spans="9:9" ht="14.25" customHeight="1">
      <c r="I529" s="22"/>
    </row>
    <row r="530" spans="9:9" ht="14.25" customHeight="1">
      <c r="I530" s="22"/>
    </row>
    <row r="531" spans="9:9" ht="14.25" customHeight="1">
      <c r="I531" s="22"/>
    </row>
    <row r="532" spans="9:9" ht="14.25" customHeight="1">
      <c r="I532" s="22"/>
    </row>
    <row r="533" spans="9:9" ht="14.25" customHeight="1">
      <c r="I533" s="22"/>
    </row>
    <row r="534" spans="9:9" ht="14.25" customHeight="1">
      <c r="I534" s="22"/>
    </row>
    <row r="535" spans="9:9" ht="14.25" customHeight="1">
      <c r="I535" s="22"/>
    </row>
    <row r="536" spans="9:9" ht="14.25" customHeight="1">
      <c r="I536" s="22"/>
    </row>
    <row r="537" spans="9:9" ht="14.25" customHeight="1">
      <c r="I537" s="22"/>
    </row>
    <row r="538" spans="9:9" ht="14.25" customHeight="1">
      <c r="I538" s="22"/>
    </row>
    <row r="539" spans="9:9" ht="14.25" customHeight="1">
      <c r="I539" s="22"/>
    </row>
    <row r="540" spans="9:9" ht="14.25" customHeight="1">
      <c r="I540" s="22"/>
    </row>
    <row r="541" spans="9:9" ht="14.25" customHeight="1">
      <c r="I541" s="22"/>
    </row>
    <row r="542" spans="9:9" ht="14.25" customHeight="1">
      <c r="I542" s="22"/>
    </row>
    <row r="543" spans="9:9" ht="14.25" customHeight="1">
      <c r="I543" s="22"/>
    </row>
    <row r="544" spans="9:9" ht="14.25" customHeight="1">
      <c r="I544" s="22"/>
    </row>
    <row r="545" spans="9:9" ht="14.25" customHeight="1">
      <c r="I545" s="22"/>
    </row>
    <row r="546" spans="9:9" ht="14.25" customHeight="1">
      <c r="I546" s="22"/>
    </row>
    <row r="547" spans="9:9" ht="14.25" customHeight="1">
      <c r="I547" s="22"/>
    </row>
    <row r="548" spans="9:9" ht="14.25" customHeight="1">
      <c r="I548" s="22"/>
    </row>
    <row r="549" spans="9:9" ht="14.25" customHeight="1">
      <c r="I549" s="22"/>
    </row>
    <row r="550" spans="9:9" ht="14.25" customHeight="1">
      <c r="I550" s="22"/>
    </row>
    <row r="551" spans="9:9" ht="14.25" customHeight="1">
      <c r="I551" s="22"/>
    </row>
    <row r="552" spans="9:9" ht="14.25" customHeight="1">
      <c r="I552" s="22"/>
    </row>
    <row r="553" spans="9:9" ht="14.25" customHeight="1">
      <c r="I553" s="22"/>
    </row>
    <row r="554" spans="9:9" ht="14.25" customHeight="1">
      <c r="I554" s="22"/>
    </row>
    <row r="555" spans="9:9" ht="14.25" customHeight="1">
      <c r="I555" s="22"/>
    </row>
    <row r="556" spans="9:9" ht="14.25" customHeight="1">
      <c r="I556" s="22"/>
    </row>
    <row r="557" spans="9:9" ht="14.25" customHeight="1">
      <c r="I557" s="22"/>
    </row>
    <row r="558" spans="9:9" ht="14.25" customHeight="1">
      <c r="I558" s="22"/>
    </row>
    <row r="559" spans="9:9" ht="14.25" customHeight="1">
      <c r="I559" s="22"/>
    </row>
    <row r="560" spans="9:9" ht="14.25" customHeight="1">
      <c r="I560" s="22"/>
    </row>
    <row r="561" spans="9:9" ht="14.25" customHeight="1">
      <c r="I561" s="22"/>
    </row>
    <row r="562" spans="9:9" ht="14.25" customHeight="1">
      <c r="I562" s="22"/>
    </row>
    <row r="563" spans="9:9" ht="14.25" customHeight="1">
      <c r="I563" s="22"/>
    </row>
    <row r="564" spans="9:9" ht="14.25" customHeight="1">
      <c r="I564" s="22"/>
    </row>
    <row r="565" spans="9:9" ht="14.25" customHeight="1">
      <c r="I565" s="22"/>
    </row>
    <row r="566" spans="9:9" ht="14.25" customHeight="1">
      <c r="I566" s="22"/>
    </row>
    <row r="567" spans="9:9" ht="14.25" customHeight="1">
      <c r="I567" s="22"/>
    </row>
    <row r="568" spans="9:9" ht="14.25" customHeight="1">
      <c r="I568" s="22"/>
    </row>
    <row r="569" spans="9:9" ht="14.25" customHeight="1">
      <c r="I569" s="22"/>
    </row>
    <row r="570" spans="9:9" ht="14.25" customHeight="1">
      <c r="I570" s="22"/>
    </row>
    <row r="571" spans="9:9" ht="14.25" customHeight="1">
      <c r="I571" s="22"/>
    </row>
    <row r="572" spans="9:9" ht="14.25" customHeight="1">
      <c r="I572" s="22"/>
    </row>
    <row r="573" spans="9:9" ht="14.25" customHeight="1">
      <c r="I573" s="22"/>
    </row>
    <row r="574" spans="9:9" ht="14.25" customHeight="1">
      <c r="I574" s="22"/>
    </row>
    <row r="575" spans="9:9" ht="14.25" customHeight="1">
      <c r="I575" s="22"/>
    </row>
    <row r="576" spans="9:9" ht="14.25" customHeight="1">
      <c r="I576" s="22"/>
    </row>
    <row r="577" spans="9:9" ht="14.25" customHeight="1">
      <c r="I577" s="22"/>
    </row>
    <row r="578" spans="9:9" ht="14.25" customHeight="1">
      <c r="I578" s="22"/>
    </row>
    <row r="579" spans="9:9" ht="14.25" customHeight="1">
      <c r="I579" s="22"/>
    </row>
    <row r="580" spans="9:9" ht="14.25" customHeight="1">
      <c r="I580" s="22"/>
    </row>
    <row r="581" spans="9:9" ht="14.25" customHeight="1">
      <c r="I581" s="22"/>
    </row>
    <row r="582" spans="9:9" ht="14.25" customHeight="1">
      <c r="I582" s="22"/>
    </row>
    <row r="583" spans="9:9" ht="14.25" customHeight="1">
      <c r="I583" s="22"/>
    </row>
    <row r="584" spans="9:9" ht="14.25" customHeight="1">
      <c r="I584" s="22"/>
    </row>
    <row r="585" spans="9:9" ht="14.25" customHeight="1">
      <c r="I585" s="22"/>
    </row>
    <row r="586" spans="9:9" ht="14.25" customHeight="1">
      <c r="I586" s="22"/>
    </row>
    <row r="587" spans="9:9" ht="14.25" customHeight="1">
      <c r="I587" s="22"/>
    </row>
    <row r="588" spans="9:9" ht="14.25" customHeight="1">
      <c r="I588" s="22"/>
    </row>
    <row r="589" spans="9:9" ht="14.25" customHeight="1">
      <c r="I589" s="22"/>
    </row>
    <row r="590" spans="9:9" ht="14.25" customHeight="1">
      <c r="I590" s="22"/>
    </row>
    <row r="591" spans="9:9" ht="14.25" customHeight="1">
      <c r="I591" s="22"/>
    </row>
    <row r="592" spans="9:9" ht="14.25" customHeight="1">
      <c r="I592" s="22"/>
    </row>
    <row r="593" spans="9:9" ht="14.25" customHeight="1">
      <c r="I593" s="22"/>
    </row>
    <row r="594" spans="9:9" ht="14.25" customHeight="1">
      <c r="I594" s="22"/>
    </row>
    <row r="595" spans="9:9" ht="14.25" customHeight="1">
      <c r="I595" s="22"/>
    </row>
    <row r="596" spans="9:9" ht="14.25" customHeight="1">
      <c r="I596" s="22"/>
    </row>
    <row r="597" spans="9:9" ht="14.25" customHeight="1">
      <c r="I597" s="22"/>
    </row>
    <row r="598" spans="9:9" ht="14.25" customHeight="1">
      <c r="I598" s="22"/>
    </row>
    <row r="599" spans="9:9" ht="14.25" customHeight="1">
      <c r="I599" s="22"/>
    </row>
    <row r="600" spans="9:9" ht="14.25" customHeight="1">
      <c r="I600" s="22"/>
    </row>
    <row r="601" spans="9:9" ht="14.25" customHeight="1">
      <c r="I601" s="22"/>
    </row>
    <row r="602" spans="9:9" ht="14.25" customHeight="1">
      <c r="I602" s="22"/>
    </row>
    <row r="603" spans="9:9" ht="14.25" customHeight="1">
      <c r="I603" s="22"/>
    </row>
    <row r="604" spans="9:9" ht="14.25" customHeight="1">
      <c r="I604" s="22"/>
    </row>
    <row r="605" spans="9:9" ht="14.25" customHeight="1">
      <c r="I605" s="22"/>
    </row>
    <row r="606" spans="9:9" ht="14.25" customHeight="1">
      <c r="I606" s="22"/>
    </row>
    <row r="607" spans="9:9" ht="14.25" customHeight="1">
      <c r="I607" s="22"/>
    </row>
    <row r="608" spans="9:9" ht="14.25" customHeight="1">
      <c r="I608" s="22"/>
    </row>
    <row r="609" spans="9:9" ht="14.25" customHeight="1">
      <c r="I609" s="22"/>
    </row>
    <row r="610" spans="9:9" ht="14.25" customHeight="1">
      <c r="I610" s="22"/>
    </row>
    <row r="611" spans="9:9" ht="14.25" customHeight="1">
      <c r="I611" s="22"/>
    </row>
    <row r="612" spans="9:9" ht="14.25" customHeight="1">
      <c r="I612" s="22"/>
    </row>
    <row r="613" spans="9:9" ht="14.25" customHeight="1">
      <c r="I613" s="22"/>
    </row>
    <row r="614" spans="9:9" ht="14.25" customHeight="1">
      <c r="I614" s="22"/>
    </row>
    <row r="615" spans="9:9" ht="14.25" customHeight="1">
      <c r="I615" s="22"/>
    </row>
    <row r="616" spans="9:9" ht="14.25" customHeight="1">
      <c r="I616" s="22"/>
    </row>
    <row r="617" spans="9:9" ht="14.25" customHeight="1">
      <c r="I617" s="22"/>
    </row>
    <row r="618" spans="9:9" ht="14.25" customHeight="1">
      <c r="I618" s="22"/>
    </row>
    <row r="619" spans="9:9" ht="14.25" customHeight="1">
      <c r="I619" s="22"/>
    </row>
    <row r="620" spans="9:9" ht="14.25" customHeight="1">
      <c r="I620" s="22"/>
    </row>
    <row r="621" spans="9:9" ht="14.25" customHeight="1">
      <c r="I621" s="22"/>
    </row>
    <row r="622" spans="9:9" ht="14.25" customHeight="1">
      <c r="I622" s="22"/>
    </row>
    <row r="623" spans="9:9" ht="14.25" customHeight="1">
      <c r="I623" s="22"/>
    </row>
    <row r="624" spans="9:9" ht="14.25" customHeight="1">
      <c r="I624" s="22"/>
    </row>
    <row r="625" spans="9:9" ht="14.25" customHeight="1">
      <c r="I625" s="22"/>
    </row>
    <row r="626" spans="9:9" ht="14.25" customHeight="1">
      <c r="I626" s="22"/>
    </row>
    <row r="627" spans="9:9" ht="14.25" customHeight="1">
      <c r="I627" s="22"/>
    </row>
    <row r="628" spans="9:9" ht="14.25" customHeight="1">
      <c r="I628" s="22"/>
    </row>
    <row r="629" spans="9:9" ht="14.25" customHeight="1">
      <c r="I629" s="22"/>
    </row>
    <row r="630" spans="9:9" ht="14.25" customHeight="1">
      <c r="I630" s="22"/>
    </row>
    <row r="631" spans="9:9" ht="14.25" customHeight="1">
      <c r="I631" s="22"/>
    </row>
    <row r="632" spans="9:9" ht="14.25" customHeight="1">
      <c r="I632" s="22"/>
    </row>
    <row r="633" spans="9:9" ht="14.25" customHeight="1">
      <c r="I633" s="22"/>
    </row>
    <row r="634" spans="9:9" ht="14.25" customHeight="1">
      <c r="I634" s="22"/>
    </row>
    <row r="635" spans="9:9" ht="14.25" customHeight="1">
      <c r="I635" s="22"/>
    </row>
    <row r="636" spans="9:9" ht="14.25" customHeight="1">
      <c r="I636" s="22"/>
    </row>
    <row r="637" spans="9:9" ht="14.25" customHeight="1">
      <c r="I637" s="22"/>
    </row>
    <row r="638" spans="9:9" ht="14.25" customHeight="1">
      <c r="I638" s="22"/>
    </row>
    <row r="639" spans="9:9" ht="14.25" customHeight="1">
      <c r="I639" s="22"/>
    </row>
    <row r="640" spans="9:9" ht="14.25" customHeight="1">
      <c r="I640" s="22"/>
    </row>
    <row r="641" spans="9:9" ht="14.25" customHeight="1">
      <c r="I641" s="22"/>
    </row>
    <row r="642" spans="9:9" ht="14.25" customHeight="1">
      <c r="I642" s="22"/>
    </row>
    <row r="643" spans="9:9" ht="14.25" customHeight="1">
      <c r="I643" s="22"/>
    </row>
    <row r="644" spans="9:9" ht="14.25" customHeight="1">
      <c r="I644" s="22"/>
    </row>
    <row r="645" spans="9:9" ht="14.25" customHeight="1">
      <c r="I645" s="22"/>
    </row>
    <row r="646" spans="9:9" ht="14.25" customHeight="1">
      <c r="I646" s="22"/>
    </row>
    <row r="647" spans="9:9" ht="14.25" customHeight="1">
      <c r="I647" s="22"/>
    </row>
    <row r="648" spans="9:9" ht="14.25" customHeight="1">
      <c r="I648" s="22"/>
    </row>
    <row r="649" spans="9:9" ht="14.25" customHeight="1">
      <c r="I649" s="22"/>
    </row>
    <row r="650" spans="9:9" ht="14.25" customHeight="1">
      <c r="I650" s="22"/>
    </row>
    <row r="651" spans="9:9" ht="14.25" customHeight="1">
      <c r="I651" s="22"/>
    </row>
    <row r="652" spans="9:9" ht="14.25" customHeight="1">
      <c r="I652" s="22"/>
    </row>
    <row r="653" spans="9:9" ht="14.25" customHeight="1">
      <c r="I653" s="22"/>
    </row>
    <row r="654" spans="9:9" ht="14.25" customHeight="1">
      <c r="I654" s="22"/>
    </row>
    <row r="655" spans="9:9" ht="14.25" customHeight="1">
      <c r="I655" s="22"/>
    </row>
    <row r="656" spans="9:9" ht="14.25" customHeight="1">
      <c r="I656" s="22"/>
    </row>
    <row r="657" spans="9:9" ht="14.25" customHeight="1">
      <c r="I657" s="22"/>
    </row>
    <row r="658" spans="9:9" ht="14.25" customHeight="1">
      <c r="I658" s="22"/>
    </row>
    <row r="659" spans="9:9" ht="14.25" customHeight="1">
      <c r="I659" s="22"/>
    </row>
    <row r="660" spans="9:9" ht="14.25" customHeight="1">
      <c r="I660" s="22"/>
    </row>
    <row r="661" spans="9:9" ht="14.25" customHeight="1">
      <c r="I661" s="22"/>
    </row>
    <row r="662" spans="9:9" ht="14.25" customHeight="1">
      <c r="I662" s="22"/>
    </row>
    <row r="663" spans="9:9" ht="14.25" customHeight="1">
      <c r="I663" s="22"/>
    </row>
    <row r="664" spans="9:9" ht="14.25" customHeight="1">
      <c r="I664" s="22"/>
    </row>
    <row r="665" spans="9:9" ht="14.25" customHeight="1">
      <c r="I665" s="22"/>
    </row>
    <row r="666" spans="9:9" ht="14.25" customHeight="1">
      <c r="I666" s="22"/>
    </row>
    <row r="667" spans="9:9" ht="14.25" customHeight="1">
      <c r="I667" s="22"/>
    </row>
    <row r="668" spans="9:9" ht="14.25" customHeight="1">
      <c r="I668" s="22"/>
    </row>
    <row r="669" spans="9:9" ht="14.25" customHeight="1">
      <c r="I669" s="22"/>
    </row>
    <row r="670" spans="9:9" ht="14.25" customHeight="1">
      <c r="I670" s="22"/>
    </row>
    <row r="671" spans="9:9" ht="14.25" customHeight="1">
      <c r="I671" s="22"/>
    </row>
    <row r="672" spans="9:9" ht="14.25" customHeight="1">
      <c r="I672" s="22"/>
    </row>
    <row r="673" spans="9:9" ht="14.25" customHeight="1">
      <c r="I673" s="22"/>
    </row>
    <row r="674" spans="9:9" ht="14.25" customHeight="1">
      <c r="I674" s="22"/>
    </row>
    <row r="675" spans="9:9" ht="14.25" customHeight="1">
      <c r="I675" s="22"/>
    </row>
    <row r="676" spans="9:9" ht="14.25" customHeight="1">
      <c r="I676" s="22"/>
    </row>
    <row r="677" spans="9:9" ht="14.25" customHeight="1">
      <c r="I677" s="22"/>
    </row>
    <row r="678" spans="9:9" ht="14.25" customHeight="1">
      <c r="I678" s="22"/>
    </row>
    <row r="679" spans="9:9" ht="14.25" customHeight="1">
      <c r="I679" s="22"/>
    </row>
    <row r="680" spans="9:9" ht="14.25" customHeight="1">
      <c r="I680" s="22"/>
    </row>
    <row r="681" spans="9:9" ht="14.25" customHeight="1">
      <c r="I681" s="22"/>
    </row>
    <row r="682" spans="9:9" ht="14.25" customHeight="1">
      <c r="I682" s="22"/>
    </row>
    <row r="683" spans="9:9" ht="14.25" customHeight="1">
      <c r="I683" s="22"/>
    </row>
    <row r="684" spans="9:9" ht="14.25" customHeight="1">
      <c r="I684" s="22"/>
    </row>
    <row r="685" spans="9:9" ht="14.25" customHeight="1">
      <c r="I685" s="22"/>
    </row>
    <row r="686" spans="9:9" ht="14.25" customHeight="1">
      <c r="I686" s="22"/>
    </row>
    <row r="687" spans="9:9" ht="14.25" customHeight="1">
      <c r="I687" s="22"/>
    </row>
    <row r="688" spans="9:9" ht="14.25" customHeight="1">
      <c r="I688" s="22"/>
    </row>
    <row r="689" spans="9:9" ht="14.25" customHeight="1">
      <c r="I689" s="22"/>
    </row>
    <row r="690" spans="9:9" ht="14.25" customHeight="1">
      <c r="I690" s="22"/>
    </row>
    <row r="691" spans="9:9" ht="14.25" customHeight="1">
      <c r="I691" s="22"/>
    </row>
    <row r="692" spans="9:9" ht="14.25" customHeight="1">
      <c r="I692" s="22"/>
    </row>
    <row r="693" spans="9:9" ht="14.25" customHeight="1">
      <c r="I693" s="22"/>
    </row>
    <row r="694" spans="9:9" ht="14.25" customHeight="1">
      <c r="I694" s="22"/>
    </row>
    <row r="695" spans="9:9" ht="14.25" customHeight="1">
      <c r="I695" s="22"/>
    </row>
    <row r="696" spans="9:9" ht="14.25" customHeight="1">
      <c r="I696" s="22"/>
    </row>
    <row r="697" spans="9:9" ht="14.25" customHeight="1">
      <c r="I697" s="22"/>
    </row>
    <row r="698" spans="9:9" ht="14.25" customHeight="1">
      <c r="I698" s="22"/>
    </row>
    <row r="699" spans="9:9" ht="14.25" customHeight="1">
      <c r="I699" s="22"/>
    </row>
    <row r="700" spans="9:9" ht="14.25" customHeight="1">
      <c r="I700" s="22"/>
    </row>
    <row r="701" spans="9:9" ht="14.25" customHeight="1">
      <c r="I701" s="22"/>
    </row>
    <row r="702" spans="9:9" ht="14.25" customHeight="1">
      <c r="I702" s="22"/>
    </row>
    <row r="703" spans="9:9" ht="14.25" customHeight="1">
      <c r="I703" s="22"/>
    </row>
    <row r="704" spans="9:9" ht="14.25" customHeight="1">
      <c r="I704" s="22"/>
    </row>
    <row r="705" spans="9:9" ht="14.25" customHeight="1">
      <c r="I705" s="22"/>
    </row>
    <row r="706" spans="9:9" ht="14.25" customHeight="1">
      <c r="I706" s="22"/>
    </row>
    <row r="707" spans="9:9" ht="14.25" customHeight="1">
      <c r="I707" s="22"/>
    </row>
    <row r="708" spans="9:9" ht="14.25" customHeight="1">
      <c r="I708" s="22"/>
    </row>
    <row r="709" spans="9:9" ht="14.25" customHeight="1">
      <c r="I709" s="22"/>
    </row>
    <row r="710" spans="9:9" ht="14.25" customHeight="1">
      <c r="I710" s="22"/>
    </row>
    <row r="711" spans="9:9" ht="14.25" customHeight="1">
      <c r="I711" s="22"/>
    </row>
    <row r="712" spans="9:9" ht="14.25" customHeight="1">
      <c r="I712" s="22"/>
    </row>
    <row r="713" spans="9:9" ht="14.25" customHeight="1">
      <c r="I713" s="22"/>
    </row>
    <row r="714" spans="9:9" ht="14.25" customHeight="1">
      <c r="I714" s="22"/>
    </row>
    <row r="715" spans="9:9" ht="14.25" customHeight="1">
      <c r="I715" s="22"/>
    </row>
    <row r="716" spans="9:9" ht="14.25" customHeight="1">
      <c r="I716" s="22"/>
    </row>
    <row r="717" spans="9:9" ht="14.25" customHeight="1">
      <c r="I717" s="22"/>
    </row>
    <row r="718" spans="9:9" ht="14.25" customHeight="1">
      <c r="I718" s="22"/>
    </row>
    <row r="719" spans="9:9" ht="14.25" customHeight="1">
      <c r="I719" s="22"/>
    </row>
    <row r="720" spans="9:9" ht="14.25" customHeight="1">
      <c r="I720" s="22"/>
    </row>
    <row r="721" spans="9:9" ht="14.25" customHeight="1">
      <c r="I721" s="22"/>
    </row>
    <row r="722" spans="9:9" ht="14.25" customHeight="1">
      <c r="I722" s="22"/>
    </row>
    <row r="723" spans="9:9" ht="14.25" customHeight="1">
      <c r="I723" s="22"/>
    </row>
    <row r="724" spans="9:9" ht="14.25" customHeight="1">
      <c r="I724" s="22"/>
    </row>
    <row r="725" spans="9:9" ht="14.25" customHeight="1">
      <c r="I725" s="22"/>
    </row>
    <row r="726" spans="9:9" ht="14.25" customHeight="1">
      <c r="I726" s="22"/>
    </row>
    <row r="727" spans="9:9" ht="14.25" customHeight="1">
      <c r="I727" s="22"/>
    </row>
    <row r="728" spans="9:9" ht="14.25" customHeight="1">
      <c r="I728" s="22"/>
    </row>
    <row r="729" spans="9:9" ht="14.25" customHeight="1">
      <c r="I729" s="22"/>
    </row>
    <row r="730" spans="9:9" ht="14.25" customHeight="1">
      <c r="I730" s="22"/>
    </row>
    <row r="731" spans="9:9" ht="14.25" customHeight="1">
      <c r="I731" s="22"/>
    </row>
    <row r="732" spans="9:9" ht="14.25" customHeight="1">
      <c r="I732" s="22"/>
    </row>
    <row r="733" spans="9:9" ht="14.25" customHeight="1">
      <c r="I733" s="22"/>
    </row>
    <row r="734" spans="9:9" ht="14.25" customHeight="1">
      <c r="I734" s="22"/>
    </row>
    <row r="735" spans="9:9" ht="14.25" customHeight="1">
      <c r="I735" s="22"/>
    </row>
    <row r="736" spans="9:9" ht="14.25" customHeight="1">
      <c r="I736" s="22"/>
    </row>
    <row r="737" spans="9:9" ht="14.25" customHeight="1">
      <c r="I737" s="22"/>
    </row>
    <row r="738" spans="9:9" ht="14.25" customHeight="1">
      <c r="I738" s="22"/>
    </row>
    <row r="739" spans="9:9" ht="14.25" customHeight="1">
      <c r="I739" s="22"/>
    </row>
    <row r="740" spans="9:9" ht="14.25" customHeight="1">
      <c r="I740" s="22"/>
    </row>
    <row r="741" spans="9:9" ht="14.25" customHeight="1">
      <c r="I741" s="22"/>
    </row>
    <row r="742" spans="9:9" ht="14.25" customHeight="1">
      <c r="I742" s="22"/>
    </row>
    <row r="743" spans="9:9" ht="14.25" customHeight="1">
      <c r="I743" s="22"/>
    </row>
    <row r="744" spans="9:9" ht="14.25" customHeight="1">
      <c r="I744" s="22"/>
    </row>
    <row r="745" spans="9:9" ht="14.25" customHeight="1">
      <c r="I745" s="22"/>
    </row>
    <row r="746" spans="9:9" ht="14.25" customHeight="1">
      <c r="I746" s="22"/>
    </row>
    <row r="747" spans="9:9" ht="14.25" customHeight="1">
      <c r="I747" s="22"/>
    </row>
    <row r="748" spans="9:9" ht="14.25" customHeight="1">
      <c r="I748" s="22"/>
    </row>
    <row r="749" spans="9:9" ht="14.25" customHeight="1">
      <c r="I749" s="22"/>
    </row>
    <row r="750" spans="9:9" ht="14.25" customHeight="1">
      <c r="I750" s="22"/>
    </row>
    <row r="751" spans="9:9" ht="14.25" customHeight="1">
      <c r="I751" s="22"/>
    </row>
    <row r="752" spans="9:9" ht="14.25" customHeight="1">
      <c r="I752" s="22"/>
    </row>
    <row r="753" spans="9:9" ht="14.25" customHeight="1">
      <c r="I753" s="22"/>
    </row>
    <row r="754" spans="9:9" ht="14.25" customHeight="1">
      <c r="I754" s="22"/>
    </row>
    <row r="755" spans="9:9" ht="14.25" customHeight="1">
      <c r="I755" s="22"/>
    </row>
    <row r="756" spans="9:9" ht="14.25" customHeight="1">
      <c r="I756" s="22"/>
    </row>
    <row r="757" spans="9:9" ht="14.25" customHeight="1">
      <c r="I757" s="22"/>
    </row>
    <row r="758" spans="9:9" ht="14.25" customHeight="1">
      <c r="I758" s="22"/>
    </row>
    <row r="759" spans="9:9" ht="14.25" customHeight="1">
      <c r="I759" s="22"/>
    </row>
    <row r="760" spans="9:9" ht="14.25" customHeight="1">
      <c r="I760" s="22"/>
    </row>
    <row r="761" spans="9:9" ht="14.25" customHeight="1">
      <c r="I761" s="22"/>
    </row>
    <row r="762" spans="9:9" ht="14.25" customHeight="1">
      <c r="I762" s="22"/>
    </row>
    <row r="763" spans="9:9" ht="14.25" customHeight="1">
      <c r="I763" s="22"/>
    </row>
    <row r="764" spans="9:9" ht="14.25" customHeight="1">
      <c r="I764" s="22"/>
    </row>
    <row r="765" spans="9:9" ht="14.25" customHeight="1">
      <c r="I765" s="22"/>
    </row>
    <row r="766" spans="9:9" ht="14.25" customHeight="1">
      <c r="I766" s="22"/>
    </row>
    <row r="767" spans="9:9" ht="14.25" customHeight="1">
      <c r="I767" s="22"/>
    </row>
    <row r="768" spans="9:9" ht="14.25" customHeight="1">
      <c r="I768" s="22"/>
    </row>
    <row r="769" spans="9:9" ht="14.25" customHeight="1">
      <c r="I769" s="22"/>
    </row>
    <row r="770" spans="9:9" ht="14.25" customHeight="1">
      <c r="I770" s="22"/>
    </row>
    <row r="771" spans="9:9" ht="14.25" customHeight="1">
      <c r="I771" s="22"/>
    </row>
    <row r="772" spans="9:9" ht="14.25" customHeight="1">
      <c r="I772" s="22"/>
    </row>
    <row r="773" spans="9:9" ht="14.25" customHeight="1">
      <c r="I773" s="22"/>
    </row>
    <row r="774" spans="9:9" ht="14.25" customHeight="1">
      <c r="I774" s="22"/>
    </row>
    <row r="775" spans="9:9" ht="14.25" customHeight="1">
      <c r="I775" s="22"/>
    </row>
    <row r="776" spans="9:9" ht="14.25" customHeight="1">
      <c r="I776" s="22"/>
    </row>
    <row r="777" spans="9:9" ht="14.25" customHeight="1">
      <c r="I777" s="22"/>
    </row>
    <row r="778" spans="9:9" ht="14.25" customHeight="1">
      <c r="I778" s="22"/>
    </row>
    <row r="779" spans="9:9" ht="14.25" customHeight="1">
      <c r="I779" s="22"/>
    </row>
    <row r="780" spans="9:9" ht="14.25" customHeight="1">
      <c r="I780" s="22"/>
    </row>
    <row r="781" spans="9:9" ht="14.25" customHeight="1">
      <c r="I781" s="22"/>
    </row>
    <row r="782" spans="9:9" ht="14.25" customHeight="1">
      <c r="I782" s="22"/>
    </row>
    <row r="783" spans="9:9" ht="14.25" customHeight="1">
      <c r="I783" s="22"/>
    </row>
    <row r="784" spans="9:9" ht="14.25" customHeight="1">
      <c r="I784" s="22"/>
    </row>
    <row r="785" spans="9:9" ht="14.25" customHeight="1">
      <c r="I785" s="22"/>
    </row>
    <row r="786" spans="9:9" ht="14.25" customHeight="1">
      <c r="I786" s="22"/>
    </row>
    <row r="787" spans="9:9" ht="14.25" customHeight="1">
      <c r="I787" s="22"/>
    </row>
    <row r="788" spans="9:9" ht="14.25" customHeight="1">
      <c r="I788" s="22"/>
    </row>
    <row r="789" spans="9:9" ht="14.25" customHeight="1">
      <c r="I789" s="22"/>
    </row>
    <row r="790" spans="9:9" ht="14.25" customHeight="1">
      <c r="I790" s="22"/>
    </row>
    <row r="791" spans="9:9" ht="14.25" customHeight="1">
      <c r="I791" s="22"/>
    </row>
    <row r="792" spans="9:9" ht="14.25" customHeight="1">
      <c r="I792" s="22"/>
    </row>
    <row r="793" spans="9:9" ht="14.25" customHeight="1">
      <c r="I793" s="22"/>
    </row>
    <row r="794" spans="9:9" ht="14.25" customHeight="1">
      <c r="I794" s="22"/>
    </row>
    <row r="795" spans="9:9" ht="14.25" customHeight="1">
      <c r="I795" s="22"/>
    </row>
    <row r="796" spans="9:9" ht="14.25" customHeight="1">
      <c r="I796" s="22"/>
    </row>
    <row r="797" spans="9:9" ht="14.25" customHeight="1">
      <c r="I797" s="22"/>
    </row>
    <row r="798" spans="9:9" ht="14.25" customHeight="1">
      <c r="I798" s="22"/>
    </row>
    <row r="799" spans="9:9" ht="14.25" customHeight="1">
      <c r="I799" s="22"/>
    </row>
    <row r="800" spans="9:9" ht="14.25" customHeight="1">
      <c r="I800" s="22"/>
    </row>
    <row r="801" spans="9:9" ht="14.25" customHeight="1">
      <c r="I801" s="22"/>
    </row>
    <row r="802" spans="9:9" ht="14.25" customHeight="1">
      <c r="I802" s="22"/>
    </row>
    <row r="803" spans="9:9" ht="14.25" customHeight="1">
      <c r="I803" s="22"/>
    </row>
    <row r="804" spans="9:9" ht="14.25" customHeight="1">
      <c r="I804" s="22"/>
    </row>
    <row r="805" spans="9:9" ht="14.25" customHeight="1">
      <c r="I805" s="22"/>
    </row>
    <row r="806" spans="9:9" ht="14.25" customHeight="1">
      <c r="I806" s="22"/>
    </row>
    <row r="807" spans="9:9" ht="14.25" customHeight="1">
      <c r="I807" s="22"/>
    </row>
    <row r="808" spans="9:9" ht="14.25" customHeight="1">
      <c r="I808" s="22"/>
    </row>
    <row r="809" spans="9:9" ht="14.25" customHeight="1">
      <c r="I809" s="22"/>
    </row>
    <row r="810" spans="9:9" ht="14.25" customHeight="1">
      <c r="I810" s="22"/>
    </row>
    <row r="811" spans="9:9" ht="14.25" customHeight="1">
      <c r="I811" s="22"/>
    </row>
    <row r="812" spans="9:9" ht="14.25" customHeight="1">
      <c r="I812" s="22"/>
    </row>
    <row r="813" spans="9:9" ht="14.25" customHeight="1">
      <c r="I813" s="22"/>
    </row>
    <row r="814" spans="9:9" ht="14.25" customHeight="1">
      <c r="I814" s="22"/>
    </row>
    <row r="815" spans="9:9" ht="14.25" customHeight="1">
      <c r="I815" s="22"/>
    </row>
    <row r="816" spans="9:9" ht="14.25" customHeight="1">
      <c r="I816" s="22"/>
    </row>
    <row r="817" spans="9:9" ht="14.25" customHeight="1">
      <c r="I817" s="22"/>
    </row>
    <row r="818" spans="9:9" ht="14.25" customHeight="1">
      <c r="I818" s="22"/>
    </row>
    <row r="819" spans="9:9" ht="14.25" customHeight="1">
      <c r="I819" s="22"/>
    </row>
    <row r="820" spans="9:9" ht="14.25" customHeight="1">
      <c r="I820" s="22"/>
    </row>
    <row r="821" spans="9:9" ht="14.25" customHeight="1">
      <c r="I821" s="22"/>
    </row>
    <row r="822" spans="9:9" ht="14.25" customHeight="1">
      <c r="I822" s="22"/>
    </row>
    <row r="823" spans="9:9" ht="14.25" customHeight="1">
      <c r="I823" s="22"/>
    </row>
    <row r="824" spans="9:9" ht="14.25" customHeight="1">
      <c r="I824" s="22"/>
    </row>
    <row r="825" spans="9:9" ht="14.25" customHeight="1">
      <c r="I825" s="22"/>
    </row>
    <row r="826" spans="9:9" ht="14.25" customHeight="1">
      <c r="I826" s="22"/>
    </row>
    <row r="827" spans="9:9" ht="14.25" customHeight="1">
      <c r="I827" s="22"/>
    </row>
    <row r="828" spans="9:9" ht="14.25" customHeight="1">
      <c r="I828" s="22"/>
    </row>
    <row r="829" spans="9:9" ht="14.25" customHeight="1">
      <c r="I829" s="22"/>
    </row>
    <row r="830" spans="9:9" ht="14.25" customHeight="1">
      <c r="I830" s="22"/>
    </row>
    <row r="831" spans="9:9" ht="14.25" customHeight="1">
      <c r="I831" s="22"/>
    </row>
    <row r="832" spans="9:9" ht="14.25" customHeight="1">
      <c r="I832" s="22"/>
    </row>
    <row r="833" spans="9:9" ht="14.25" customHeight="1">
      <c r="I833" s="22"/>
    </row>
    <row r="834" spans="9:9" ht="14.25" customHeight="1">
      <c r="I834" s="22"/>
    </row>
    <row r="835" spans="9:9" ht="14.25" customHeight="1">
      <c r="I835" s="22"/>
    </row>
    <row r="836" spans="9:9" ht="14.25" customHeight="1">
      <c r="I836" s="22"/>
    </row>
    <row r="837" spans="9:9" ht="14.25" customHeight="1">
      <c r="I837" s="22"/>
    </row>
    <row r="838" spans="9:9" ht="14.25" customHeight="1">
      <c r="I838" s="22"/>
    </row>
    <row r="839" spans="9:9" ht="14.25" customHeight="1">
      <c r="I839" s="22"/>
    </row>
    <row r="840" spans="9:9" ht="14.25" customHeight="1">
      <c r="I840" s="22"/>
    </row>
    <row r="841" spans="9:9" ht="14.25" customHeight="1">
      <c r="I841" s="22"/>
    </row>
    <row r="842" spans="9:9" ht="14.25" customHeight="1">
      <c r="I842" s="22"/>
    </row>
    <row r="843" spans="9:9" ht="14.25" customHeight="1">
      <c r="I843" s="22"/>
    </row>
    <row r="844" spans="9:9" ht="14.25" customHeight="1">
      <c r="I844" s="22"/>
    </row>
    <row r="845" spans="9:9" ht="14.25" customHeight="1">
      <c r="I845" s="22"/>
    </row>
    <row r="846" spans="9:9" ht="14.25" customHeight="1">
      <c r="I846" s="22"/>
    </row>
    <row r="847" spans="9:9" ht="14.25" customHeight="1">
      <c r="I847" s="22"/>
    </row>
    <row r="848" spans="9:9" ht="14.25" customHeight="1">
      <c r="I848" s="22"/>
    </row>
    <row r="849" spans="9:9" ht="14.25" customHeight="1">
      <c r="I849" s="22"/>
    </row>
    <row r="850" spans="9:9" ht="14.25" customHeight="1">
      <c r="I850" s="22"/>
    </row>
    <row r="851" spans="9:9" ht="14.25" customHeight="1">
      <c r="I851" s="22"/>
    </row>
    <row r="852" spans="9:9" ht="14.25" customHeight="1">
      <c r="I852" s="22"/>
    </row>
    <row r="853" spans="9:9" ht="14.25" customHeight="1">
      <c r="I853" s="22"/>
    </row>
    <row r="854" spans="9:9" ht="14.25" customHeight="1">
      <c r="I854" s="22"/>
    </row>
    <row r="855" spans="9:9" ht="14.25" customHeight="1">
      <c r="I855" s="22"/>
    </row>
    <row r="856" spans="9:9" ht="14.25" customHeight="1">
      <c r="I856" s="22"/>
    </row>
    <row r="857" spans="9:9" ht="14.25" customHeight="1">
      <c r="I857" s="22"/>
    </row>
    <row r="858" spans="9:9" ht="14.25" customHeight="1">
      <c r="I858" s="22"/>
    </row>
    <row r="859" spans="9:9" ht="14.25" customHeight="1">
      <c r="I859" s="22"/>
    </row>
    <row r="860" spans="9:9" ht="14.25" customHeight="1">
      <c r="I860" s="22"/>
    </row>
    <row r="861" spans="9:9" ht="14.25" customHeight="1">
      <c r="I861" s="22"/>
    </row>
    <row r="862" spans="9:9" ht="14.25" customHeight="1">
      <c r="I862" s="22"/>
    </row>
    <row r="863" spans="9:9" ht="14.25" customHeight="1">
      <c r="I863" s="22"/>
    </row>
    <row r="864" spans="9:9" ht="14.25" customHeight="1">
      <c r="I864" s="22"/>
    </row>
    <row r="865" spans="9:9" ht="14.25" customHeight="1">
      <c r="I865" s="22"/>
    </row>
    <row r="866" spans="9:9" ht="14.25" customHeight="1">
      <c r="I866" s="22"/>
    </row>
    <row r="867" spans="9:9" ht="14.25" customHeight="1">
      <c r="I867" s="22"/>
    </row>
    <row r="868" spans="9:9" ht="14.25" customHeight="1">
      <c r="I868" s="22"/>
    </row>
    <row r="869" spans="9:9" ht="14.25" customHeight="1">
      <c r="I869" s="22"/>
    </row>
    <row r="870" spans="9:9" ht="14.25" customHeight="1">
      <c r="I870" s="22"/>
    </row>
    <row r="871" spans="9:9" ht="14.25" customHeight="1">
      <c r="I871" s="22"/>
    </row>
    <row r="872" spans="9:9" ht="14.25" customHeight="1">
      <c r="I872" s="22"/>
    </row>
    <row r="873" spans="9:9" ht="14.25" customHeight="1">
      <c r="I873" s="22"/>
    </row>
    <row r="874" spans="9:9" ht="14.25" customHeight="1">
      <c r="I874" s="22"/>
    </row>
    <row r="875" spans="9:9" ht="14.25" customHeight="1">
      <c r="I875" s="22"/>
    </row>
    <row r="876" spans="9:9" ht="14.25" customHeight="1">
      <c r="I876" s="22"/>
    </row>
    <row r="877" spans="9:9" ht="14.25" customHeight="1">
      <c r="I877" s="22"/>
    </row>
    <row r="878" spans="9:9" ht="14.25" customHeight="1">
      <c r="I878" s="22"/>
    </row>
    <row r="879" spans="9:9" ht="14.25" customHeight="1">
      <c r="I879" s="22"/>
    </row>
    <row r="880" spans="9:9" ht="14.25" customHeight="1">
      <c r="I880" s="22"/>
    </row>
    <row r="881" spans="9:9" ht="14.25" customHeight="1">
      <c r="I881" s="22"/>
    </row>
    <row r="882" spans="9:9" ht="14.25" customHeight="1">
      <c r="I882" s="22"/>
    </row>
    <row r="883" spans="9:9" ht="14.25" customHeight="1">
      <c r="I883" s="22"/>
    </row>
    <row r="884" spans="9:9" ht="14.25" customHeight="1">
      <c r="I884" s="22"/>
    </row>
    <row r="885" spans="9:9" ht="14.25" customHeight="1">
      <c r="I885" s="22"/>
    </row>
    <row r="886" spans="9:9" ht="14.25" customHeight="1">
      <c r="I886" s="22"/>
    </row>
    <row r="887" spans="9:9" ht="14.25" customHeight="1">
      <c r="I887" s="22"/>
    </row>
    <row r="888" spans="9:9" ht="14.25" customHeight="1">
      <c r="I888" s="22"/>
    </row>
    <row r="889" spans="9:9" ht="14.25" customHeight="1">
      <c r="I889" s="22"/>
    </row>
    <row r="890" spans="9:9" ht="14.25" customHeight="1">
      <c r="I890" s="22"/>
    </row>
    <row r="891" spans="9:9" ht="14.25" customHeight="1">
      <c r="I891" s="22"/>
    </row>
    <row r="892" spans="9:9" ht="14.25" customHeight="1">
      <c r="I892" s="22"/>
    </row>
    <row r="893" spans="9:9" ht="14.25" customHeight="1">
      <c r="I893" s="22"/>
    </row>
    <row r="894" spans="9:9" ht="14.25" customHeight="1">
      <c r="I894" s="22"/>
    </row>
    <row r="895" spans="9:9" ht="14.25" customHeight="1">
      <c r="I895" s="22"/>
    </row>
    <row r="896" spans="9:9" ht="14.25" customHeight="1">
      <c r="I896" s="22"/>
    </row>
    <row r="897" spans="9:9" ht="14.25" customHeight="1">
      <c r="I897" s="22"/>
    </row>
    <row r="898" spans="9:9" ht="14.25" customHeight="1">
      <c r="I898" s="22"/>
    </row>
    <row r="899" spans="9:9" ht="14.25" customHeight="1">
      <c r="I899" s="22"/>
    </row>
    <row r="900" spans="9:9" ht="14.25" customHeight="1">
      <c r="I900" s="22"/>
    </row>
    <row r="901" spans="9:9" ht="14.25" customHeight="1">
      <c r="I901" s="22"/>
    </row>
    <row r="902" spans="9:9" ht="14.25" customHeight="1">
      <c r="I902" s="22"/>
    </row>
    <row r="903" spans="9:9" ht="14.25" customHeight="1">
      <c r="I903" s="22"/>
    </row>
    <row r="904" spans="9:9" ht="14.25" customHeight="1">
      <c r="I904" s="22"/>
    </row>
    <row r="905" spans="9:9" ht="14.25" customHeight="1">
      <c r="I905" s="22"/>
    </row>
    <row r="906" spans="9:9" ht="14.25" customHeight="1">
      <c r="I906" s="22"/>
    </row>
    <row r="907" spans="9:9" ht="14.25" customHeight="1">
      <c r="I907" s="22"/>
    </row>
    <row r="908" spans="9:9" ht="14.25" customHeight="1">
      <c r="I908" s="22"/>
    </row>
    <row r="909" spans="9:9" ht="14.25" customHeight="1">
      <c r="I909" s="22"/>
    </row>
    <row r="910" spans="9:9" ht="14.25" customHeight="1">
      <c r="I910" s="22"/>
    </row>
    <row r="911" spans="9:9" ht="14.25" customHeight="1">
      <c r="I911" s="22"/>
    </row>
    <row r="912" spans="9:9" ht="14.25" customHeight="1">
      <c r="I912" s="22"/>
    </row>
    <row r="913" spans="9:9" ht="14.25" customHeight="1">
      <c r="I913" s="22"/>
    </row>
    <row r="914" spans="9:9" ht="14.25" customHeight="1">
      <c r="I914" s="22"/>
    </row>
    <row r="915" spans="9:9" ht="14.25" customHeight="1">
      <c r="I915" s="22"/>
    </row>
    <row r="916" spans="9:9" ht="14.25" customHeight="1">
      <c r="I916" s="22"/>
    </row>
    <row r="917" spans="9:9" ht="14.25" customHeight="1">
      <c r="I917" s="22"/>
    </row>
    <row r="918" spans="9:9" ht="14.25" customHeight="1">
      <c r="I918" s="22"/>
    </row>
    <row r="919" spans="9:9" ht="14.25" customHeight="1">
      <c r="I919" s="22"/>
    </row>
    <row r="920" spans="9:9" ht="14.25" customHeight="1">
      <c r="I920" s="22"/>
    </row>
    <row r="921" spans="9:9" ht="14.25" customHeight="1">
      <c r="I921" s="22"/>
    </row>
    <row r="922" spans="9:9" ht="14.25" customHeight="1">
      <c r="I922" s="22"/>
    </row>
    <row r="923" spans="9:9" ht="14.25" customHeight="1">
      <c r="I923" s="22"/>
    </row>
    <row r="924" spans="9:9" ht="14.25" customHeight="1">
      <c r="I924" s="22"/>
    </row>
    <row r="925" spans="9:9" ht="14.25" customHeight="1">
      <c r="I925" s="22"/>
    </row>
    <row r="926" spans="9:9" ht="14.25" customHeight="1">
      <c r="I926" s="22"/>
    </row>
    <row r="927" spans="9:9" ht="14.25" customHeight="1">
      <c r="I927" s="22"/>
    </row>
    <row r="928" spans="9:9" ht="14.25" customHeight="1">
      <c r="I928" s="22"/>
    </row>
    <row r="929" spans="9:9" ht="14.25" customHeight="1">
      <c r="I929" s="22"/>
    </row>
    <row r="930" spans="9:9" ht="14.25" customHeight="1">
      <c r="I930" s="22"/>
    </row>
    <row r="931" spans="9:9" ht="14.25" customHeight="1">
      <c r="I931" s="22"/>
    </row>
    <row r="932" spans="9:9" ht="14.25" customHeight="1">
      <c r="I932" s="22"/>
    </row>
    <row r="933" spans="9:9" ht="14.25" customHeight="1">
      <c r="I933" s="22"/>
    </row>
    <row r="934" spans="9:9" ht="14.25" customHeight="1">
      <c r="I934" s="22"/>
    </row>
    <row r="935" spans="9:9" ht="14.25" customHeight="1">
      <c r="I935" s="22"/>
    </row>
    <row r="936" spans="9:9" ht="14.25" customHeight="1">
      <c r="I936" s="22"/>
    </row>
    <row r="937" spans="9:9" ht="14.25" customHeight="1">
      <c r="I937" s="22"/>
    </row>
    <row r="938" spans="9:9" ht="14.25" customHeight="1">
      <c r="I938" s="22"/>
    </row>
    <row r="939" spans="9:9" ht="14.25" customHeight="1">
      <c r="I939" s="22"/>
    </row>
    <row r="940" spans="9:9" ht="14.25" customHeight="1">
      <c r="I940" s="22"/>
    </row>
    <row r="941" spans="9:9" ht="14.25" customHeight="1">
      <c r="I941" s="22"/>
    </row>
    <row r="942" spans="9:9" ht="14.25" customHeight="1">
      <c r="I942" s="22"/>
    </row>
    <row r="943" spans="9:9" ht="14.25" customHeight="1">
      <c r="I943" s="22"/>
    </row>
    <row r="944" spans="9:9" ht="14.25" customHeight="1">
      <c r="I944" s="22"/>
    </row>
    <row r="945" spans="9:9" ht="14.25" customHeight="1">
      <c r="I945" s="22"/>
    </row>
    <row r="946" spans="9:9" ht="14.25" customHeight="1">
      <c r="I946" s="22"/>
    </row>
    <row r="947" spans="9:9" ht="14.25" customHeight="1">
      <c r="I947" s="22"/>
    </row>
    <row r="948" spans="9:9" ht="14.25" customHeight="1">
      <c r="I948" s="22"/>
    </row>
    <row r="949" spans="9:9" ht="14.25" customHeight="1">
      <c r="I949" s="22"/>
    </row>
    <row r="950" spans="9:9" ht="14.25" customHeight="1">
      <c r="I950" s="22"/>
    </row>
    <row r="951" spans="9:9" ht="14.25" customHeight="1">
      <c r="I951" s="22"/>
    </row>
    <row r="952" spans="9:9" ht="14.25" customHeight="1">
      <c r="I952" s="22"/>
    </row>
    <row r="953" spans="9:9" ht="14.25" customHeight="1">
      <c r="I953" s="22"/>
    </row>
    <row r="954" spans="9:9" ht="14.25" customHeight="1">
      <c r="I954" s="22"/>
    </row>
    <row r="955" spans="9:9" ht="14.25" customHeight="1">
      <c r="I955" s="22"/>
    </row>
    <row r="956" spans="9:9" ht="14.25" customHeight="1">
      <c r="I956" s="22"/>
    </row>
    <row r="957" spans="9:9" ht="14.25" customHeight="1">
      <c r="I957" s="22"/>
    </row>
    <row r="958" spans="9:9" ht="14.25" customHeight="1">
      <c r="I958" s="22"/>
    </row>
    <row r="959" spans="9:9" ht="14.25" customHeight="1">
      <c r="I959" s="22"/>
    </row>
    <row r="960" spans="9:9" ht="14.25" customHeight="1">
      <c r="I960" s="22"/>
    </row>
    <row r="961" spans="9:9" ht="14.25" customHeight="1">
      <c r="I961" s="22"/>
    </row>
    <row r="962" spans="9:9" ht="14.25" customHeight="1">
      <c r="I962" s="22"/>
    </row>
    <row r="963" spans="9:9" ht="14.25" customHeight="1">
      <c r="I963" s="22"/>
    </row>
    <row r="964" spans="9:9" ht="14.25" customHeight="1">
      <c r="I964" s="22"/>
    </row>
    <row r="965" spans="9:9" ht="14.25" customHeight="1">
      <c r="I965" s="22"/>
    </row>
    <row r="966" spans="9:9" ht="14.25" customHeight="1">
      <c r="I966" s="22"/>
    </row>
    <row r="967" spans="9:9" ht="14.25" customHeight="1">
      <c r="I967" s="22"/>
    </row>
    <row r="968" spans="9:9" ht="14.25" customHeight="1">
      <c r="I968" s="22"/>
    </row>
    <row r="969" spans="9:9" ht="14.25" customHeight="1">
      <c r="I969" s="22"/>
    </row>
    <row r="970" spans="9:9" ht="14.25" customHeight="1">
      <c r="I970" s="22"/>
    </row>
    <row r="971" spans="9:9" ht="14.25" customHeight="1">
      <c r="I971" s="22"/>
    </row>
    <row r="972" spans="9:9" ht="14.25" customHeight="1">
      <c r="I972" s="22"/>
    </row>
    <row r="973" spans="9:9" ht="14.25" customHeight="1">
      <c r="I973" s="22"/>
    </row>
    <row r="974" spans="9:9" ht="14.25" customHeight="1">
      <c r="I974" s="22"/>
    </row>
    <row r="975" spans="9:9" ht="14.25" customHeight="1">
      <c r="I975" s="22"/>
    </row>
    <row r="976" spans="9:9" ht="14.25" customHeight="1">
      <c r="I976" s="22"/>
    </row>
    <row r="977" spans="9:9" ht="14.25" customHeight="1">
      <c r="I977" s="22"/>
    </row>
    <row r="978" spans="9:9" ht="14.25" customHeight="1">
      <c r="I978" s="22"/>
    </row>
    <row r="979" spans="9:9" ht="14.25" customHeight="1">
      <c r="I979" s="22"/>
    </row>
    <row r="980" spans="9:9" ht="14.25" customHeight="1">
      <c r="I980" s="22"/>
    </row>
    <row r="981" spans="9:9" ht="14.25" customHeight="1">
      <c r="I981" s="22"/>
    </row>
    <row r="982" spans="9:9" ht="14.25" customHeight="1">
      <c r="I982" s="22"/>
    </row>
    <row r="983" spans="9:9" ht="14.25" customHeight="1">
      <c r="I983" s="22"/>
    </row>
    <row r="984" spans="9:9" ht="14.25" customHeight="1">
      <c r="I984" s="22"/>
    </row>
    <row r="985" spans="9:9" ht="14.25" customHeight="1">
      <c r="I985" s="22"/>
    </row>
    <row r="986" spans="9:9" ht="14.25" customHeight="1">
      <c r="I986" s="22"/>
    </row>
    <row r="987" spans="9:9" ht="14.25" customHeight="1">
      <c r="I987" s="22"/>
    </row>
    <row r="988" spans="9:9" ht="14.25" customHeight="1">
      <c r="I988" s="22"/>
    </row>
    <row r="989" spans="9:9" ht="14.25" customHeight="1">
      <c r="I989" s="22"/>
    </row>
    <row r="990" spans="9:9" ht="14.25" customHeight="1">
      <c r="I990" s="22"/>
    </row>
    <row r="991" spans="9:9" ht="14.25" customHeight="1">
      <c r="I991" s="22"/>
    </row>
    <row r="992" spans="9:9" ht="14.25" customHeight="1">
      <c r="I992" s="22"/>
    </row>
    <row r="993" spans="9:9" ht="14.25" customHeight="1">
      <c r="I993" s="22"/>
    </row>
    <row r="994" spans="9:9" ht="14.25" customHeight="1">
      <c r="I994" s="22"/>
    </row>
    <row r="995" spans="9:9" ht="14.25" customHeight="1">
      <c r="I995" s="22"/>
    </row>
    <row r="996" spans="9:9" ht="14.25" customHeight="1">
      <c r="I996" s="22"/>
    </row>
    <row r="997" spans="9:9" ht="14.25" customHeight="1">
      <c r="I997" s="22"/>
    </row>
    <row r="998" spans="9:9" ht="14.25" customHeight="1">
      <c r="I998" s="22"/>
    </row>
    <row r="999" spans="9:9" ht="14.25" customHeight="1">
      <c r="I999" s="22"/>
    </row>
    <row r="1000" spans="9:9" ht="14.25" customHeight="1">
      <c r="I1000" s="22"/>
    </row>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xSplit="1" ySplit="2" topLeftCell="B3" activePane="bottomRight" state="frozen"/>
      <selection pane="topRight" activeCell="B1" sqref="B1"/>
      <selection pane="bottomLeft" activeCell="A3" sqref="A3"/>
      <selection pane="bottomRight" sqref="A1:XFD1"/>
    </sheetView>
  </sheetViews>
  <sheetFormatPr defaultColWidth="12.6640625" defaultRowHeight="15" customHeight="1"/>
  <cols>
    <col min="1" max="1" width="56" customWidth="1"/>
    <col min="2" max="6" width="15.44140625" customWidth="1"/>
    <col min="7" max="13" width="16.109375" customWidth="1"/>
    <col min="14" max="14" width="8.88671875" customWidth="1"/>
    <col min="15" max="26" width="8.6640625" customWidth="1"/>
  </cols>
  <sheetData>
    <row r="1" spans="1:26" ht="27" customHeight="1">
      <c r="A1" s="406" t="s">
        <v>41</v>
      </c>
      <c r="B1" s="404"/>
      <c r="C1" s="404"/>
      <c r="D1" s="404"/>
      <c r="E1" s="404"/>
      <c r="F1" s="404"/>
      <c r="G1" s="404"/>
      <c r="H1" s="404"/>
      <c r="I1" s="404"/>
      <c r="J1" s="404"/>
      <c r="K1" s="404"/>
      <c r="L1" s="404"/>
      <c r="M1" s="405"/>
      <c r="N1" s="46"/>
      <c r="O1" s="11"/>
      <c r="P1" s="11"/>
      <c r="Q1" s="11"/>
      <c r="R1" s="11"/>
      <c r="S1" s="11"/>
      <c r="T1" s="11"/>
      <c r="U1" s="11"/>
      <c r="V1" s="11"/>
      <c r="W1" s="11"/>
      <c r="X1" s="11"/>
      <c r="Y1" s="11"/>
      <c r="Z1" s="11"/>
    </row>
    <row r="2" spans="1:26" ht="14.25" customHeight="1">
      <c r="A2" s="47" t="s">
        <v>42</v>
      </c>
      <c r="B2" s="47">
        <v>2019</v>
      </c>
      <c r="C2" s="47">
        <v>2020</v>
      </c>
      <c r="D2" s="47">
        <v>2021</v>
      </c>
      <c r="E2" s="47">
        <v>2022</v>
      </c>
      <c r="F2" s="47">
        <v>2023</v>
      </c>
      <c r="G2" s="47">
        <v>2024</v>
      </c>
      <c r="H2" s="47">
        <v>2025</v>
      </c>
      <c r="I2" s="48">
        <v>2026</v>
      </c>
      <c r="J2" s="49">
        <v>2027</v>
      </c>
      <c r="K2" s="49">
        <v>2028</v>
      </c>
      <c r="L2" s="49">
        <v>2029</v>
      </c>
      <c r="M2" s="49">
        <v>2030</v>
      </c>
      <c r="N2" s="46"/>
      <c r="O2" s="11"/>
      <c r="P2" s="11"/>
      <c r="Q2" s="11"/>
      <c r="R2" s="11"/>
      <c r="S2" s="11"/>
      <c r="T2" s="11"/>
      <c r="U2" s="11"/>
      <c r="V2" s="11"/>
      <c r="W2" s="11"/>
      <c r="X2" s="11"/>
      <c r="Y2" s="11"/>
      <c r="Z2" s="11"/>
    </row>
    <row r="3" spans="1:26" ht="14.25" customHeight="1">
      <c r="A3" s="11" t="s">
        <v>2</v>
      </c>
      <c r="B3" s="11">
        <v>44216827</v>
      </c>
      <c r="C3" s="11">
        <v>49215361</v>
      </c>
      <c r="D3" s="11">
        <v>51172154</v>
      </c>
      <c r="E3" s="11">
        <v>60211220</v>
      </c>
      <c r="F3" s="11">
        <v>96938522</v>
      </c>
      <c r="G3" s="11">
        <v>111930270</v>
      </c>
      <c r="H3" s="11">
        <v>125172015</v>
      </c>
      <c r="I3" s="50">
        <f t="shared" ref="I3:M3" si="0">I38</f>
        <v>140360013.12</v>
      </c>
      <c r="J3" s="51">
        <f t="shared" si="0"/>
        <v>157395674.46240002</v>
      </c>
      <c r="K3" s="51">
        <f t="shared" si="0"/>
        <v>176504484.13108805</v>
      </c>
      <c r="L3" s="51">
        <f t="shared" si="0"/>
        <v>197939550.26999861</v>
      </c>
      <c r="M3" s="51">
        <f t="shared" si="0"/>
        <v>221985003.55205548</v>
      </c>
      <c r="N3" s="46"/>
      <c r="O3" s="11"/>
      <c r="P3" s="11"/>
      <c r="Q3" s="11"/>
      <c r="R3" s="11"/>
      <c r="S3" s="11"/>
      <c r="T3" s="11"/>
      <c r="U3" s="11"/>
      <c r="V3" s="11"/>
      <c r="W3" s="11"/>
      <c r="X3" s="11"/>
      <c r="Y3" s="11"/>
      <c r="Z3" s="11"/>
    </row>
    <row r="4" spans="1:26" ht="14.25" customHeight="1">
      <c r="A4" s="52" t="s">
        <v>43</v>
      </c>
      <c r="B4" s="52">
        <v>-32953571</v>
      </c>
      <c r="C4" s="52">
        <v>-38202972</v>
      </c>
      <c r="D4" s="52">
        <v>-40665744</v>
      </c>
      <c r="E4" s="52">
        <v>-47833437</v>
      </c>
      <c r="F4" s="52">
        <v>-73755671</v>
      </c>
      <c r="G4" s="52">
        <v>-84863456</v>
      </c>
      <c r="H4" s="52">
        <v>-95595789</v>
      </c>
      <c r="I4" s="53">
        <f>-I3*(Assumptions!I14)</f>
        <v>-106802122.50122553</v>
      </c>
      <c r="J4" s="54">
        <f>-J3*(Assumptions!J14)</f>
        <v>-119764822.83971065</v>
      </c>
      <c r="K4" s="54">
        <f>-K3*(Assumptions!K14)</f>
        <v>-134305014.06456468</v>
      </c>
      <c r="L4" s="54">
        <f>-L3*(Assumptions!L14)</f>
        <v>-150615290.10901448</v>
      </c>
      <c r="M4" s="54">
        <f>-M3*(Assumptions!M14)</f>
        <v>-168911850.43230361</v>
      </c>
      <c r="N4" s="46"/>
      <c r="O4" s="11"/>
      <c r="P4" s="11"/>
      <c r="Q4" s="11"/>
      <c r="R4" s="11"/>
      <c r="S4" s="11"/>
      <c r="T4" s="11"/>
      <c r="U4" s="11"/>
      <c r="V4" s="11"/>
      <c r="W4" s="11"/>
      <c r="X4" s="11"/>
      <c r="Y4" s="11"/>
      <c r="Z4" s="11"/>
    </row>
    <row r="5" spans="1:26" ht="14.25" customHeight="1">
      <c r="A5" s="11" t="s">
        <v>44</v>
      </c>
      <c r="B5" s="11">
        <v>11263256</v>
      </c>
      <c r="C5" s="11">
        <v>11012389</v>
      </c>
      <c r="D5" s="11">
        <v>10506410</v>
      </c>
      <c r="E5" s="11">
        <v>12377783</v>
      </c>
      <c r="F5" s="11">
        <v>23182851</v>
      </c>
      <c r="G5" s="11">
        <v>27066814</v>
      </c>
      <c r="H5" s="11">
        <v>29576226</v>
      </c>
      <c r="I5" s="50">
        <f t="shared" ref="I5:M5" si="1">I3+I4</f>
        <v>33557890.618774474</v>
      </c>
      <c r="J5" s="51">
        <f t="shared" si="1"/>
        <v>37630851.622689366</v>
      </c>
      <c r="K5" s="51">
        <f t="shared" si="1"/>
        <v>42199470.066523373</v>
      </c>
      <c r="L5" s="51">
        <f t="shared" si="1"/>
        <v>47324260.160984129</v>
      </c>
      <c r="M5" s="51">
        <f t="shared" si="1"/>
        <v>53073153.119751871</v>
      </c>
      <c r="N5" s="46"/>
      <c r="O5" s="11"/>
      <c r="P5" s="11"/>
      <c r="Q5" s="11"/>
      <c r="R5" s="11"/>
      <c r="S5" s="11"/>
      <c r="T5" s="11"/>
      <c r="U5" s="11"/>
      <c r="V5" s="11"/>
      <c r="W5" s="11"/>
      <c r="X5" s="11"/>
      <c r="Y5" s="11"/>
      <c r="Z5" s="11"/>
    </row>
    <row r="6" spans="1:26" ht="14.25" customHeight="1">
      <c r="A6" s="11" t="s">
        <v>3</v>
      </c>
      <c r="B6" s="11">
        <v>138025</v>
      </c>
      <c r="C6" s="11">
        <v>153337</v>
      </c>
      <c r="D6" s="11">
        <v>343869</v>
      </c>
      <c r="E6" s="11">
        <v>193922</v>
      </c>
      <c r="F6" s="11">
        <v>304414</v>
      </c>
      <c r="G6" s="11">
        <v>530383</v>
      </c>
      <c r="H6" s="11">
        <v>350172</v>
      </c>
      <c r="I6" s="50">
        <f>I3*Assumptions!I9</f>
        <v>421080.03936</v>
      </c>
      <c r="J6" s="51">
        <f>J3*Assumptions!J9</f>
        <v>472187.02338720008</v>
      </c>
      <c r="K6" s="51">
        <f>K3*Assumptions!K9</f>
        <v>529513.45239326416</v>
      </c>
      <c r="L6" s="51">
        <f>L3*Assumptions!L9</f>
        <v>593818.65080999583</v>
      </c>
      <c r="M6" s="51">
        <f>M3*Assumptions!M9</f>
        <v>665955.01065616647</v>
      </c>
      <c r="N6" s="46"/>
      <c r="O6" s="11"/>
      <c r="P6" s="11"/>
      <c r="Q6" s="11"/>
      <c r="R6" s="11"/>
      <c r="S6" s="11"/>
      <c r="T6" s="11"/>
      <c r="U6" s="11"/>
      <c r="V6" s="11"/>
      <c r="W6" s="11"/>
      <c r="X6" s="11"/>
      <c r="Y6" s="11"/>
      <c r="Z6" s="11"/>
    </row>
    <row r="7" spans="1:26" ht="14.25" customHeight="1">
      <c r="A7" s="52" t="s">
        <v>45</v>
      </c>
      <c r="B7" s="52">
        <v>0</v>
      </c>
      <c r="C7" s="52">
        <v>155609</v>
      </c>
      <c r="D7" s="52">
        <v>0</v>
      </c>
      <c r="E7" s="52">
        <v>160230</v>
      </c>
      <c r="F7" s="52">
        <v>163100</v>
      </c>
      <c r="G7" s="52">
        <v>5000</v>
      </c>
      <c r="H7" s="52">
        <v>45800</v>
      </c>
      <c r="I7" s="53">
        <f>AVERAGE(B7:H7)</f>
        <v>75677</v>
      </c>
      <c r="J7" s="54">
        <f t="shared" ref="J7:M7" si="2">I7</f>
        <v>75677</v>
      </c>
      <c r="K7" s="54">
        <f t="shared" si="2"/>
        <v>75677</v>
      </c>
      <c r="L7" s="54">
        <f t="shared" si="2"/>
        <v>75677</v>
      </c>
      <c r="M7" s="54">
        <f t="shared" si="2"/>
        <v>75677</v>
      </c>
      <c r="N7" s="46"/>
      <c r="O7" s="11"/>
      <c r="P7" s="11"/>
      <c r="Q7" s="11"/>
      <c r="R7" s="11"/>
      <c r="S7" s="11"/>
      <c r="T7" s="11"/>
      <c r="U7" s="11"/>
      <c r="V7" s="11"/>
      <c r="W7" s="11"/>
      <c r="X7" s="11"/>
      <c r="Y7" s="11"/>
      <c r="Z7" s="11"/>
    </row>
    <row r="8" spans="1:26" ht="14.25" customHeight="1">
      <c r="A8" s="11"/>
      <c r="B8" s="11">
        <f t="shared" ref="B8:M8" si="3">SUM(B5:B7)</f>
        <v>11401281</v>
      </c>
      <c r="C8" s="11">
        <f t="shared" si="3"/>
        <v>11321335</v>
      </c>
      <c r="D8" s="11">
        <f t="shared" si="3"/>
        <v>10850279</v>
      </c>
      <c r="E8" s="11">
        <f t="shared" si="3"/>
        <v>12731935</v>
      </c>
      <c r="F8" s="11">
        <f t="shared" si="3"/>
        <v>23650365</v>
      </c>
      <c r="G8" s="11">
        <f t="shared" si="3"/>
        <v>27602197</v>
      </c>
      <c r="H8" s="11">
        <f t="shared" si="3"/>
        <v>29972198</v>
      </c>
      <c r="I8" s="50">
        <f t="shared" si="3"/>
        <v>34054647.658134475</v>
      </c>
      <c r="J8" s="51">
        <f t="shared" si="3"/>
        <v>38178715.646076567</v>
      </c>
      <c r="K8" s="51">
        <f t="shared" si="3"/>
        <v>42804660.518916637</v>
      </c>
      <c r="L8" s="51">
        <f t="shared" si="3"/>
        <v>47993755.811794125</v>
      </c>
      <c r="M8" s="51">
        <f t="shared" si="3"/>
        <v>53814785.130408034</v>
      </c>
      <c r="N8" s="46"/>
      <c r="O8" s="11"/>
      <c r="P8" s="11"/>
      <c r="Q8" s="11"/>
      <c r="R8" s="11"/>
      <c r="S8" s="11"/>
      <c r="T8" s="11"/>
      <c r="U8" s="11"/>
      <c r="V8" s="11"/>
      <c r="W8" s="11"/>
      <c r="X8" s="11"/>
      <c r="Y8" s="11"/>
      <c r="Z8" s="11"/>
    </row>
    <row r="9" spans="1:26" ht="14.25" customHeight="1">
      <c r="A9" s="11" t="s">
        <v>30</v>
      </c>
      <c r="B9" s="11">
        <v>-3030771</v>
      </c>
      <c r="C9" s="11">
        <v>-3021787</v>
      </c>
      <c r="D9" s="11">
        <v>-2907551</v>
      </c>
      <c r="E9" s="11">
        <v>-3513337</v>
      </c>
      <c r="F9" s="11">
        <v>-6017299</v>
      </c>
      <c r="G9" s="11">
        <v>-7513637</v>
      </c>
      <c r="H9" s="11">
        <v>-8081843</v>
      </c>
      <c r="I9" s="50">
        <f>-I3*Assumptions!I17</f>
        <v>-8800150.6500149667</v>
      </c>
      <c r="J9" s="51">
        <f>-J3*Assumptions!J17</f>
        <v>-9736778.6697734445</v>
      </c>
      <c r="K9" s="51">
        <f>-K3*Assumptions!K17</f>
        <v>-10930546.513808854</v>
      </c>
      <c r="L9" s="51">
        <f>-L3*Assumptions!L17</f>
        <v>-12402438.144808939</v>
      </c>
      <c r="M9" s="51">
        <f>-M3*Assumptions!M17</f>
        <v>-14045671.19190472</v>
      </c>
      <c r="N9" s="46"/>
      <c r="O9" s="11"/>
      <c r="P9" s="11"/>
      <c r="Q9" s="11"/>
      <c r="R9" s="11"/>
      <c r="S9" s="11"/>
      <c r="T9" s="11"/>
      <c r="U9" s="11"/>
      <c r="V9" s="11"/>
      <c r="W9" s="11"/>
      <c r="X9" s="11"/>
      <c r="Y9" s="11"/>
      <c r="Z9" s="11"/>
    </row>
    <row r="10" spans="1:26" ht="14.25" customHeight="1">
      <c r="A10" s="11" t="s">
        <v>31</v>
      </c>
      <c r="B10" s="11">
        <v>-1656879</v>
      </c>
      <c r="C10" s="11">
        <v>-1780647</v>
      </c>
      <c r="D10" s="11">
        <v>-1898861</v>
      </c>
      <c r="E10" s="11">
        <v>-2366434</v>
      </c>
      <c r="F10" s="11">
        <v>-3099889</v>
      </c>
      <c r="G10" s="11">
        <v>-4159701</v>
      </c>
      <c r="H10" s="11">
        <v>-4637792</v>
      </c>
      <c r="I10" s="50">
        <f>-(I3*Assumptions!I20)</f>
        <v>-5200527.817402564</v>
      </c>
      <c r="J10" s="51">
        <f>-(J3*Assumptions!J20)</f>
        <v>-5831722.0495038209</v>
      </c>
      <c r="K10" s="51">
        <f>-(K3*Assumptions!K20)</f>
        <v>-6539729.2235591719</v>
      </c>
      <c r="L10" s="51">
        <f>-(L3*Assumptions!L20)</f>
        <v>-7333927.3377183974</v>
      </c>
      <c r="M10" s="51">
        <f>-(M3*Assumptions!M20)</f>
        <v>-8224843.8166765505</v>
      </c>
      <c r="N10" s="46"/>
      <c r="O10" s="11"/>
      <c r="P10" s="11"/>
      <c r="Q10" s="11"/>
      <c r="R10" s="11"/>
      <c r="S10" s="11"/>
      <c r="T10" s="11"/>
      <c r="U10" s="11"/>
      <c r="V10" s="11"/>
      <c r="W10" s="11"/>
      <c r="X10" s="11"/>
      <c r="Y10" s="11"/>
      <c r="Z10" s="11"/>
    </row>
    <row r="11" spans="1:26" ht="14.25" customHeight="1">
      <c r="A11" s="11" t="s">
        <v>32</v>
      </c>
      <c r="B11" s="11">
        <v>-413166</v>
      </c>
      <c r="C11" s="11">
        <v>-545086</v>
      </c>
      <c r="D11" s="11">
        <v>-722065</v>
      </c>
      <c r="E11" s="11">
        <v>-676286</v>
      </c>
      <c r="F11" s="11">
        <v>-715125</v>
      </c>
      <c r="G11" s="11">
        <v>-562631</v>
      </c>
      <c r="H11" s="11">
        <v>-653710</v>
      </c>
      <c r="I11" s="50">
        <f>-I3*Assumptions!I23</f>
        <v>-733029.21724696376</v>
      </c>
      <c r="J11" s="51">
        <f>-J3*Assumptions!J23</f>
        <v>-821997.84315060778</v>
      </c>
      <c r="K11" s="51">
        <f>-K3*Assumptions!K23</f>
        <v>-921793.47213779041</v>
      </c>
      <c r="L11" s="51">
        <f>-L3*Assumptions!L23</f>
        <v>-1033737.9597748012</v>
      </c>
      <c r="M11" s="51">
        <f>-M3*Assumptions!M23</f>
        <v>-1159315.1765753247</v>
      </c>
      <c r="N11" s="46"/>
      <c r="O11" s="11"/>
      <c r="P11" s="11"/>
      <c r="Q11" s="11"/>
      <c r="R11" s="11"/>
      <c r="S11" s="11"/>
      <c r="T11" s="11"/>
      <c r="U11" s="11"/>
      <c r="V11" s="11"/>
      <c r="W11" s="11"/>
      <c r="X11" s="11"/>
      <c r="Y11" s="11"/>
      <c r="Z11" s="11"/>
    </row>
    <row r="12" spans="1:26" ht="14.25" customHeight="1">
      <c r="A12" s="11" t="s">
        <v>46</v>
      </c>
      <c r="B12" s="11"/>
      <c r="C12" s="11"/>
      <c r="D12" s="11">
        <v>0</v>
      </c>
      <c r="E12" s="11">
        <v>0</v>
      </c>
      <c r="F12" s="11">
        <v>0</v>
      </c>
      <c r="G12" s="11">
        <v>0</v>
      </c>
      <c r="H12" s="11">
        <v>0</v>
      </c>
      <c r="I12" s="50">
        <v>0</v>
      </c>
      <c r="J12" s="51">
        <v>0</v>
      </c>
      <c r="K12" s="51">
        <v>0</v>
      </c>
      <c r="L12" s="51">
        <v>0</v>
      </c>
      <c r="M12" s="51">
        <v>0</v>
      </c>
      <c r="N12" s="46"/>
      <c r="O12" s="11"/>
      <c r="P12" s="11"/>
      <c r="Q12" s="11"/>
      <c r="R12" s="11"/>
      <c r="S12" s="11"/>
      <c r="T12" s="11"/>
      <c r="U12" s="11"/>
      <c r="V12" s="11"/>
      <c r="W12" s="11"/>
      <c r="X12" s="11"/>
      <c r="Y12" s="11"/>
      <c r="Z12" s="11"/>
    </row>
    <row r="13" spans="1:26" ht="14.25" customHeight="1">
      <c r="A13" s="11" t="s">
        <v>47</v>
      </c>
      <c r="B13" s="11">
        <v>0</v>
      </c>
      <c r="C13" s="11">
        <v>0</v>
      </c>
      <c r="D13" s="11">
        <v>0</v>
      </c>
      <c r="E13" s="11">
        <v>0</v>
      </c>
      <c r="F13" s="11">
        <v>0</v>
      </c>
      <c r="G13" s="11">
        <v>0</v>
      </c>
      <c r="H13" s="11">
        <v>0</v>
      </c>
      <c r="I13" s="50">
        <v>0</v>
      </c>
      <c r="J13" s="51">
        <v>0</v>
      </c>
      <c r="K13" s="51">
        <v>0</v>
      </c>
      <c r="L13" s="51">
        <v>0</v>
      </c>
      <c r="M13" s="51">
        <v>0</v>
      </c>
      <c r="N13" s="46"/>
      <c r="O13" s="11"/>
      <c r="P13" s="11"/>
      <c r="Q13" s="11"/>
      <c r="R13" s="11"/>
      <c r="S13" s="11"/>
      <c r="T13" s="11"/>
      <c r="U13" s="11"/>
      <c r="V13" s="11"/>
      <c r="W13" s="11"/>
      <c r="X13" s="11"/>
      <c r="Y13" s="11"/>
      <c r="Z13" s="11"/>
    </row>
    <row r="14" spans="1:26" ht="14.25" customHeight="1">
      <c r="A14" s="52" t="s">
        <v>48</v>
      </c>
      <c r="B14" s="11" t="s">
        <v>5</v>
      </c>
      <c r="C14" s="11">
        <v>-740315</v>
      </c>
      <c r="D14" s="11"/>
      <c r="E14" s="11">
        <v>-463578</v>
      </c>
      <c r="F14" s="11">
        <v>-353229</v>
      </c>
      <c r="G14" s="11">
        <v>291063</v>
      </c>
      <c r="H14" s="11" t="s">
        <v>5</v>
      </c>
      <c r="I14" s="53"/>
      <c r="J14" s="54"/>
      <c r="K14" s="54"/>
      <c r="L14" s="54"/>
      <c r="M14" s="54"/>
      <c r="N14" s="46"/>
      <c r="O14" s="11"/>
      <c r="P14" s="11"/>
      <c r="Q14" s="11"/>
      <c r="R14" s="11"/>
      <c r="S14" s="11"/>
      <c r="T14" s="11"/>
      <c r="U14" s="11"/>
      <c r="V14" s="11"/>
      <c r="W14" s="11"/>
      <c r="X14" s="11"/>
      <c r="Y14" s="11"/>
      <c r="Z14" s="11"/>
    </row>
    <row r="15" spans="1:26" ht="14.25" customHeight="1">
      <c r="A15" s="55" t="s">
        <v>49</v>
      </c>
      <c r="B15" s="56">
        <f t="shared" ref="B15:D15" si="4">SUM(B8:B14)</f>
        <v>6300465</v>
      </c>
      <c r="C15" s="56">
        <f t="shared" si="4"/>
        <v>5233500</v>
      </c>
      <c r="D15" s="56">
        <f t="shared" si="4"/>
        <v>5321802</v>
      </c>
      <c r="E15" s="56">
        <v>5712300</v>
      </c>
      <c r="F15" s="56">
        <f t="shared" ref="F15:G15" si="5">SUM(F8:F14)</f>
        <v>13464823</v>
      </c>
      <c r="G15" s="56">
        <f t="shared" si="5"/>
        <v>15657291</v>
      </c>
      <c r="H15" s="56">
        <v>16598854</v>
      </c>
      <c r="I15" s="50">
        <f t="shared" ref="I15:M15" si="6">SUM(I8:I14)</f>
        <v>19320939.97346998</v>
      </c>
      <c r="J15" s="51">
        <f t="shared" si="6"/>
        <v>21788217.083648693</v>
      </c>
      <c r="K15" s="51">
        <f t="shared" si="6"/>
        <v>24412591.309410822</v>
      </c>
      <c r="L15" s="51">
        <f t="shared" si="6"/>
        <v>27223652.369491987</v>
      </c>
      <c r="M15" s="51">
        <f t="shared" si="6"/>
        <v>30384954.945251435</v>
      </c>
      <c r="N15" s="46"/>
      <c r="O15" s="11"/>
      <c r="P15" s="11"/>
      <c r="Q15" s="11"/>
      <c r="R15" s="11"/>
      <c r="S15" s="11"/>
      <c r="T15" s="11"/>
      <c r="U15" s="11"/>
      <c r="V15" s="11"/>
      <c r="W15" s="11"/>
      <c r="X15" s="11"/>
      <c r="Y15" s="11"/>
      <c r="Z15" s="11"/>
    </row>
    <row r="16" spans="1:26" ht="14.25" customHeight="1">
      <c r="A16" s="11" t="s">
        <v>33</v>
      </c>
      <c r="B16" s="11">
        <v>1009923</v>
      </c>
      <c r="C16" s="11">
        <v>950905</v>
      </c>
      <c r="D16" s="11">
        <v>664193</v>
      </c>
      <c r="E16" s="11">
        <v>627596</v>
      </c>
      <c r="F16" s="11">
        <v>1411521</v>
      </c>
      <c r="G16" s="11">
        <v>1152128</v>
      </c>
      <c r="H16" s="11">
        <v>1002843</v>
      </c>
      <c r="I16" s="57">
        <f>I3*Assumptions!I26</f>
        <v>1124524.971794216</v>
      </c>
      <c r="J16" s="58">
        <f>J3*Assumptions!J26</f>
        <v>1261009.9019728701</v>
      </c>
      <c r="K16" s="58">
        <f>K3*Assumptions!K26</f>
        <v>1414104.3138074651</v>
      </c>
      <c r="L16" s="58">
        <f>L3*Assumptions!L26</f>
        <v>1585836.038601889</v>
      </c>
      <c r="M16" s="58">
        <f>M3*Assumptions!M26</f>
        <v>1778481.4514422731</v>
      </c>
      <c r="N16" s="46"/>
      <c r="O16" s="11"/>
      <c r="P16" s="11"/>
      <c r="Q16" s="11"/>
      <c r="R16" s="11"/>
      <c r="S16" s="11"/>
      <c r="T16" s="11"/>
      <c r="U16" s="11"/>
      <c r="V16" s="11"/>
      <c r="W16" s="11"/>
      <c r="X16" s="11"/>
      <c r="Y16" s="11"/>
      <c r="Z16" s="11"/>
    </row>
    <row r="17" spans="1:26" ht="14.25" customHeight="1">
      <c r="A17" s="11" t="s">
        <v>50</v>
      </c>
      <c r="B17" s="11">
        <v>-2094515</v>
      </c>
      <c r="C17" s="11">
        <v>-1690165</v>
      </c>
      <c r="D17" s="11">
        <v>-1252404</v>
      </c>
      <c r="E17" s="11">
        <v>-454720</v>
      </c>
      <c r="F17" s="11">
        <v>-3615441</v>
      </c>
      <c r="G17" s="11">
        <v>-2786126</v>
      </c>
      <c r="H17" s="11">
        <v>-1565473</v>
      </c>
      <c r="I17" s="57">
        <f>-'Loan Schedule'!B5</f>
        <v>-1077448.6100000001</v>
      </c>
      <c r="J17" s="58">
        <f>-'Loan Schedule'!C5</f>
        <v>-883951.21520292351</v>
      </c>
      <c r="K17" s="58">
        <f>-'Loan Schedule'!D5</f>
        <v>-647652.19667673367</v>
      </c>
      <c r="L17" s="58">
        <f>-'Loan Schedule'!E5</f>
        <v>-359083.83525255066</v>
      </c>
      <c r="M17" s="58">
        <f>-'Loan Schedule'!F5</f>
        <v>-6684.1522813383117</v>
      </c>
      <c r="N17" s="46"/>
      <c r="O17" s="11"/>
      <c r="P17" s="11"/>
      <c r="Q17" s="11"/>
      <c r="R17" s="11"/>
      <c r="S17" s="11"/>
      <c r="T17" s="11"/>
      <c r="U17" s="11"/>
      <c r="V17" s="11"/>
      <c r="W17" s="11"/>
      <c r="X17" s="11"/>
      <c r="Y17" s="11"/>
      <c r="Z17" s="11"/>
    </row>
    <row r="18" spans="1:26" ht="14.25" customHeight="1">
      <c r="A18" s="52" t="s">
        <v>51</v>
      </c>
      <c r="B18" s="59">
        <v>-1084592</v>
      </c>
      <c r="C18" s="59">
        <v>-739260</v>
      </c>
      <c r="D18" s="59">
        <v>-588211</v>
      </c>
      <c r="E18" s="59">
        <v>172876</v>
      </c>
      <c r="F18" s="59">
        <v>-2203920</v>
      </c>
      <c r="G18" s="59">
        <v>-1633998</v>
      </c>
      <c r="H18" s="59">
        <v>-562630</v>
      </c>
      <c r="I18" s="60">
        <f t="shared" ref="I18:M18" si="7">I16+I17</f>
        <v>47076.36179421586</v>
      </c>
      <c r="J18" s="61">
        <f t="shared" si="7"/>
        <v>377058.68676994659</v>
      </c>
      <c r="K18" s="61">
        <f t="shared" si="7"/>
        <v>766452.11713073147</v>
      </c>
      <c r="L18" s="61">
        <f t="shared" si="7"/>
        <v>1226752.2033493384</v>
      </c>
      <c r="M18" s="61">
        <f t="shared" si="7"/>
        <v>1771797.2991609348</v>
      </c>
      <c r="N18" s="46"/>
      <c r="O18" s="11"/>
      <c r="P18" s="11"/>
      <c r="Q18" s="11"/>
      <c r="R18" s="11"/>
      <c r="S18" s="11"/>
      <c r="T18" s="11"/>
      <c r="U18" s="11"/>
      <c r="V18" s="11"/>
      <c r="W18" s="11"/>
      <c r="X18" s="11"/>
      <c r="Y18" s="11"/>
      <c r="Z18" s="11"/>
    </row>
    <row r="19" spans="1:26" ht="14.25" customHeight="1">
      <c r="A19" s="55" t="s">
        <v>52</v>
      </c>
      <c r="B19" s="56">
        <v>5215873</v>
      </c>
      <c r="C19" s="56">
        <v>4494240</v>
      </c>
      <c r="D19" s="56">
        <v>4284507</v>
      </c>
      <c r="E19" s="56">
        <v>5885176</v>
      </c>
      <c r="F19" s="56">
        <v>11260903</v>
      </c>
      <c r="G19" s="56">
        <v>14023293</v>
      </c>
      <c r="H19" s="11">
        <v>16036224</v>
      </c>
      <c r="I19" s="50">
        <f t="shared" ref="I19:M19" si="8">I15+I18</f>
        <v>19368016.335264195</v>
      </c>
      <c r="J19" s="51">
        <f t="shared" si="8"/>
        <v>22165275.77041864</v>
      </c>
      <c r="K19" s="51">
        <f t="shared" si="8"/>
        <v>25179043.426541552</v>
      </c>
      <c r="L19" s="51">
        <f t="shared" si="8"/>
        <v>28450404.572841324</v>
      </c>
      <c r="M19" s="51">
        <f t="shared" si="8"/>
        <v>32156752.24441237</v>
      </c>
      <c r="N19" s="46"/>
      <c r="O19" s="11"/>
      <c r="P19" s="11"/>
      <c r="Q19" s="11"/>
      <c r="R19" s="11"/>
      <c r="S19" s="11"/>
      <c r="T19" s="11"/>
      <c r="U19" s="11"/>
      <c r="V19" s="11"/>
      <c r="W19" s="11"/>
      <c r="X19" s="11"/>
      <c r="Y19" s="11"/>
      <c r="Z19" s="11"/>
    </row>
    <row r="20" spans="1:26" ht="14.25" customHeight="1">
      <c r="A20" s="11" t="s">
        <v>53</v>
      </c>
      <c r="B20" s="11">
        <v>-2150610</v>
      </c>
      <c r="C20" s="62">
        <v>-1677977</v>
      </c>
      <c r="D20" s="63">
        <v>-1850010</v>
      </c>
      <c r="E20" s="63">
        <v>-2063378</v>
      </c>
      <c r="F20" s="63">
        <v>-4514799</v>
      </c>
      <c r="G20" s="63">
        <v>-6047684</v>
      </c>
      <c r="H20" s="11">
        <v>-6378562</v>
      </c>
      <c r="I20" s="50">
        <f>-I19*Assumptions!I29</f>
        <v>-7940540.7065893682</v>
      </c>
      <c r="J20" s="51">
        <f>-J19*Assumptions!J29</f>
        <v>-9154270.9935222194</v>
      </c>
      <c r="K20" s="51">
        <f>-K19*Assumptions!K29</f>
        <v>-10245707.619808972</v>
      </c>
      <c r="L20" s="51">
        <f>-L19*Assumptions!L29</f>
        <v>-11663686.943227325</v>
      </c>
      <c r="M20" s="51">
        <f>-M19*Assumptions!M29</f>
        <v>-13182984.622007351</v>
      </c>
      <c r="N20" s="46"/>
      <c r="O20" s="11"/>
      <c r="P20" s="11"/>
      <c r="Q20" s="11"/>
      <c r="R20" s="11"/>
      <c r="S20" s="11"/>
      <c r="T20" s="11"/>
      <c r="U20" s="11"/>
      <c r="V20" s="11"/>
      <c r="W20" s="11"/>
      <c r="X20" s="11"/>
      <c r="Y20" s="11"/>
      <c r="Z20" s="11"/>
    </row>
    <row r="21" spans="1:26" ht="14.25" customHeight="1">
      <c r="A21" s="64" t="s">
        <v>19</v>
      </c>
      <c r="B21" s="64">
        <v>3065263</v>
      </c>
      <c r="C21" s="64">
        <v>2816263</v>
      </c>
      <c r="D21" s="64">
        <v>2434497</v>
      </c>
      <c r="E21" s="64">
        <v>3821798</v>
      </c>
      <c r="F21" s="64">
        <v>6746104</v>
      </c>
      <c r="G21" s="64">
        <v>7975609</v>
      </c>
      <c r="H21" s="64">
        <v>9657662</v>
      </c>
      <c r="I21" s="65">
        <f t="shared" ref="I21:M21" si="9">I19+I20</f>
        <v>11427475.628674828</v>
      </c>
      <c r="J21" s="66">
        <f t="shared" si="9"/>
        <v>13011004.776896421</v>
      </c>
      <c r="K21" s="66">
        <f t="shared" si="9"/>
        <v>14933335.80673258</v>
      </c>
      <c r="L21" s="66">
        <f t="shared" si="9"/>
        <v>16786717.629613999</v>
      </c>
      <c r="M21" s="66">
        <f t="shared" si="9"/>
        <v>18973767.622405019</v>
      </c>
      <c r="N21" s="46"/>
      <c r="O21" s="11"/>
      <c r="P21" s="11"/>
      <c r="Q21" s="11"/>
      <c r="R21" s="11"/>
      <c r="S21" s="11"/>
      <c r="T21" s="11"/>
      <c r="U21" s="11"/>
      <c r="V21" s="11"/>
      <c r="W21" s="11"/>
      <c r="X21" s="11"/>
      <c r="Y21" s="11"/>
      <c r="Z21" s="11"/>
    </row>
    <row r="22" spans="1:26" ht="14.25" customHeight="1">
      <c r="A22" s="11"/>
      <c r="B22" s="11"/>
      <c r="C22" s="11"/>
      <c r="D22" s="11"/>
      <c r="E22" s="11"/>
      <c r="F22" s="11"/>
      <c r="G22" s="11"/>
      <c r="H22" s="11"/>
      <c r="I22" s="50"/>
      <c r="J22" s="51"/>
      <c r="K22" s="51"/>
      <c r="L22" s="51"/>
      <c r="M22" s="51"/>
      <c r="N22" s="46"/>
      <c r="O22" s="11"/>
      <c r="P22" s="11"/>
      <c r="Q22" s="11"/>
      <c r="R22" s="11"/>
      <c r="S22" s="11"/>
      <c r="T22" s="11"/>
      <c r="U22" s="11"/>
      <c r="V22" s="11"/>
      <c r="W22" s="11"/>
      <c r="X22" s="11"/>
      <c r="Y22" s="11"/>
      <c r="Z22" s="11"/>
    </row>
    <row r="23" spans="1:26" ht="14.25" customHeight="1">
      <c r="A23" s="11"/>
      <c r="B23" s="11"/>
      <c r="C23" s="11"/>
      <c r="D23" s="11"/>
      <c r="E23" s="11"/>
      <c r="F23" s="11"/>
      <c r="G23" s="11"/>
      <c r="H23" s="11"/>
      <c r="I23" s="50"/>
      <c r="J23" s="51"/>
      <c r="K23" s="51"/>
      <c r="L23" s="51"/>
      <c r="M23" s="51"/>
      <c r="N23" s="46"/>
      <c r="O23" s="11"/>
      <c r="P23" s="11"/>
      <c r="Q23" s="11"/>
      <c r="R23" s="11"/>
      <c r="S23" s="11"/>
      <c r="T23" s="11"/>
      <c r="U23" s="11"/>
      <c r="V23" s="11"/>
      <c r="W23" s="11"/>
      <c r="X23" s="11"/>
      <c r="Y23" s="11"/>
      <c r="Z23" s="11"/>
    </row>
    <row r="24" spans="1:26" ht="14.25" customHeight="1">
      <c r="A24" s="11" t="s">
        <v>54</v>
      </c>
      <c r="B24" s="11"/>
      <c r="C24" s="11"/>
      <c r="D24" s="11"/>
      <c r="E24" s="11"/>
      <c r="F24" s="11"/>
      <c r="G24" s="11"/>
      <c r="H24" s="11"/>
      <c r="I24" s="50"/>
      <c r="J24" s="51"/>
      <c r="K24" s="51"/>
      <c r="L24" s="51"/>
      <c r="M24" s="51"/>
      <c r="N24" s="46"/>
      <c r="O24" s="11"/>
      <c r="P24" s="11"/>
      <c r="Q24" s="11"/>
      <c r="R24" s="11"/>
      <c r="S24" s="11"/>
      <c r="T24" s="11"/>
      <c r="U24" s="11"/>
      <c r="V24" s="11"/>
      <c r="W24" s="11"/>
      <c r="X24" s="11"/>
      <c r="Y24" s="11"/>
      <c r="Z24" s="11"/>
    </row>
    <row r="25" spans="1:26" ht="14.25" customHeight="1">
      <c r="A25" s="67" t="s">
        <v>55</v>
      </c>
      <c r="B25" s="11">
        <v>1527293</v>
      </c>
      <c r="C25" s="11">
        <v>1473471</v>
      </c>
      <c r="D25" s="11">
        <v>1254900</v>
      </c>
      <c r="E25" s="11">
        <v>2452270</v>
      </c>
      <c r="F25" s="11">
        <v>3407614</v>
      </c>
      <c r="G25" s="11">
        <v>3962948</v>
      </c>
      <c r="H25" s="11">
        <v>4958100</v>
      </c>
      <c r="I25" s="50">
        <f t="shared" ref="I25:M25" si="10">I21*0.5</f>
        <v>5713737.8143374138</v>
      </c>
      <c r="J25" s="51">
        <f t="shared" si="10"/>
        <v>6505502.3884482104</v>
      </c>
      <c r="K25" s="51">
        <f t="shared" si="10"/>
        <v>7466667.90336629</v>
      </c>
      <c r="L25" s="51">
        <f t="shared" si="10"/>
        <v>8393358.8148069996</v>
      </c>
      <c r="M25" s="51">
        <f t="shared" si="10"/>
        <v>9486883.8112025093</v>
      </c>
      <c r="N25" s="46"/>
      <c r="O25" s="11"/>
      <c r="P25" s="11"/>
      <c r="Q25" s="11"/>
      <c r="R25" s="11"/>
      <c r="S25" s="11"/>
      <c r="T25" s="11"/>
      <c r="U25" s="11"/>
      <c r="V25" s="11"/>
      <c r="W25" s="11"/>
      <c r="X25" s="11"/>
      <c r="Y25" s="11"/>
      <c r="Z25" s="11"/>
    </row>
    <row r="26" spans="1:26" ht="14.25" customHeight="1">
      <c r="A26" s="11" t="s">
        <v>56</v>
      </c>
      <c r="B26" s="11">
        <v>1537970</v>
      </c>
      <c r="C26" s="11">
        <v>1342792</v>
      </c>
      <c r="D26" s="11">
        <v>1180269</v>
      </c>
      <c r="E26" s="11">
        <v>2100614</v>
      </c>
      <c r="F26" s="11">
        <v>3338490</v>
      </c>
      <c r="G26" s="11">
        <v>4012661</v>
      </c>
      <c r="H26" s="11">
        <v>4394730</v>
      </c>
      <c r="I26" s="50">
        <f t="shared" ref="I26:M26" si="11">I21*0.5</f>
        <v>5713737.8143374138</v>
      </c>
      <c r="J26" s="51">
        <f t="shared" si="11"/>
        <v>6505502.3884482104</v>
      </c>
      <c r="K26" s="51">
        <f t="shared" si="11"/>
        <v>7466667.90336629</v>
      </c>
      <c r="L26" s="51">
        <f t="shared" si="11"/>
        <v>8393358.8148069996</v>
      </c>
      <c r="M26" s="51">
        <f t="shared" si="11"/>
        <v>9486883.8112025093</v>
      </c>
      <c r="N26" s="46"/>
      <c r="O26" s="11"/>
      <c r="P26" s="11"/>
      <c r="Q26" s="11"/>
      <c r="R26" s="11"/>
      <c r="S26" s="11"/>
      <c r="T26" s="11"/>
      <c r="U26" s="11"/>
      <c r="V26" s="11"/>
      <c r="W26" s="11"/>
      <c r="X26" s="11"/>
      <c r="Y26" s="11"/>
      <c r="Z26" s="11"/>
    </row>
    <row r="27" spans="1:26" ht="14.25" customHeight="1">
      <c r="A27" s="68" t="s">
        <v>57</v>
      </c>
      <c r="B27" s="68">
        <v>3065263</v>
      </c>
      <c r="C27" s="68">
        <v>2816263</v>
      </c>
      <c r="D27" s="68">
        <v>2434497</v>
      </c>
      <c r="E27" s="68">
        <v>3821798</v>
      </c>
      <c r="F27" s="68">
        <v>6746104</v>
      </c>
      <c r="G27" s="68">
        <v>7975609</v>
      </c>
      <c r="H27" s="68">
        <f t="shared" ref="H27:M27" si="12">H25+H26</f>
        <v>9352830</v>
      </c>
      <c r="I27" s="69">
        <f t="shared" si="12"/>
        <v>11427475.628674828</v>
      </c>
      <c r="J27" s="68">
        <f t="shared" si="12"/>
        <v>13011004.776896421</v>
      </c>
      <c r="K27" s="68">
        <f t="shared" si="12"/>
        <v>14933335.80673258</v>
      </c>
      <c r="L27" s="68">
        <f t="shared" si="12"/>
        <v>16786717.629613999</v>
      </c>
      <c r="M27" s="68">
        <f t="shared" si="12"/>
        <v>18973767.622405019</v>
      </c>
      <c r="N27" s="46"/>
      <c r="O27" s="11"/>
      <c r="P27" s="11"/>
      <c r="Q27" s="11"/>
      <c r="R27" s="11"/>
      <c r="S27" s="11"/>
      <c r="T27" s="11"/>
      <c r="U27" s="11"/>
      <c r="V27" s="11"/>
      <c r="W27" s="11"/>
      <c r="X27" s="11"/>
      <c r="Y27" s="11"/>
      <c r="Z27" s="11"/>
    </row>
    <row r="28" spans="1:26" ht="14.25" customHeight="1">
      <c r="A28" s="11"/>
      <c r="B28" s="11"/>
      <c r="C28" s="11"/>
      <c r="D28" s="11"/>
      <c r="E28" s="11"/>
      <c r="F28" s="11"/>
      <c r="G28" s="11"/>
      <c r="H28" s="11"/>
      <c r="I28" s="50"/>
      <c r="J28" s="51"/>
      <c r="K28" s="51"/>
      <c r="L28" s="51"/>
      <c r="M28" s="51"/>
      <c r="N28" s="46"/>
      <c r="O28" s="11"/>
      <c r="P28" s="11"/>
      <c r="Q28" s="11"/>
      <c r="R28" s="11"/>
      <c r="S28" s="11"/>
      <c r="T28" s="11"/>
      <c r="U28" s="11"/>
      <c r="V28" s="11"/>
      <c r="W28" s="11"/>
      <c r="X28" s="11"/>
      <c r="Y28" s="11"/>
      <c r="Z28" s="11"/>
    </row>
    <row r="29" spans="1:26" ht="14.25" customHeight="1">
      <c r="A29" s="68" t="s">
        <v>58</v>
      </c>
      <c r="B29" s="68">
        <v>72.77</v>
      </c>
      <c r="C29" s="68">
        <v>70.209999999999994</v>
      </c>
      <c r="D29" s="68">
        <v>59.77</v>
      </c>
      <c r="E29" s="68">
        <v>98.64</v>
      </c>
      <c r="F29" s="68">
        <v>162.36000000000001</v>
      </c>
      <c r="G29" s="68">
        <v>188.82</v>
      </c>
      <c r="H29" s="68">
        <v>243.82</v>
      </c>
      <c r="I29" s="70">
        <f>I25/DCF!$C$21</f>
        <v>272.23715041899544</v>
      </c>
      <c r="J29" s="71">
        <f>J25/DCF!$C$21</f>
        <v>309.96162054042128</v>
      </c>
      <c r="K29" s="71">
        <f>K25/DCF!$C$21</f>
        <v>355.75737970278811</v>
      </c>
      <c r="L29" s="71">
        <f>L25/DCF!$C$21</f>
        <v>399.91055950336596</v>
      </c>
      <c r="M29" s="71">
        <f>M25/DCF!$C$21</f>
        <v>452.01272775190643</v>
      </c>
      <c r="N29" s="11"/>
      <c r="O29" s="11"/>
      <c r="P29" s="11"/>
      <c r="Q29" s="11"/>
      <c r="R29" s="11"/>
      <c r="S29" s="11"/>
      <c r="T29" s="11"/>
      <c r="U29" s="11"/>
      <c r="V29" s="11"/>
      <c r="W29" s="11"/>
      <c r="X29" s="11"/>
      <c r="Y29" s="11"/>
      <c r="Z29" s="11"/>
    </row>
    <row r="30" spans="1:26" ht="14.25" customHeight="1">
      <c r="A30" s="11"/>
      <c r="B30" s="11"/>
      <c r="C30" s="11"/>
      <c r="D30" s="11"/>
      <c r="E30" s="11"/>
      <c r="F30" s="11"/>
      <c r="G30" s="11"/>
      <c r="H30" s="11"/>
      <c r="I30" s="46"/>
      <c r="J30" s="11"/>
      <c r="K30" s="11"/>
      <c r="L30" s="11"/>
      <c r="M30" s="11"/>
      <c r="N30" s="46"/>
      <c r="O30" s="11"/>
      <c r="P30" s="11"/>
      <c r="Q30" s="11"/>
      <c r="R30" s="11"/>
      <c r="S30" s="11"/>
      <c r="T30" s="11"/>
      <c r="U30" s="11"/>
      <c r="V30" s="11"/>
      <c r="W30" s="11"/>
      <c r="X30" s="11"/>
      <c r="Y30" s="11"/>
      <c r="Z30" s="11"/>
    </row>
    <row r="31" spans="1:26" ht="14.25" customHeight="1">
      <c r="A31" s="11"/>
      <c r="B31" s="33">
        <f t="shared" ref="B31:E31" si="13">B25/B21</f>
        <v>0.49825838761633179</v>
      </c>
      <c r="C31" s="33">
        <f t="shared" si="13"/>
        <v>0.52320078060891329</v>
      </c>
      <c r="D31" s="33">
        <f t="shared" si="13"/>
        <v>0.515465823124859</v>
      </c>
      <c r="E31" s="33">
        <f t="shared" si="13"/>
        <v>0.64165348351744389</v>
      </c>
      <c r="F31" s="33"/>
      <c r="G31" s="33"/>
      <c r="H31" s="33"/>
      <c r="I31" s="46"/>
      <c r="J31" s="11"/>
      <c r="K31" s="11"/>
      <c r="L31" s="11"/>
      <c r="M31" s="11"/>
      <c r="N31" s="46"/>
      <c r="O31" s="11"/>
      <c r="P31" s="11"/>
      <c r="Q31" s="11"/>
      <c r="R31" s="11"/>
      <c r="S31" s="11"/>
      <c r="T31" s="11"/>
      <c r="U31" s="11"/>
      <c r="V31" s="11"/>
      <c r="W31" s="11"/>
      <c r="X31" s="11"/>
      <c r="Y31" s="11"/>
      <c r="Z31" s="11"/>
    </row>
    <row r="32" spans="1:26" ht="14.25" customHeight="1">
      <c r="A32" s="11"/>
      <c r="B32" s="11"/>
      <c r="C32" s="11"/>
      <c r="D32" s="11"/>
      <c r="E32" s="11"/>
      <c r="F32" s="11"/>
      <c r="G32" s="11"/>
      <c r="H32" s="11"/>
      <c r="I32" s="46"/>
      <c r="J32" s="11"/>
      <c r="K32" s="11"/>
      <c r="L32" s="11"/>
      <c r="M32" s="11"/>
      <c r="N32" s="46"/>
      <c r="O32" s="11"/>
      <c r="P32" s="11"/>
      <c r="Q32" s="11"/>
      <c r="R32" s="11"/>
      <c r="S32" s="11"/>
      <c r="T32" s="11"/>
      <c r="U32" s="11"/>
      <c r="V32" s="11"/>
      <c r="W32" s="11"/>
      <c r="X32" s="11"/>
      <c r="Y32" s="11"/>
      <c r="Z32" s="11"/>
    </row>
    <row r="33" spans="1:26" ht="14.25" customHeight="1">
      <c r="A33" s="72"/>
      <c r="B33" s="72"/>
      <c r="C33" s="72"/>
      <c r="D33" s="72"/>
      <c r="E33" s="72"/>
      <c r="F33" s="72"/>
      <c r="G33" s="72"/>
      <c r="H33" s="72"/>
      <c r="I33" s="73"/>
      <c r="J33" s="11"/>
      <c r="K33" s="11"/>
      <c r="L33" s="11"/>
      <c r="M33" s="11"/>
      <c r="N33" s="46"/>
      <c r="O33" s="11"/>
      <c r="P33" s="11"/>
      <c r="Q33" s="11"/>
      <c r="R33" s="11"/>
      <c r="S33" s="11"/>
      <c r="T33" s="11"/>
      <c r="U33" s="11"/>
      <c r="V33" s="11"/>
      <c r="W33" s="11"/>
      <c r="X33" s="11"/>
      <c r="Y33" s="11"/>
      <c r="Z33" s="11"/>
    </row>
    <row r="34" spans="1:26" ht="14.25" customHeight="1">
      <c r="A34" s="47" t="s">
        <v>59</v>
      </c>
      <c r="B34" s="47"/>
      <c r="C34" s="47"/>
      <c r="D34" s="47"/>
      <c r="E34" s="47"/>
      <c r="F34" s="47"/>
      <c r="G34" s="47"/>
      <c r="H34" s="47"/>
      <c r="I34" s="74"/>
      <c r="J34" s="47"/>
      <c r="K34" s="47"/>
      <c r="L34" s="47"/>
      <c r="M34" s="47"/>
      <c r="N34" s="46"/>
      <c r="O34" s="11"/>
      <c r="P34" s="11"/>
      <c r="Q34" s="11"/>
      <c r="R34" s="11"/>
      <c r="S34" s="11"/>
      <c r="T34" s="11"/>
      <c r="U34" s="11"/>
      <c r="V34" s="11"/>
      <c r="W34" s="11"/>
      <c r="X34" s="11"/>
      <c r="Y34" s="11"/>
      <c r="Z34" s="11"/>
    </row>
    <row r="35" spans="1:26" ht="14.25" customHeight="1">
      <c r="A35" s="75" t="s">
        <v>60</v>
      </c>
      <c r="B35" s="11"/>
      <c r="C35" s="11"/>
      <c r="D35" s="11"/>
      <c r="E35" s="11"/>
      <c r="F35" s="11"/>
      <c r="G35" s="11"/>
      <c r="H35" s="11"/>
      <c r="I35" s="46"/>
      <c r="J35" s="11"/>
      <c r="K35" s="11"/>
      <c r="L35" s="11"/>
      <c r="M35" s="11"/>
      <c r="N35" s="46"/>
      <c r="O35" s="11"/>
      <c r="P35" s="11"/>
      <c r="Q35" s="11"/>
      <c r="R35" s="11"/>
      <c r="S35" s="11"/>
      <c r="T35" s="11"/>
      <c r="U35" s="11"/>
      <c r="V35" s="11"/>
      <c r="W35" s="11"/>
      <c r="X35" s="11"/>
      <c r="Y35" s="11"/>
      <c r="Z35" s="11"/>
    </row>
    <row r="36" spans="1:26" ht="14.25" customHeight="1">
      <c r="A36" s="11" t="s">
        <v>24</v>
      </c>
      <c r="B36" s="11">
        <v>42423178</v>
      </c>
      <c r="C36" s="11">
        <v>47377113</v>
      </c>
      <c r="D36" s="11">
        <v>49410688</v>
      </c>
      <c r="E36" s="11">
        <v>58074985</v>
      </c>
      <c r="F36" s="11">
        <v>92707538</v>
      </c>
      <c r="G36" s="11">
        <v>107033659</v>
      </c>
      <c r="H36" s="11">
        <v>119593471</v>
      </c>
      <c r="I36" s="46">
        <f>H36*(1+Assumptions!I5)</f>
        <v>133944687.52000001</v>
      </c>
      <c r="J36" s="11">
        <f>I36*(1+Assumptions!J5)</f>
        <v>150018050.02240002</v>
      </c>
      <c r="K36" s="11">
        <f>J36*(1+Assumptions!K5)</f>
        <v>168020216.02508804</v>
      </c>
      <c r="L36" s="11">
        <f>K36*(1+Assumptions!L5)</f>
        <v>188182641.94809863</v>
      </c>
      <c r="M36" s="11">
        <f>L36*(1+Assumptions!M5)</f>
        <v>210764558.98187047</v>
      </c>
      <c r="N36" s="46"/>
      <c r="O36" s="11"/>
      <c r="P36" s="11"/>
      <c r="Q36" s="11"/>
      <c r="R36" s="11"/>
      <c r="S36" s="11"/>
      <c r="T36" s="11"/>
      <c r="U36" s="11"/>
      <c r="V36" s="11"/>
      <c r="W36" s="11"/>
      <c r="X36" s="11"/>
      <c r="Y36" s="11"/>
      <c r="Z36" s="11"/>
    </row>
    <row r="37" spans="1:26" ht="14.25" customHeight="1">
      <c r="A37" s="11" t="s">
        <v>61</v>
      </c>
      <c r="B37" s="11">
        <v>1793649</v>
      </c>
      <c r="C37" s="11">
        <v>1838248</v>
      </c>
      <c r="D37" s="11">
        <v>1761466</v>
      </c>
      <c r="E37" s="11">
        <v>2136235</v>
      </c>
      <c r="F37" s="11">
        <v>4230984</v>
      </c>
      <c r="G37" s="11">
        <v>4896611</v>
      </c>
      <c r="H37" s="11">
        <v>5578544</v>
      </c>
      <c r="I37" s="46">
        <f>H37*(1+Assumptions!I6)</f>
        <v>6415325.5999999996</v>
      </c>
      <c r="J37" s="11">
        <f>I37*(1+Assumptions!J6)</f>
        <v>7377624.4399999985</v>
      </c>
      <c r="K37" s="11">
        <f>J37*(1+Assumptions!K6)</f>
        <v>8484268.1059999969</v>
      </c>
      <c r="L37" s="11">
        <f>K37*(1+Assumptions!L6)</f>
        <v>9756908.3218999952</v>
      </c>
      <c r="M37" s="11">
        <f>L37*(1+Assumptions!M6)</f>
        <v>11220444.570184994</v>
      </c>
      <c r="N37" s="46"/>
      <c r="O37" s="11"/>
      <c r="P37" s="11"/>
      <c r="Q37" s="11"/>
      <c r="R37" s="11"/>
      <c r="S37" s="11"/>
      <c r="T37" s="11"/>
      <c r="U37" s="11"/>
      <c r="V37" s="11"/>
      <c r="W37" s="11"/>
      <c r="X37" s="11"/>
      <c r="Y37" s="11"/>
      <c r="Z37" s="11"/>
    </row>
    <row r="38" spans="1:26" ht="14.25" customHeight="1">
      <c r="A38" s="76" t="s">
        <v>62</v>
      </c>
      <c r="B38" s="76">
        <f t="shared" ref="B38:M38" si="14">SUM(B36:B37)</f>
        <v>44216827</v>
      </c>
      <c r="C38" s="76">
        <f t="shared" si="14"/>
        <v>49215361</v>
      </c>
      <c r="D38" s="76">
        <f t="shared" si="14"/>
        <v>51172154</v>
      </c>
      <c r="E38" s="76">
        <f t="shared" si="14"/>
        <v>60211220</v>
      </c>
      <c r="F38" s="76">
        <f t="shared" si="14"/>
        <v>96938522</v>
      </c>
      <c r="G38" s="76">
        <f t="shared" si="14"/>
        <v>111930270</v>
      </c>
      <c r="H38" s="76">
        <f t="shared" si="14"/>
        <v>125172015</v>
      </c>
      <c r="I38" s="77">
        <f t="shared" si="14"/>
        <v>140360013.12</v>
      </c>
      <c r="J38" s="76">
        <f t="shared" si="14"/>
        <v>157395674.46240002</v>
      </c>
      <c r="K38" s="76">
        <f t="shared" si="14"/>
        <v>176504484.13108805</v>
      </c>
      <c r="L38" s="76">
        <f t="shared" si="14"/>
        <v>197939550.26999861</v>
      </c>
      <c r="M38" s="76">
        <f t="shared" si="14"/>
        <v>221985003.55205548</v>
      </c>
      <c r="N38" s="78"/>
      <c r="O38" s="55"/>
      <c r="P38" s="55"/>
      <c r="Q38" s="55"/>
      <c r="R38" s="55"/>
      <c r="S38" s="55"/>
      <c r="T38" s="55"/>
      <c r="U38" s="55"/>
      <c r="V38" s="55"/>
      <c r="W38" s="55"/>
      <c r="X38" s="55"/>
      <c r="Y38" s="55"/>
      <c r="Z38" s="55"/>
    </row>
    <row r="39" spans="1:26" ht="14.25" customHeight="1">
      <c r="A39" s="11"/>
      <c r="B39" s="11"/>
      <c r="C39" s="11"/>
      <c r="D39" s="11"/>
      <c r="E39" s="11"/>
      <c r="F39" s="11"/>
      <c r="G39" s="11"/>
      <c r="H39" s="11"/>
      <c r="I39" s="46"/>
      <c r="J39" s="11"/>
      <c r="K39" s="11"/>
      <c r="L39" s="11"/>
      <c r="M39" s="11"/>
      <c r="N39" s="46"/>
      <c r="O39" s="11"/>
      <c r="P39" s="11"/>
      <c r="Q39" s="11"/>
      <c r="R39" s="11"/>
      <c r="S39" s="11"/>
      <c r="T39" s="11"/>
      <c r="U39" s="11"/>
      <c r="V39" s="11"/>
      <c r="W39" s="11"/>
      <c r="X39" s="11"/>
      <c r="Y39" s="11"/>
      <c r="Z39" s="11"/>
    </row>
    <row r="40" spans="1:26" ht="14.25" customHeight="1">
      <c r="A40" s="11"/>
      <c r="B40" s="11"/>
      <c r="C40" s="11"/>
      <c r="D40" s="11"/>
      <c r="E40" s="11"/>
      <c r="F40" s="11"/>
      <c r="G40" s="11"/>
      <c r="H40" s="11"/>
      <c r="I40" s="46"/>
      <c r="J40" s="11"/>
      <c r="K40" s="11"/>
      <c r="L40" s="11"/>
      <c r="M40" s="11"/>
      <c r="N40" s="46"/>
      <c r="O40" s="11"/>
      <c r="P40" s="11"/>
      <c r="Q40" s="11"/>
      <c r="R40" s="11"/>
      <c r="S40" s="11"/>
      <c r="T40" s="11"/>
      <c r="U40" s="11"/>
      <c r="V40" s="11"/>
      <c r="W40" s="11"/>
      <c r="X40" s="11"/>
      <c r="Y40" s="11"/>
      <c r="Z40" s="11"/>
    </row>
    <row r="41" spans="1:26" ht="14.25" customHeight="1">
      <c r="A41" s="11"/>
      <c r="B41" s="11"/>
      <c r="C41" s="11"/>
      <c r="D41" s="11"/>
      <c r="E41" s="11"/>
      <c r="F41" s="11"/>
      <c r="G41" s="11"/>
      <c r="H41" s="11"/>
      <c r="I41" s="46"/>
      <c r="J41" s="11"/>
      <c r="K41" s="11"/>
      <c r="L41" s="11"/>
      <c r="M41" s="11"/>
      <c r="N41" s="46"/>
      <c r="O41" s="11"/>
      <c r="P41" s="11"/>
      <c r="Q41" s="11"/>
      <c r="R41" s="11"/>
      <c r="S41" s="11"/>
      <c r="T41" s="11"/>
      <c r="U41" s="11"/>
      <c r="V41" s="11"/>
      <c r="W41" s="11"/>
      <c r="X41" s="11"/>
      <c r="Y41" s="11"/>
      <c r="Z41" s="11"/>
    </row>
    <row r="42" spans="1:26" ht="14.25" customHeight="1">
      <c r="A42" s="11"/>
      <c r="B42" s="11"/>
      <c r="C42" s="11"/>
      <c r="D42" s="11"/>
      <c r="E42" s="11"/>
      <c r="F42" s="11"/>
      <c r="G42" s="11"/>
      <c r="H42" s="11"/>
      <c r="I42" s="46"/>
      <c r="J42" s="11"/>
      <c r="K42" s="11"/>
      <c r="L42" s="11"/>
      <c r="M42" s="11"/>
      <c r="N42" s="46"/>
      <c r="O42" s="11"/>
      <c r="P42" s="11"/>
      <c r="Q42" s="11"/>
      <c r="R42" s="11"/>
      <c r="S42" s="11"/>
      <c r="T42" s="11"/>
      <c r="U42" s="11"/>
      <c r="V42" s="11"/>
      <c r="W42" s="11"/>
      <c r="X42" s="11"/>
      <c r="Y42" s="11"/>
      <c r="Z42" s="11"/>
    </row>
    <row r="43" spans="1:26" ht="14.25" customHeight="1">
      <c r="A43" s="11"/>
      <c r="B43" s="11"/>
      <c r="C43" s="11"/>
      <c r="D43" s="11"/>
      <c r="E43" s="11"/>
      <c r="F43" s="11"/>
      <c r="G43" s="11"/>
      <c r="H43" s="11"/>
      <c r="I43" s="46"/>
      <c r="J43" s="11"/>
      <c r="K43" s="11"/>
      <c r="L43" s="11"/>
      <c r="M43" s="11"/>
      <c r="N43" s="46"/>
      <c r="O43" s="11"/>
      <c r="P43" s="11"/>
      <c r="Q43" s="11"/>
      <c r="R43" s="11"/>
      <c r="S43" s="11"/>
      <c r="T43" s="11"/>
      <c r="U43" s="11"/>
      <c r="V43" s="11"/>
      <c r="W43" s="11"/>
      <c r="X43" s="11"/>
      <c r="Y43" s="11"/>
      <c r="Z43" s="11"/>
    </row>
    <row r="44" spans="1:26" ht="14.25" customHeight="1">
      <c r="A44" s="11"/>
      <c r="B44" s="11"/>
      <c r="C44" s="11"/>
      <c r="D44" s="11"/>
      <c r="E44" s="11"/>
      <c r="F44" s="11"/>
      <c r="G44" s="11"/>
      <c r="H44" s="11"/>
      <c r="I44" s="46"/>
      <c r="J44" s="11"/>
      <c r="K44" s="11"/>
      <c r="L44" s="11"/>
      <c r="M44" s="11"/>
      <c r="N44" s="46"/>
      <c r="O44" s="11"/>
      <c r="P44" s="11"/>
      <c r="Q44" s="11"/>
      <c r="R44" s="11"/>
      <c r="S44" s="11"/>
      <c r="T44" s="11"/>
      <c r="U44" s="11"/>
      <c r="V44" s="11"/>
      <c r="W44" s="11"/>
      <c r="X44" s="11"/>
      <c r="Y44" s="11"/>
      <c r="Z44" s="11"/>
    </row>
    <row r="45" spans="1:26" ht="14.25" customHeight="1">
      <c r="A45" s="11"/>
      <c r="B45" s="11"/>
      <c r="C45" s="11"/>
      <c r="D45" s="11"/>
      <c r="E45" s="11"/>
      <c r="F45" s="11"/>
      <c r="G45" s="11"/>
      <c r="H45" s="11"/>
      <c r="I45" s="46"/>
      <c r="J45" s="11"/>
      <c r="K45" s="11"/>
      <c r="L45" s="11"/>
      <c r="M45" s="11"/>
      <c r="N45" s="46"/>
      <c r="O45" s="11"/>
      <c r="P45" s="11"/>
      <c r="Q45" s="11"/>
      <c r="R45" s="11"/>
      <c r="S45" s="11"/>
      <c r="T45" s="11"/>
      <c r="U45" s="11"/>
      <c r="V45" s="11"/>
      <c r="W45" s="11"/>
      <c r="X45" s="11"/>
      <c r="Y45" s="11"/>
      <c r="Z45" s="11"/>
    </row>
    <row r="46" spans="1:26" ht="14.25" customHeight="1">
      <c r="A46" s="11"/>
      <c r="B46" s="11"/>
      <c r="C46" s="11"/>
      <c r="D46" s="11"/>
      <c r="E46" s="11"/>
      <c r="F46" s="11"/>
      <c r="G46" s="11"/>
      <c r="H46" s="11"/>
      <c r="I46" s="46"/>
      <c r="J46" s="11"/>
      <c r="K46" s="11"/>
      <c r="L46" s="11"/>
      <c r="M46" s="11"/>
      <c r="N46" s="46"/>
      <c r="O46" s="11"/>
      <c r="P46" s="11"/>
      <c r="Q46" s="11"/>
      <c r="R46" s="11"/>
      <c r="S46" s="11"/>
      <c r="T46" s="11"/>
      <c r="U46" s="11"/>
      <c r="V46" s="11"/>
      <c r="W46" s="11"/>
      <c r="X46" s="11"/>
      <c r="Y46" s="11"/>
      <c r="Z46" s="11"/>
    </row>
    <row r="47" spans="1:26" ht="14.25" customHeight="1">
      <c r="A47" s="11"/>
      <c r="B47" s="11"/>
      <c r="C47" s="11"/>
      <c r="D47" s="11"/>
      <c r="E47" s="11"/>
      <c r="F47" s="11"/>
      <c r="G47" s="11"/>
      <c r="H47" s="11"/>
      <c r="I47" s="46"/>
      <c r="J47" s="11"/>
      <c r="K47" s="11"/>
      <c r="L47" s="11"/>
      <c r="M47" s="11"/>
      <c r="N47" s="46"/>
      <c r="O47" s="11"/>
      <c r="P47" s="11"/>
      <c r="Q47" s="11"/>
      <c r="R47" s="11"/>
      <c r="S47" s="11"/>
      <c r="T47" s="11"/>
      <c r="U47" s="11"/>
      <c r="V47" s="11"/>
      <c r="W47" s="11"/>
      <c r="X47" s="11"/>
      <c r="Y47" s="11"/>
      <c r="Z47" s="11"/>
    </row>
    <row r="48" spans="1:26" ht="14.25" customHeight="1">
      <c r="A48" s="11"/>
      <c r="B48" s="11"/>
      <c r="C48" s="11"/>
      <c r="D48" s="11"/>
      <c r="E48" s="11"/>
      <c r="F48" s="11"/>
      <c r="G48" s="11"/>
      <c r="H48" s="11"/>
      <c r="I48" s="46"/>
      <c r="J48" s="11"/>
      <c r="K48" s="11"/>
      <c r="L48" s="11"/>
      <c r="M48" s="11"/>
      <c r="N48" s="46"/>
      <c r="O48" s="11"/>
      <c r="P48" s="11"/>
      <c r="Q48" s="11"/>
      <c r="R48" s="11"/>
      <c r="S48" s="11"/>
      <c r="T48" s="11"/>
      <c r="U48" s="11"/>
      <c r="V48" s="11"/>
      <c r="W48" s="11"/>
      <c r="X48" s="11"/>
      <c r="Y48" s="11"/>
      <c r="Z48" s="11"/>
    </row>
    <row r="49" spans="1:26" ht="14.25" customHeight="1">
      <c r="A49" s="11"/>
      <c r="B49" s="11"/>
      <c r="C49" s="11"/>
      <c r="D49" s="11"/>
      <c r="E49" s="11"/>
      <c r="F49" s="11"/>
      <c r="G49" s="11"/>
      <c r="H49" s="11"/>
      <c r="I49" s="46"/>
      <c r="J49" s="11"/>
      <c r="K49" s="11"/>
      <c r="L49" s="11"/>
      <c r="M49" s="11"/>
      <c r="N49" s="46"/>
      <c r="O49" s="11"/>
      <c r="P49" s="11"/>
      <c r="Q49" s="11"/>
      <c r="R49" s="11"/>
      <c r="S49" s="11"/>
      <c r="T49" s="11"/>
      <c r="U49" s="11"/>
      <c r="V49" s="11"/>
      <c r="W49" s="11"/>
      <c r="X49" s="11"/>
      <c r="Y49" s="11"/>
      <c r="Z49" s="11"/>
    </row>
    <row r="50" spans="1:26" ht="14.25" customHeight="1">
      <c r="A50" s="11"/>
      <c r="B50" s="11"/>
      <c r="C50" s="11"/>
      <c r="D50" s="11"/>
      <c r="E50" s="11"/>
      <c r="F50" s="11"/>
      <c r="G50" s="11"/>
      <c r="H50" s="11"/>
      <c r="I50" s="46"/>
      <c r="J50" s="11"/>
      <c r="K50" s="11"/>
      <c r="L50" s="11"/>
      <c r="M50" s="11"/>
      <c r="N50" s="46"/>
      <c r="O50" s="11"/>
      <c r="P50" s="11"/>
      <c r="Q50" s="11"/>
      <c r="R50" s="11"/>
      <c r="S50" s="11"/>
      <c r="T50" s="11"/>
      <c r="U50" s="11"/>
      <c r="V50" s="11"/>
      <c r="W50" s="11"/>
      <c r="X50" s="11"/>
      <c r="Y50" s="11"/>
      <c r="Z50" s="11"/>
    </row>
    <row r="51" spans="1:26" ht="14.25" customHeight="1">
      <c r="A51" s="11"/>
      <c r="B51" s="11"/>
      <c r="C51" s="11"/>
      <c r="D51" s="11"/>
      <c r="E51" s="11"/>
      <c r="F51" s="11"/>
      <c r="G51" s="11"/>
      <c r="H51" s="11"/>
      <c r="I51" s="46"/>
      <c r="J51" s="11"/>
      <c r="K51" s="11"/>
      <c r="L51" s="11"/>
      <c r="M51" s="11"/>
      <c r="N51" s="46"/>
      <c r="O51" s="11"/>
      <c r="P51" s="11"/>
      <c r="Q51" s="11"/>
      <c r="R51" s="11"/>
      <c r="S51" s="11"/>
      <c r="T51" s="11"/>
      <c r="U51" s="11"/>
      <c r="V51" s="11"/>
      <c r="W51" s="11"/>
      <c r="X51" s="11"/>
      <c r="Y51" s="11"/>
      <c r="Z51" s="11"/>
    </row>
    <row r="52" spans="1:26" ht="14.25" customHeight="1">
      <c r="A52" s="11"/>
      <c r="B52" s="11"/>
      <c r="C52" s="11"/>
      <c r="D52" s="11"/>
      <c r="E52" s="11"/>
      <c r="F52" s="11"/>
      <c r="G52" s="11"/>
      <c r="H52" s="11"/>
      <c r="I52" s="46"/>
      <c r="J52" s="11"/>
      <c r="K52" s="11"/>
      <c r="L52" s="11"/>
      <c r="M52" s="11"/>
      <c r="N52" s="46"/>
      <c r="O52" s="11"/>
      <c r="P52" s="11"/>
      <c r="Q52" s="11"/>
      <c r="R52" s="11"/>
      <c r="S52" s="11"/>
      <c r="T52" s="11"/>
      <c r="U52" s="11"/>
      <c r="V52" s="11"/>
      <c r="W52" s="11"/>
      <c r="X52" s="11"/>
      <c r="Y52" s="11"/>
      <c r="Z52" s="11"/>
    </row>
    <row r="53" spans="1:26" ht="14.25" customHeight="1">
      <c r="A53" s="11"/>
      <c r="B53" s="11"/>
      <c r="C53" s="11"/>
      <c r="D53" s="11"/>
      <c r="E53" s="11"/>
      <c r="F53" s="11"/>
      <c r="G53" s="11"/>
      <c r="H53" s="11"/>
      <c r="I53" s="46"/>
      <c r="J53" s="11"/>
      <c r="K53" s="11"/>
      <c r="L53" s="11"/>
      <c r="M53" s="11"/>
      <c r="N53" s="46"/>
      <c r="O53" s="11"/>
      <c r="P53" s="11"/>
      <c r="Q53" s="11"/>
      <c r="R53" s="11"/>
      <c r="S53" s="11"/>
      <c r="T53" s="11"/>
      <c r="U53" s="11"/>
      <c r="V53" s="11"/>
      <c r="W53" s="11"/>
      <c r="X53" s="11"/>
      <c r="Y53" s="11"/>
      <c r="Z53" s="11"/>
    </row>
    <row r="54" spans="1:26" ht="14.25" customHeight="1">
      <c r="A54" s="11"/>
      <c r="B54" s="11"/>
      <c r="C54" s="11"/>
      <c r="D54" s="11"/>
      <c r="E54" s="11"/>
      <c r="F54" s="11"/>
      <c r="G54" s="11"/>
      <c r="H54" s="11"/>
      <c r="I54" s="46"/>
      <c r="J54" s="11"/>
      <c r="K54" s="11"/>
      <c r="L54" s="11"/>
      <c r="M54" s="11"/>
      <c r="N54" s="46"/>
      <c r="O54" s="11"/>
      <c r="P54" s="11"/>
      <c r="Q54" s="11"/>
      <c r="R54" s="11"/>
      <c r="S54" s="11"/>
      <c r="T54" s="11"/>
      <c r="U54" s="11"/>
      <c r="V54" s="11"/>
      <c r="W54" s="11"/>
      <c r="X54" s="11"/>
      <c r="Y54" s="11"/>
      <c r="Z54" s="11"/>
    </row>
    <row r="55" spans="1:26" ht="14.25" customHeight="1">
      <c r="A55" s="11"/>
      <c r="B55" s="11"/>
      <c r="C55" s="11"/>
      <c r="D55" s="11"/>
      <c r="E55" s="11"/>
      <c r="F55" s="11"/>
      <c r="G55" s="11"/>
      <c r="H55" s="11"/>
      <c r="I55" s="46"/>
      <c r="J55" s="11"/>
      <c r="K55" s="11"/>
      <c r="L55" s="11"/>
      <c r="M55" s="11"/>
      <c r="N55" s="46"/>
      <c r="O55" s="11"/>
      <c r="P55" s="11"/>
      <c r="Q55" s="11"/>
      <c r="R55" s="11"/>
      <c r="S55" s="11"/>
      <c r="T55" s="11"/>
      <c r="U55" s="11"/>
      <c r="V55" s="11"/>
      <c r="W55" s="11"/>
      <c r="X55" s="11"/>
      <c r="Y55" s="11"/>
      <c r="Z55" s="11"/>
    </row>
    <row r="56" spans="1:26" ht="14.25" customHeight="1">
      <c r="A56" s="11"/>
      <c r="B56" s="11"/>
      <c r="C56" s="11"/>
      <c r="D56" s="11"/>
      <c r="E56" s="11"/>
      <c r="F56" s="11"/>
      <c r="G56" s="11"/>
      <c r="H56" s="11"/>
      <c r="I56" s="46"/>
      <c r="J56" s="11"/>
      <c r="K56" s="11"/>
      <c r="L56" s="11"/>
      <c r="M56" s="11"/>
      <c r="N56" s="46"/>
      <c r="O56" s="11"/>
      <c r="P56" s="11"/>
      <c r="Q56" s="11"/>
      <c r="R56" s="11"/>
      <c r="S56" s="11"/>
      <c r="T56" s="11"/>
      <c r="U56" s="11"/>
      <c r="V56" s="11"/>
      <c r="W56" s="11"/>
      <c r="X56" s="11"/>
      <c r="Y56" s="11"/>
      <c r="Z56" s="11"/>
    </row>
    <row r="57" spans="1:26" ht="14.25" customHeight="1">
      <c r="A57" s="11"/>
      <c r="B57" s="11"/>
      <c r="C57" s="11"/>
      <c r="D57" s="11"/>
      <c r="E57" s="11"/>
      <c r="F57" s="11"/>
      <c r="G57" s="11"/>
      <c r="H57" s="11"/>
      <c r="I57" s="46"/>
      <c r="J57" s="11"/>
      <c r="K57" s="11"/>
      <c r="L57" s="11"/>
      <c r="M57" s="11"/>
      <c r="N57" s="46"/>
      <c r="O57" s="11"/>
      <c r="P57" s="11"/>
      <c r="Q57" s="11"/>
      <c r="R57" s="11"/>
      <c r="S57" s="11"/>
      <c r="T57" s="11"/>
      <c r="U57" s="11"/>
      <c r="V57" s="11"/>
      <c r="W57" s="11"/>
      <c r="X57" s="11"/>
      <c r="Y57" s="11"/>
      <c r="Z57" s="11"/>
    </row>
    <row r="58" spans="1:26" ht="14.25" customHeight="1">
      <c r="A58" s="11"/>
      <c r="B58" s="11"/>
      <c r="C58" s="11"/>
      <c r="D58" s="11"/>
      <c r="E58" s="11"/>
      <c r="F58" s="11"/>
      <c r="G58" s="11"/>
      <c r="H58" s="11"/>
      <c r="I58" s="46"/>
      <c r="J58" s="11"/>
      <c r="K58" s="11"/>
      <c r="L58" s="11"/>
      <c r="M58" s="11"/>
      <c r="N58" s="46"/>
      <c r="O58" s="11"/>
      <c r="P58" s="11"/>
      <c r="Q58" s="11"/>
      <c r="R58" s="11"/>
      <c r="S58" s="11"/>
      <c r="T58" s="11"/>
      <c r="U58" s="11"/>
      <c r="V58" s="11"/>
      <c r="W58" s="11"/>
      <c r="X58" s="11"/>
      <c r="Y58" s="11"/>
      <c r="Z58" s="11"/>
    </row>
    <row r="59" spans="1:26" ht="14.25" customHeight="1">
      <c r="A59" s="11"/>
      <c r="B59" s="11"/>
      <c r="C59" s="11"/>
      <c r="D59" s="11"/>
      <c r="E59" s="11"/>
      <c r="F59" s="11"/>
      <c r="G59" s="11"/>
      <c r="H59" s="11"/>
      <c r="I59" s="46"/>
      <c r="J59" s="11"/>
      <c r="K59" s="11"/>
      <c r="L59" s="11"/>
      <c r="M59" s="11"/>
      <c r="N59" s="46"/>
      <c r="O59" s="11"/>
      <c r="P59" s="11"/>
      <c r="Q59" s="11"/>
      <c r="R59" s="11"/>
      <c r="S59" s="11"/>
      <c r="T59" s="11"/>
      <c r="U59" s="11"/>
      <c r="V59" s="11"/>
      <c r="W59" s="11"/>
      <c r="X59" s="11"/>
      <c r="Y59" s="11"/>
      <c r="Z59" s="11"/>
    </row>
    <row r="60" spans="1:26" ht="14.25" customHeight="1">
      <c r="A60" s="11"/>
      <c r="B60" s="11"/>
      <c r="C60" s="11"/>
      <c r="D60" s="11"/>
      <c r="E60" s="11"/>
      <c r="F60" s="11"/>
      <c r="G60" s="11"/>
      <c r="H60" s="11"/>
      <c r="I60" s="46"/>
      <c r="J60" s="11"/>
      <c r="K60" s="11"/>
      <c r="L60" s="11"/>
      <c r="M60" s="11"/>
      <c r="N60" s="46"/>
      <c r="O60" s="11"/>
      <c r="P60" s="11"/>
      <c r="Q60" s="11"/>
      <c r="R60" s="11"/>
      <c r="S60" s="11"/>
      <c r="T60" s="11"/>
      <c r="U60" s="11"/>
      <c r="V60" s="11"/>
      <c r="W60" s="11"/>
      <c r="X60" s="11"/>
      <c r="Y60" s="11"/>
      <c r="Z60" s="11"/>
    </row>
    <row r="61" spans="1:26" ht="14.25" customHeight="1">
      <c r="A61" s="11"/>
      <c r="B61" s="11"/>
      <c r="C61" s="11"/>
      <c r="D61" s="11"/>
      <c r="E61" s="11"/>
      <c r="F61" s="11"/>
      <c r="G61" s="11"/>
      <c r="H61" s="11"/>
      <c r="I61" s="46"/>
      <c r="J61" s="11"/>
      <c r="K61" s="11"/>
      <c r="L61" s="11"/>
      <c r="M61" s="11"/>
      <c r="N61" s="46"/>
      <c r="O61" s="11"/>
      <c r="P61" s="11"/>
      <c r="Q61" s="11"/>
      <c r="R61" s="11"/>
      <c r="S61" s="11"/>
      <c r="T61" s="11"/>
      <c r="U61" s="11"/>
      <c r="V61" s="11"/>
      <c r="W61" s="11"/>
      <c r="X61" s="11"/>
      <c r="Y61" s="11"/>
      <c r="Z61" s="11"/>
    </row>
    <row r="62" spans="1:26" ht="14.25" customHeight="1">
      <c r="A62" s="11"/>
      <c r="B62" s="11"/>
      <c r="C62" s="11"/>
      <c r="D62" s="11"/>
      <c r="E62" s="11"/>
      <c r="F62" s="11"/>
      <c r="G62" s="11"/>
      <c r="H62" s="11"/>
      <c r="I62" s="46"/>
      <c r="J62" s="11"/>
      <c r="K62" s="11"/>
      <c r="L62" s="11"/>
      <c r="M62" s="11"/>
      <c r="N62" s="46"/>
      <c r="O62" s="11"/>
      <c r="P62" s="11"/>
      <c r="Q62" s="11"/>
      <c r="R62" s="11"/>
      <c r="S62" s="11"/>
      <c r="T62" s="11"/>
      <c r="U62" s="11"/>
      <c r="V62" s="11"/>
      <c r="W62" s="11"/>
      <c r="X62" s="11"/>
      <c r="Y62" s="11"/>
      <c r="Z62" s="11"/>
    </row>
    <row r="63" spans="1:26" ht="14.25" customHeight="1">
      <c r="A63" s="11"/>
      <c r="B63" s="11"/>
      <c r="C63" s="11"/>
      <c r="D63" s="11"/>
      <c r="E63" s="11"/>
      <c r="F63" s="11"/>
      <c r="G63" s="11"/>
      <c r="H63" s="11"/>
      <c r="I63" s="46"/>
      <c r="J63" s="11"/>
      <c r="K63" s="11"/>
      <c r="L63" s="11"/>
      <c r="M63" s="11"/>
      <c r="N63" s="46"/>
      <c r="O63" s="11"/>
      <c r="P63" s="11"/>
      <c r="Q63" s="11"/>
      <c r="R63" s="11"/>
      <c r="S63" s="11"/>
      <c r="T63" s="11"/>
      <c r="U63" s="11"/>
      <c r="V63" s="11"/>
      <c r="W63" s="11"/>
      <c r="X63" s="11"/>
      <c r="Y63" s="11"/>
      <c r="Z63" s="11"/>
    </row>
    <row r="64" spans="1:26" ht="14.25" customHeight="1">
      <c r="A64" s="11"/>
      <c r="B64" s="11"/>
      <c r="C64" s="11"/>
      <c r="D64" s="11"/>
      <c r="E64" s="11"/>
      <c r="F64" s="11"/>
      <c r="G64" s="11"/>
      <c r="H64" s="11"/>
      <c r="I64" s="46"/>
      <c r="J64" s="11"/>
      <c r="K64" s="11"/>
      <c r="L64" s="11"/>
      <c r="M64" s="11"/>
      <c r="N64" s="46"/>
      <c r="O64" s="11"/>
      <c r="P64" s="11"/>
      <c r="Q64" s="11"/>
      <c r="R64" s="11"/>
      <c r="S64" s="11"/>
      <c r="T64" s="11"/>
      <c r="U64" s="11"/>
      <c r="V64" s="11"/>
      <c r="W64" s="11"/>
      <c r="X64" s="11"/>
      <c r="Y64" s="11"/>
      <c r="Z64" s="11"/>
    </row>
    <row r="65" spans="1:26" ht="14.25" customHeight="1">
      <c r="A65" s="11"/>
      <c r="B65" s="11"/>
      <c r="C65" s="11"/>
      <c r="D65" s="11"/>
      <c r="E65" s="11"/>
      <c r="F65" s="11"/>
      <c r="G65" s="11"/>
      <c r="H65" s="11"/>
      <c r="I65" s="46"/>
      <c r="J65" s="11"/>
      <c r="K65" s="11"/>
      <c r="L65" s="11"/>
      <c r="M65" s="11"/>
      <c r="N65" s="46"/>
      <c r="O65" s="11"/>
      <c r="P65" s="11"/>
      <c r="Q65" s="11"/>
      <c r="R65" s="11"/>
      <c r="S65" s="11"/>
      <c r="T65" s="11"/>
      <c r="U65" s="11"/>
      <c r="V65" s="11"/>
      <c r="W65" s="11"/>
      <c r="X65" s="11"/>
      <c r="Y65" s="11"/>
      <c r="Z65" s="11"/>
    </row>
    <row r="66" spans="1:26" ht="14.25" customHeight="1">
      <c r="A66" s="11"/>
      <c r="B66" s="11"/>
      <c r="C66" s="11"/>
      <c r="D66" s="11"/>
      <c r="E66" s="11"/>
      <c r="F66" s="11"/>
      <c r="G66" s="11"/>
      <c r="H66" s="11"/>
      <c r="I66" s="46"/>
      <c r="J66" s="11"/>
      <c r="K66" s="11"/>
      <c r="L66" s="11"/>
      <c r="M66" s="11"/>
      <c r="N66" s="46"/>
      <c r="O66" s="11"/>
      <c r="P66" s="11"/>
      <c r="Q66" s="11"/>
      <c r="R66" s="11"/>
      <c r="S66" s="11"/>
      <c r="T66" s="11"/>
      <c r="U66" s="11"/>
      <c r="V66" s="11"/>
      <c r="W66" s="11"/>
      <c r="X66" s="11"/>
      <c r="Y66" s="11"/>
      <c r="Z66" s="11"/>
    </row>
    <row r="67" spans="1:26" ht="14.25" customHeight="1">
      <c r="A67" s="11"/>
      <c r="B67" s="11"/>
      <c r="C67" s="11"/>
      <c r="D67" s="11"/>
      <c r="E67" s="11"/>
      <c r="F67" s="11"/>
      <c r="G67" s="11"/>
      <c r="H67" s="11"/>
      <c r="I67" s="46"/>
      <c r="J67" s="11"/>
      <c r="K67" s="11"/>
      <c r="L67" s="11"/>
      <c r="M67" s="11"/>
      <c r="N67" s="46"/>
      <c r="O67" s="11"/>
      <c r="P67" s="11"/>
      <c r="Q67" s="11"/>
      <c r="R67" s="11"/>
      <c r="S67" s="11"/>
      <c r="T67" s="11"/>
      <c r="U67" s="11"/>
      <c r="V67" s="11"/>
      <c r="W67" s="11"/>
      <c r="X67" s="11"/>
      <c r="Y67" s="11"/>
      <c r="Z67" s="11"/>
    </row>
    <row r="68" spans="1:26" ht="14.25" customHeight="1">
      <c r="A68" s="11"/>
      <c r="B68" s="11"/>
      <c r="C68" s="11"/>
      <c r="D68" s="11"/>
      <c r="E68" s="11"/>
      <c r="F68" s="11"/>
      <c r="G68" s="11"/>
      <c r="H68" s="11"/>
      <c r="I68" s="46"/>
      <c r="J68" s="11"/>
      <c r="K68" s="11"/>
      <c r="L68" s="11"/>
      <c r="M68" s="11"/>
      <c r="N68" s="46"/>
      <c r="O68" s="11"/>
      <c r="P68" s="11"/>
      <c r="Q68" s="11"/>
      <c r="R68" s="11"/>
      <c r="S68" s="11"/>
      <c r="T68" s="11"/>
      <c r="U68" s="11"/>
      <c r="V68" s="11"/>
      <c r="W68" s="11"/>
      <c r="X68" s="11"/>
      <c r="Y68" s="11"/>
      <c r="Z68" s="11"/>
    </row>
    <row r="69" spans="1:26" ht="14.25" customHeight="1">
      <c r="A69" s="11"/>
      <c r="B69" s="11"/>
      <c r="C69" s="11"/>
      <c r="D69" s="11"/>
      <c r="E69" s="11"/>
      <c r="F69" s="11"/>
      <c r="G69" s="11"/>
      <c r="H69" s="11"/>
      <c r="I69" s="46"/>
      <c r="J69" s="11"/>
      <c r="K69" s="11"/>
      <c r="L69" s="11"/>
      <c r="M69" s="11"/>
      <c r="N69" s="46"/>
      <c r="O69" s="11"/>
      <c r="P69" s="11"/>
      <c r="Q69" s="11"/>
      <c r="R69" s="11"/>
      <c r="S69" s="11"/>
      <c r="T69" s="11"/>
      <c r="U69" s="11"/>
      <c r="V69" s="11"/>
      <c r="W69" s="11"/>
      <c r="X69" s="11"/>
      <c r="Y69" s="11"/>
      <c r="Z69" s="11"/>
    </row>
    <row r="70" spans="1:26" ht="14.25" customHeight="1">
      <c r="A70" s="11"/>
      <c r="B70" s="11"/>
      <c r="C70" s="11"/>
      <c r="D70" s="11"/>
      <c r="E70" s="11"/>
      <c r="F70" s="11"/>
      <c r="G70" s="11"/>
      <c r="H70" s="11"/>
      <c r="I70" s="46"/>
      <c r="J70" s="11"/>
      <c r="K70" s="11"/>
      <c r="L70" s="11"/>
      <c r="M70" s="11"/>
      <c r="N70" s="46"/>
      <c r="O70" s="11"/>
      <c r="P70" s="11"/>
      <c r="Q70" s="11"/>
      <c r="R70" s="11"/>
      <c r="S70" s="11"/>
      <c r="T70" s="11"/>
      <c r="U70" s="11"/>
      <c r="V70" s="11"/>
      <c r="W70" s="11"/>
      <c r="X70" s="11"/>
      <c r="Y70" s="11"/>
      <c r="Z70" s="11"/>
    </row>
    <row r="71" spans="1:26" ht="14.25" customHeight="1">
      <c r="A71" s="11"/>
      <c r="B71" s="11"/>
      <c r="C71" s="11"/>
      <c r="D71" s="11"/>
      <c r="E71" s="11"/>
      <c r="F71" s="11"/>
      <c r="G71" s="11"/>
      <c r="H71" s="11"/>
      <c r="I71" s="46"/>
      <c r="J71" s="11"/>
      <c r="K71" s="11"/>
      <c r="L71" s="11"/>
      <c r="M71" s="11"/>
      <c r="N71" s="46"/>
      <c r="O71" s="11"/>
      <c r="P71" s="11"/>
      <c r="Q71" s="11"/>
      <c r="R71" s="11"/>
      <c r="S71" s="11"/>
      <c r="T71" s="11"/>
      <c r="U71" s="11"/>
      <c r="V71" s="11"/>
      <c r="W71" s="11"/>
      <c r="X71" s="11"/>
      <c r="Y71" s="11"/>
      <c r="Z71" s="11"/>
    </row>
    <row r="72" spans="1:26" ht="14.25" customHeight="1">
      <c r="A72" s="11"/>
      <c r="B72" s="11"/>
      <c r="C72" s="11"/>
      <c r="D72" s="11"/>
      <c r="E72" s="11"/>
      <c r="F72" s="11"/>
      <c r="G72" s="11"/>
      <c r="H72" s="11"/>
      <c r="I72" s="46"/>
      <c r="J72" s="11"/>
      <c r="K72" s="11"/>
      <c r="L72" s="11"/>
      <c r="M72" s="11"/>
      <c r="N72" s="46"/>
      <c r="O72" s="11"/>
      <c r="P72" s="11"/>
      <c r="Q72" s="11"/>
      <c r="R72" s="11"/>
      <c r="S72" s="11"/>
      <c r="T72" s="11"/>
      <c r="U72" s="11"/>
      <c r="V72" s="11"/>
      <c r="W72" s="11"/>
      <c r="X72" s="11"/>
      <c r="Y72" s="11"/>
      <c r="Z72" s="11"/>
    </row>
    <row r="73" spans="1:26" ht="14.25" customHeight="1">
      <c r="A73" s="11"/>
      <c r="B73" s="11"/>
      <c r="C73" s="11"/>
      <c r="D73" s="11"/>
      <c r="E73" s="11"/>
      <c r="F73" s="11"/>
      <c r="G73" s="11"/>
      <c r="H73" s="11"/>
      <c r="I73" s="46"/>
      <c r="J73" s="11"/>
      <c r="K73" s="11"/>
      <c r="L73" s="11"/>
      <c r="M73" s="11"/>
      <c r="N73" s="46"/>
      <c r="O73" s="11"/>
      <c r="P73" s="11"/>
      <c r="Q73" s="11"/>
      <c r="R73" s="11"/>
      <c r="S73" s="11"/>
      <c r="T73" s="11"/>
      <c r="U73" s="11"/>
      <c r="V73" s="11"/>
      <c r="W73" s="11"/>
      <c r="X73" s="11"/>
      <c r="Y73" s="11"/>
      <c r="Z73" s="11"/>
    </row>
    <row r="74" spans="1:26" ht="14.25" customHeight="1">
      <c r="A74" s="11"/>
      <c r="B74" s="11"/>
      <c r="C74" s="11"/>
      <c r="D74" s="11"/>
      <c r="E74" s="11"/>
      <c r="F74" s="11"/>
      <c r="G74" s="11"/>
      <c r="H74" s="11"/>
      <c r="I74" s="46"/>
      <c r="J74" s="11"/>
      <c r="K74" s="11"/>
      <c r="L74" s="11"/>
      <c r="M74" s="11"/>
      <c r="N74" s="46"/>
      <c r="O74" s="11"/>
      <c r="P74" s="11"/>
      <c r="Q74" s="11"/>
      <c r="R74" s="11"/>
      <c r="S74" s="11"/>
      <c r="T74" s="11"/>
      <c r="U74" s="11"/>
      <c r="V74" s="11"/>
      <c r="W74" s="11"/>
      <c r="X74" s="11"/>
      <c r="Y74" s="11"/>
      <c r="Z74" s="11"/>
    </row>
    <row r="75" spans="1:26" ht="14.25" customHeight="1">
      <c r="A75" s="11"/>
      <c r="B75" s="11"/>
      <c r="C75" s="11"/>
      <c r="D75" s="11"/>
      <c r="E75" s="11"/>
      <c r="F75" s="11"/>
      <c r="G75" s="11"/>
      <c r="H75" s="11"/>
      <c r="I75" s="46"/>
      <c r="J75" s="11"/>
      <c r="K75" s="11"/>
      <c r="L75" s="11"/>
      <c r="M75" s="11"/>
      <c r="N75" s="46"/>
      <c r="O75" s="11"/>
      <c r="P75" s="11"/>
      <c r="Q75" s="11"/>
      <c r="R75" s="11"/>
      <c r="S75" s="11"/>
      <c r="T75" s="11"/>
      <c r="U75" s="11"/>
      <c r="V75" s="11"/>
      <c r="W75" s="11"/>
      <c r="X75" s="11"/>
      <c r="Y75" s="11"/>
      <c r="Z75" s="11"/>
    </row>
    <row r="76" spans="1:26" ht="14.25" customHeight="1">
      <c r="A76" s="11"/>
      <c r="B76" s="11"/>
      <c r="C76" s="11"/>
      <c r="D76" s="11"/>
      <c r="E76" s="11"/>
      <c r="F76" s="11"/>
      <c r="G76" s="11"/>
      <c r="H76" s="11"/>
      <c r="I76" s="46"/>
      <c r="J76" s="11"/>
      <c r="K76" s="11"/>
      <c r="L76" s="11"/>
      <c r="M76" s="11"/>
      <c r="N76" s="46"/>
      <c r="O76" s="11"/>
      <c r="P76" s="11"/>
      <c r="Q76" s="11"/>
      <c r="R76" s="11"/>
      <c r="S76" s="11"/>
      <c r="T76" s="11"/>
      <c r="U76" s="11"/>
      <c r="V76" s="11"/>
      <c r="W76" s="11"/>
      <c r="X76" s="11"/>
      <c r="Y76" s="11"/>
      <c r="Z76" s="11"/>
    </row>
    <row r="77" spans="1:26" ht="14.25" customHeight="1">
      <c r="A77" s="11"/>
      <c r="B77" s="11"/>
      <c r="C77" s="11"/>
      <c r="D77" s="11"/>
      <c r="E77" s="11"/>
      <c r="F77" s="11"/>
      <c r="G77" s="11"/>
      <c r="H77" s="11"/>
      <c r="I77" s="46"/>
      <c r="J77" s="11"/>
      <c r="K77" s="11"/>
      <c r="L77" s="11"/>
      <c r="M77" s="11"/>
      <c r="N77" s="46"/>
      <c r="O77" s="11"/>
      <c r="P77" s="11"/>
      <c r="Q77" s="11"/>
      <c r="R77" s="11"/>
      <c r="S77" s="11"/>
      <c r="T77" s="11"/>
      <c r="U77" s="11"/>
      <c r="V77" s="11"/>
      <c r="W77" s="11"/>
      <c r="X77" s="11"/>
      <c r="Y77" s="11"/>
      <c r="Z77" s="11"/>
    </row>
    <row r="78" spans="1:26" ht="14.25" customHeight="1">
      <c r="A78" s="11"/>
      <c r="B78" s="11"/>
      <c r="C78" s="11"/>
      <c r="D78" s="11"/>
      <c r="E78" s="11"/>
      <c r="F78" s="11"/>
      <c r="G78" s="11"/>
      <c r="H78" s="11"/>
      <c r="I78" s="46"/>
      <c r="J78" s="11"/>
      <c r="K78" s="11"/>
      <c r="L78" s="11"/>
      <c r="M78" s="11"/>
      <c r="N78" s="46"/>
      <c r="O78" s="11"/>
      <c r="P78" s="11"/>
      <c r="Q78" s="11"/>
      <c r="R78" s="11"/>
      <c r="S78" s="11"/>
      <c r="T78" s="11"/>
      <c r="U78" s="11"/>
      <c r="V78" s="11"/>
      <c r="W78" s="11"/>
      <c r="X78" s="11"/>
      <c r="Y78" s="11"/>
      <c r="Z78" s="11"/>
    </row>
    <row r="79" spans="1:26" ht="14.25" customHeight="1">
      <c r="A79" s="11"/>
      <c r="B79" s="11"/>
      <c r="C79" s="11"/>
      <c r="D79" s="11"/>
      <c r="E79" s="11"/>
      <c r="F79" s="11"/>
      <c r="G79" s="11"/>
      <c r="H79" s="11"/>
      <c r="I79" s="46"/>
      <c r="J79" s="11"/>
      <c r="K79" s="11"/>
      <c r="L79" s="11"/>
      <c r="M79" s="11"/>
      <c r="N79" s="46"/>
      <c r="O79" s="11"/>
      <c r="P79" s="11"/>
      <c r="Q79" s="11"/>
      <c r="R79" s="11"/>
      <c r="S79" s="11"/>
      <c r="T79" s="11"/>
      <c r="U79" s="11"/>
      <c r="V79" s="11"/>
      <c r="W79" s="11"/>
      <c r="X79" s="11"/>
      <c r="Y79" s="11"/>
      <c r="Z79" s="11"/>
    </row>
    <row r="80" spans="1:26" ht="14.25" customHeight="1">
      <c r="A80" s="11"/>
      <c r="B80" s="11"/>
      <c r="C80" s="11"/>
      <c r="D80" s="11"/>
      <c r="E80" s="11"/>
      <c r="F80" s="11"/>
      <c r="G80" s="11"/>
      <c r="H80" s="11"/>
      <c r="I80" s="46"/>
      <c r="J80" s="11"/>
      <c r="K80" s="11"/>
      <c r="L80" s="11"/>
      <c r="M80" s="11"/>
      <c r="N80" s="46"/>
      <c r="O80" s="11"/>
      <c r="P80" s="11"/>
      <c r="Q80" s="11"/>
      <c r="R80" s="11"/>
      <c r="S80" s="11"/>
      <c r="T80" s="11"/>
      <c r="U80" s="11"/>
      <c r="V80" s="11"/>
      <c r="W80" s="11"/>
      <c r="X80" s="11"/>
      <c r="Y80" s="11"/>
      <c r="Z80" s="11"/>
    </row>
    <row r="81" spans="1:26" ht="14.25" customHeight="1">
      <c r="A81" s="11"/>
      <c r="B81" s="11"/>
      <c r="C81" s="11"/>
      <c r="D81" s="11"/>
      <c r="E81" s="11"/>
      <c r="F81" s="11"/>
      <c r="G81" s="11"/>
      <c r="H81" s="11"/>
      <c r="I81" s="46"/>
      <c r="J81" s="11"/>
      <c r="K81" s="11"/>
      <c r="L81" s="11"/>
      <c r="M81" s="11"/>
      <c r="N81" s="46"/>
      <c r="O81" s="11"/>
      <c r="P81" s="11"/>
      <c r="Q81" s="11"/>
      <c r="R81" s="11"/>
      <c r="S81" s="11"/>
      <c r="T81" s="11"/>
      <c r="U81" s="11"/>
      <c r="V81" s="11"/>
      <c r="W81" s="11"/>
      <c r="X81" s="11"/>
      <c r="Y81" s="11"/>
      <c r="Z81" s="11"/>
    </row>
    <row r="82" spans="1:26" ht="14.25" customHeight="1">
      <c r="A82" s="11"/>
      <c r="B82" s="11"/>
      <c r="C82" s="11"/>
      <c r="D82" s="11"/>
      <c r="E82" s="11"/>
      <c r="F82" s="11"/>
      <c r="G82" s="11"/>
      <c r="H82" s="11"/>
      <c r="I82" s="46"/>
      <c r="J82" s="11"/>
      <c r="K82" s="11"/>
      <c r="L82" s="11"/>
      <c r="M82" s="11"/>
      <c r="N82" s="46"/>
      <c r="O82" s="11"/>
      <c r="P82" s="11"/>
      <c r="Q82" s="11"/>
      <c r="R82" s="11"/>
      <c r="S82" s="11"/>
      <c r="T82" s="11"/>
      <c r="U82" s="11"/>
      <c r="V82" s="11"/>
      <c r="W82" s="11"/>
      <c r="X82" s="11"/>
      <c r="Y82" s="11"/>
      <c r="Z82" s="11"/>
    </row>
    <row r="83" spans="1:26" ht="14.25" customHeight="1">
      <c r="A83" s="11"/>
      <c r="B83" s="11"/>
      <c r="C83" s="11"/>
      <c r="D83" s="11"/>
      <c r="E83" s="11"/>
      <c r="F83" s="11"/>
      <c r="G83" s="11"/>
      <c r="H83" s="11"/>
      <c r="I83" s="46"/>
      <c r="J83" s="11"/>
      <c r="K83" s="11"/>
      <c r="L83" s="11"/>
      <c r="M83" s="11"/>
      <c r="N83" s="46"/>
      <c r="O83" s="11"/>
      <c r="P83" s="11"/>
      <c r="Q83" s="11"/>
      <c r="R83" s="11"/>
      <c r="S83" s="11"/>
      <c r="T83" s="11"/>
      <c r="U83" s="11"/>
      <c r="V83" s="11"/>
      <c r="W83" s="11"/>
      <c r="X83" s="11"/>
      <c r="Y83" s="11"/>
      <c r="Z83" s="11"/>
    </row>
    <row r="84" spans="1:26" ht="14.25" customHeight="1">
      <c r="A84" s="11"/>
      <c r="B84" s="11"/>
      <c r="C84" s="11"/>
      <c r="D84" s="11"/>
      <c r="E84" s="11"/>
      <c r="F84" s="11"/>
      <c r="G84" s="11"/>
      <c r="H84" s="11"/>
      <c r="I84" s="46"/>
      <c r="J84" s="11"/>
      <c r="K84" s="11"/>
      <c r="L84" s="11"/>
      <c r="M84" s="11"/>
      <c r="N84" s="46"/>
      <c r="O84" s="11"/>
      <c r="P84" s="11"/>
      <c r="Q84" s="11"/>
      <c r="R84" s="11"/>
      <c r="S84" s="11"/>
      <c r="T84" s="11"/>
      <c r="U84" s="11"/>
      <c r="V84" s="11"/>
      <c r="W84" s="11"/>
      <c r="X84" s="11"/>
      <c r="Y84" s="11"/>
      <c r="Z84" s="11"/>
    </row>
    <row r="85" spans="1:26" ht="14.25" customHeight="1">
      <c r="A85" s="11"/>
      <c r="B85" s="11"/>
      <c r="C85" s="11"/>
      <c r="D85" s="11"/>
      <c r="E85" s="11"/>
      <c r="F85" s="11"/>
      <c r="G85" s="11"/>
      <c r="H85" s="11"/>
      <c r="I85" s="46"/>
      <c r="J85" s="11"/>
      <c r="K85" s="11"/>
      <c r="L85" s="11"/>
      <c r="M85" s="11"/>
      <c r="N85" s="46"/>
      <c r="O85" s="11"/>
      <c r="P85" s="11"/>
      <c r="Q85" s="11"/>
      <c r="R85" s="11"/>
      <c r="S85" s="11"/>
      <c r="T85" s="11"/>
      <c r="U85" s="11"/>
      <c r="V85" s="11"/>
      <c r="W85" s="11"/>
      <c r="X85" s="11"/>
      <c r="Y85" s="11"/>
      <c r="Z85" s="11"/>
    </row>
    <row r="86" spans="1:26" ht="14.25" customHeight="1">
      <c r="A86" s="11"/>
      <c r="B86" s="11"/>
      <c r="C86" s="11"/>
      <c r="D86" s="11"/>
      <c r="E86" s="11"/>
      <c r="F86" s="11"/>
      <c r="G86" s="11"/>
      <c r="H86" s="11"/>
      <c r="I86" s="46"/>
      <c r="J86" s="11"/>
      <c r="K86" s="11"/>
      <c r="L86" s="11"/>
      <c r="M86" s="11"/>
      <c r="N86" s="46"/>
      <c r="O86" s="11"/>
      <c r="P86" s="11"/>
      <c r="Q86" s="11"/>
      <c r="R86" s="11"/>
      <c r="S86" s="11"/>
      <c r="T86" s="11"/>
      <c r="U86" s="11"/>
      <c r="V86" s="11"/>
      <c r="W86" s="11"/>
      <c r="X86" s="11"/>
      <c r="Y86" s="11"/>
      <c r="Z86" s="11"/>
    </row>
    <row r="87" spans="1:26" ht="14.25" customHeight="1">
      <c r="A87" s="11"/>
      <c r="B87" s="11"/>
      <c r="C87" s="11"/>
      <c r="D87" s="11"/>
      <c r="E87" s="11"/>
      <c r="F87" s="11"/>
      <c r="G87" s="11"/>
      <c r="H87" s="11"/>
      <c r="I87" s="46"/>
      <c r="J87" s="11"/>
      <c r="K87" s="11"/>
      <c r="L87" s="11"/>
      <c r="M87" s="11"/>
      <c r="N87" s="46"/>
      <c r="O87" s="11"/>
      <c r="P87" s="11"/>
      <c r="Q87" s="11"/>
      <c r="R87" s="11"/>
      <c r="S87" s="11"/>
      <c r="T87" s="11"/>
      <c r="U87" s="11"/>
      <c r="V87" s="11"/>
      <c r="W87" s="11"/>
      <c r="X87" s="11"/>
      <c r="Y87" s="11"/>
      <c r="Z87" s="11"/>
    </row>
    <row r="88" spans="1:26" ht="14.25" customHeight="1">
      <c r="A88" s="11"/>
      <c r="B88" s="11"/>
      <c r="C88" s="11"/>
      <c r="D88" s="11"/>
      <c r="E88" s="11"/>
      <c r="F88" s="11"/>
      <c r="G88" s="11"/>
      <c r="H88" s="11"/>
      <c r="I88" s="46"/>
      <c r="J88" s="11"/>
      <c r="K88" s="11"/>
      <c r="L88" s="11"/>
      <c r="M88" s="11"/>
      <c r="N88" s="46"/>
      <c r="O88" s="11"/>
      <c r="P88" s="11"/>
      <c r="Q88" s="11"/>
      <c r="R88" s="11"/>
      <c r="S88" s="11"/>
      <c r="T88" s="11"/>
      <c r="U88" s="11"/>
      <c r="V88" s="11"/>
      <c r="W88" s="11"/>
      <c r="X88" s="11"/>
      <c r="Y88" s="11"/>
      <c r="Z88" s="11"/>
    </row>
    <row r="89" spans="1:26" ht="14.25" customHeight="1">
      <c r="A89" s="11"/>
      <c r="B89" s="11"/>
      <c r="C89" s="11"/>
      <c r="D89" s="11"/>
      <c r="E89" s="11"/>
      <c r="F89" s="11"/>
      <c r="G89" s="11"/>
      <c r="H89" s="11"/>
      <c r="I89" s="46"/>
      <c r="J89" s="11"/>
      <c r="K89" s="11"/>
      <c r="L89" s="11"/>
      <c r="M89" s="11"/>
      <c r="N89" s="46"/>
      <c r="O89" s="11"/>
      <c r="P89" s="11"/>
      <c r="Q89" s="11"/>
      <c r="R89" s="11"/>
      <c r="S89" s="11"/>
      <c r="T89" s="11"/>
      <c r="U89" s="11"/>
      <c r="V89" s="11"/>
      <c r="W89" s="11"/>
      <c r="X89" s="11"/>
      <c r="Y89" s="11"/>
      <c r="Z89" s="11"/>
    </row>
    <row r="90" spans="1:26" ht="14.25" customHeight="1">
      <c r="A90" s="11"/>
      <c r="B90" s="11"/>
      <c r="C90" s="11"/>
      <c r="D90" s="11"/>
      <c r="E90" s="11"/>
      <c r="F90" s="11"/>
      <c r="G90" s="11"/>
      <c r="H90" s="11"/>
      <c r="I90" s="46"/>
      <c r="J90" s="11"/>
      <c r="K90" s="11"/>
      <c r="L90" s="11"/>
      <c r="M90" s="11"/>
      <c r="N90" s="46"/>
      <c r="O90" s="11"/>
      <c r="P90" s="11"/>
      <c r="Q90" s="11"/>
      <c r="R90" s="11"/>
      <c r="S90" s="11"/>
      <c r="T90" s="11"/>
      <c r="U90" s="11"/>
      <c r="V90" s="11"/>
      <c r="W90" s="11"/>
      <c r="X90" s="11"/>
      <c r="Y90" s="11"/>
      <c r="Z90" s="11"/>
    </row>
    <row r="91" spans="1:26" ht="14.25" customHeight="1">
      <c r="A91" s="11"/>
      <c r="B91" s="11"/>
      <c r="C91" s="11"/>
      <c r="D91" s="11"/>
      <c r="E91" s="11"/>
      <c r="F91" s="11"/>
      <c r="G91" s="11"/>
      <c r="H91" s="11"/>
      <c r="I91" s="46"/>
      <c r="J91" s="11"/>
      <c r="K91" s="11"/>
      <c r="L91" s="11"/>
      <c r="M91" s="11"/>
      <c r="N91" s="46"/>
      <c r="O91" s="11"/>
      <c r="P91" s="11"/>
      <c r="Q91" s="11"/>
      <c r="R91" s="11"/>
      <c r="S91" s="11"/>
      <c r="T91" s="11"/>
      <c r="U91" s="11"/>
      <c r="V91" s="11"/>
      <c r="W91" s="11"/>
      <c r="X91" s="11"/>
      <c r="Y91" s="11"/>
      <c r="Z91" s="11"/>
    </row>
    <row r="92" spans="1:26" ht="14.25" customHeight="1">
      <c r="A92" s="11"/>
      <c r="B92" s="11"/>
      <c r="C92" s="11"/>
      <c r="D92" s="11"/>
      <c r="E92" s="11"/>
      <c r="F92" s="11"/>
      <c r="G92" s="11"/>
      <c r="H92" s="11"/>
      <c r="I92" s="46"/>
      <c r="J92" s="11"/>
      <c r="K92" s="11"/>
      <c r="L92" s="11"/>
      <c r="M92" s="11"/>
      <c r="N92" s="46"/>
      <c r="O92" s="11"/>
      <c r="P92" s="11"/>
      <c r="Q92" s="11"/>
      <c r="R92" s="11"/>
      <c r="S92" s="11"/>
      <c r="T92" s="11"/>
      <c r="U92" s="11"/>
      <c r="V92" s="11"/>
      <c r="W92" s="11"/>
      <c r="X92" s="11"/>
      <c r="Y92" s="11"/>
      <c r="Z92" s="11"/>
    </row>
    <row r="93" spans="1:26" ht="14.25" customHeight="1">
      <c r="A93" s="11"/>
      <c r="B93" s="11"/>
      <c r="C93" s="11"/>
      <c r="D93" s="11"/>
      <c r="E93" s="11"/>
      <c r="F93" s="11"/>
      <c r="G93" s="11"/>
      <c r="H93" s="11"/>
      <c r="I93" s="46"/>
      <c r="J93" s="11"/>
      <c r="K93" s="11"/>
      <c r="L93" s="11"/>
      <c r="M93" s="11"/>
      <c r="N93" s="46"/>
      <c r="O93" s="11"/>
      <c r="P93" s="11"/>
      <c r="Q93" s="11"/>
      <c r="R93" s="11"/>
      <c r="S93" s="11"/>
      <c r="T93" s="11"/>
      <c r="U93" s="11"/>
      <c r="V93" s="11"/>
      <c r="W93" s="11"/>
      <c r="X93" s="11"/>
      <c r="Y93" s="11"/>
      <c r="Z93" s="11"/>
    </row>
    <row r="94" spans="1:26" ht="14.25" customHeight="1">
      <c r="A94" s="11"/>
      <c r="B94" s="11"/>
      <c r="C94" s="11"/>
      <c r="D94" s="11"/>
      <c r="E94" s="11"/>
      <c r="F94" s="11"/>
      <c r="G94" s="11"/>
      <c r="H94" s="11"/>
      <c r="I94" s="46"/>
      <c r="J94" s="11"/>
      <c r="K94" s="11"/>
      <c r="L94" s="11"/>
      <c r="M94" s="11"/>
      <c r="N94" s="46"/>
      <c r="O94" s="11"/>
      <c r="P94" s="11"/>
      <c r="Q94" s="11"/>
      <c r="R94" s="11"/>
      <c r="S94" s="11"/>
      <c r="T94" s="11"/>
      <c r="U94" s="11"/>
      <c r="V94" s="11"/>
      <c r="W94" s="11"/>
      <c r="X94" s="11"/>
      <c r="Y94" s="11"/>
      <c r="Z94" s="11"/>
    </row>
    <row r="95" spans="1:26" ht="14.25" customHeight="1">
      <c r="A95" s="11"/>
      <c r="B95" s="11"/>
      <c r="C95" s="11"/>
      <c r="D95" s="11"/>
      <c r="E95" s="11"/>
      <c r="F95" s="11"/>
      <c r="G95" s="11"/>
      <c r="H95" s="11"/>
      <c r="I95" s="46"/>
      <c r="J95" s="11"/>
      <c r="K95" s="11"/>
      <c r="L95" s="11"/>
      <c r="M95" s="11"/>
      <c r="N95" s="46"/>
      <c r="O95" s="11"/>
      <c r="P95" s="11"/>
      <c r="Q95" s="11"/>
      <c r="R95" s="11"/>
      <c r="S95" s="11"/>
      <c r="T95" s="11"/>
      <c r="U95" s="11"/>
      <c r="V95" s="11"/>
      <c r="W95" s="11"/>
      <c r="X95" s="11"/>
      <c r="Y95" s="11"/>
      <c r="Z95" s="11"/>
    </row>
    <row r="96" spans="1:26" ht="14.25" customHeight="1">
      <c r="A96" s="11"/>
      <c r="B96" s="11"/>
      <c r="C96" s="11"/>
      <c r="D96" s="11"/>
      <c r="E96" s="11"/>
      <c r="F96" s="11"/>
      <c r="G96" s="11"/>
      <c r="H96" s="11"/>
      <c r="I96" s="46"/>
      <c r="J96" s="11"/>
      <c r="K96" s="11"/>
      <c r="L96" s="11"/>
      <c r="M96" s="11"/>
      <c r="N96" s="46"/>
      <c r="O96" s="11"/>
      <c r="P96" s="11"/>
      <c r="Q96" s="11"/>
      <c r="R96" s="11"/>
      <c r="S96" s="11"/>
      <c r="T96" s="11"/>
      <c r="U96" s="11"/>
      <c r="V96" s="11"/>
      <c r="W96" s="11"/>
      <c r="X96" s="11"/>
      <c r="Y96" s="11"/>
      <c r="Z96" s="11"/>
    </row>
    <row r="97" spans="1:26" ht="14.25" customHeight="1">
      <c r="A97" s="11"/>
      <c r="B97" s="11"/>
      <c r="C97" s="11"/>
      <c r="D97" s="11"/>
      <c r="E97" s="11"/>
      <c r="F97" s="11"/>
      <c r="G97" s="11"/>
      <c r="H97" s="11"/>
      <c r="I97" s="46"/>
      <c r="J97" s="11"/>
      <c r="K97" s="11"/>
      <c r="L97" s="11"/>
      <c r="M97" s="11"/>
      <c r="N97" s="46"/>
      <c r="O97" s="11"/>
      <c r="P97" s="11"/>
      <c r="Q97" s="11"/>
      <c r="R97" s="11"/>
      <c r="S97" s="11"/>
      <c r="T97" s="11"/>
      <c r="U97" s="11"/>
      <c r="V97" s="11"/>
      <c r="W97" s="11"/>
      <c r="X97" s="11"/>
      <c r="Y97" s="11"/>
      <c r="Z97" s="11"/>
    </row>
    <row r="98" spans="1:26" ht="14.25" customHeight="1">
      <c r="A98" s="11"/>
      <c r="B98" s="11"/>
      <c r="C98" s="11"/>
      <c r="D98" s="11"/>
      <c r="E98" s="11"/>
      <c r="F98" s="11"/>
      <c r="G98" s="11"/>
      <c r="H98" s="11"/>
      <c r="I98" s="46"/>
      <c r="J98" s="11"/>
      <c r="K98" s="11"/>
      <c r="L98" s="11"/>
      <c r="M98" s="11"/>
      <c r="N98" s="46"/>
      <c r="O98" s="11"/>
      <c r="P98" s="11"/>
      <c r="Q98" s="11"/>
      <c r="R98" s="11"/>
      <c r="S98" s="11"/>
      <c r="T98" s="11"/>
      <c r="U98" s="11"/>
      <c r="V98" s="11"/>
      <c r="W98" s="11"/>
      <c r="X98" s="11"/>
      <c r="Y98" s="11"/>
      <c r="Z98" s="11"/>
    </row>
    <row r="99" spans="1:26" ht="14.25" customHeight="1">
      <c r="A99" s="11"/>
      <c r="B99" s="11"/>
      <c r="C99" s="11"/>
      <c r="D99" s="11"/>
      <c r="E99" s="11"/>
      <c r="F99" s="11"/>
      <c r="G99" s="11"/>
      <c r="H99" s="11"/>
      <c r="I99" s="46"/>
      <c r="J99" s="11"/>
      <c r="K99" s="11"/>
      <c r="L99" s="11"/>
      <c r="M99" s="11"/>
      <c r="N99" s="46"/>
      <c r="O99" s="11"/>
      <c r="P99" s="11"/>
      <c r="Q99" s="11"/>
      <c r="R99" s="11"/>
      <c r="S99" s="11"/>
      <c r="T99" s="11"/>
      <c r="U99" s="11"/>
      <c r="V99" s="11"/>
      <c r="W99" s="11"/>
      <c r="X99" s="11"/>
      <c r="Y99" s="11"/>
      <c r="Z99" s="11"/>
    </row>
    <row r="100" spans="1:26" ht="14.25" customHeight="1">
      <c r="A100" s="11"/>
      <c r="B100" s="11"/>
      <c r="C100" s="11"/>
      <c r="D100" s="11"/>
      <c r="E100" s="11"/>
      <c r="F100" s="11"/>
      <c r="G100" s="11"/>
      <c r="H100" s="11"/>
      <c r="I100" s="46"/>
      <c r="J100" s="11"/>
      <c r="K100" s="11"/>
      <c r="L100" s="11"/>
      <c r="M100" s="11"/>
      <c r="N100" s="46"/>
      <c r="O100" s="11"/>
      <c r="P100" s="11"/>
      <c r="Q100" s="11"/>
      <c r="R100" s="11"/>
      <c r="S100" s="11"/>
      <c r="T100" s="11"/>
      <c r="U100" s="11"/>
      <c r="V100" s="11"/>
      <c r="W100" s="11"/>
      <c r="X100" s="11"/>
      <c r="Y100" s="11"/>
      <c r="Z100" s="11"/>
    </row>
    <row r="101" spans="1:26" ht="14.25" customHeight="1">
      <c r="A101" s="11"/>
      <c r="B101" s="11"/>
      <c r="C101" s="11"/>
      <c r="D101" s="11"/>
      <c r="E101" s="11"/>
      <c r="F101" s="11"/>
      <c r="G101" s="11"/>
      <c r="H101" s="11"/>
      <c r="I101" s="46"/>
      <c r="J101" s="11"/>
      <c r="K101" s="11"/>
      <c r="L101" s="11"/>
      <c r="M101" s="11"/>
      <c r="N101" s="46"/>
      <c r="O101" s="11"/>
      <c r="P101" s="11"/>
      <c r="Q101" s="11"/>
      <c r="R101" s="11"/>
      <c r="S101" s="11"/>
      <c r="T101" s="11"/>
      <c r="U101" s="11"/>
      <c r="V101" s="11"/>
      <c r="W101" s="11"/>
      <c r="X101" s="11"/>
      <c r="Y101" s="11"/>
      <c r="Z101" s="11"/>
    </row>
    <row r="102" spans="1:26" ht="14.25" customHeight="1">
      <c r="A102" s="11"/>
      <c r="B102" s="11"/>
      <c r="C102" s="11"/>
      <c r="D102" s="11"/>
      <c r="E102" s="11"/>
      <c r="F102" s="11"/>
      <c r="G102" s="11"/>
      <c r="H102" s="11"/>
      <c r="I102" s="46"/>
      <c r="J102" s="11"/>
      <c r="K102" s="11"/>
      <c r="L102" s="11"/>
      <c r="M102" s="11"/>
      <c r="N102" s="46"/>
      <c r="O102" s="11"/>
      <c r="P102" s="11"/>
      <c r="Q102" s="11"/>
      <c r="R102" s="11"/>
      <c r="S102" s="11"/>
      <c r="T102" s="11"/>
      <c r="U102" s="11"/>
      <c r="V102" s="11"/>
      <c r="W102" s="11"/>
      <c r="X102" s="11"/>
      <c r="Y102" s="11"/>
      <c r="Z102" s="11"/>
    </row>
    <row r="103" spans="1:26" ht="14.25" customHeight="1">
      <c r="A103" s="11"/>
      <c r="B103" s="11"/>
      <c r="C103" s="11"/>
      <c r="D103" s="11"/>
      <c r="E103" s="11"/>
      <c r="F103" s="11"/>
      <c r="G103" s="11"/>
      <c r="H103" s="11"/>
      <c r="I103" s="46"/>
      <c r="J103" s="11"/>
      <c r="K103" s="11"/>
      <c r="L103" s="11"/>
      <c r="M103" s="11"/>
      <c r="N103" s="46"/>
      <c r="O103" s="11"/>
      <c r="P103" s="11"/>
      <c r="Q103" s="11"/>
      <c r="R103" s="11"/>
      <c r="S103" s="11"/>
      <c r="T103" s="11"/>
      <c r="U103" s="11"/>
      <c r="V103" s="11"/>
      <c r="W103" s="11"/>
      <c r="X103" s="11"/>
      <c r="Y103" s="11"/>
      <c r="Z103" s="11"/>
    </row>
    <row r="104" spans="1:26" ht="14.25" customHeight="1">
      <c r="A104" s="11"/>
      <c r="B104" s="11"/>
      <c r="C104" s="11"/>
      <c r="D104" s="11"/>
      <c r="E104" s="11"/>
      <c r="F104" s="11"/>
      <c r="G104" s="11"/>
      <c r="H104" s="11"/>
      <c r="I104" s="46"/>
      <c r="J104" s="11"/>
      <c r="K104" s="11"/>
      <c r="L104" s="11"/>
      <c r="M104" s="11"/>
      <c r="N104" s="46"/>
      <c r="O104" s="11"/>
      <c r="P104" s="11"/>
      <c r="Q104" s="11"/>
      <c r="R104" s="11"/>
      <c r="S104" s="11"/>
      <c r="T104" s="11"/>
      <c r="U104" s="11"/>
      <c r="V104" s="11"/>
      <c r="W104" s="11"/>
      <c r="X104" s="11"/>
      <c r="Y104" s="11"/>
      <c r="Z104" s="11"/>
    </row>
    <row r="105" spans="1:26" ht="14.25" customHeight="1">
      <c r="A105" s="11"/>
      <c r="B105" s="11"/>
      <c r="C105" s="11"/>
      <c r="D105" s="11"/>
      <c r="E105" s="11"/>
      <c r="F105" s="11"/>
      <c r="G105" s="11"/>
      <c r="H105" s="11"/>
      <c r="I105" s="46"/>
      <c r="J105" s="11"/>
      <c r="K105" s="11"/>
      <c r="L105" s="11"/>
      <c r="M105" s="11"/>
      <c r="N105" s="46"/>
      <c r="O105" s="11"/>
      <c r="P105" s="11"/>
      <c r="Q105" s="11"/>
      <c r="R105" s="11"/>
      <c r="S105" s="11"/>
      <c r="T105" s="11"/>
      <c r="U105" s="11"/>
      <c r="V105" s="11"/>
      <c r="W105" s="11"/>
      <c r="X105" s="11"/>
      <c r="Y105" s="11"/>
      <c r="Z105" s="11"/>
    </row>
    <row r="106" spans="1:26" ht="14.25" customHeight="1">
      <c r="A106" s="11"/>
      <c r="B106" s="11"/>
      <c r="C106" s="11"/>
      <c r="D106" s="11"/>
      <c r="E106" s="11"/>
      <c r="F106" s="11"/>
      <c r="G106" s="11"/>
      <c r="H106" s="11"/>
      <c r="I106" s="46"/>
      <c r="J106" s="11"/>
      <c r="K106" s="11"/>
      <c r="L106" s="11"/>
      <c r="M106" s="11"/>
      <c r="N106" s="46"/>
      <c r="O106" s="11"/>
      <c r="P106" s="11"/>
      <c r="Q106" s="11"/>
      <c r="R106" s="11"/>
      <c r="S106" s="11"/>
      <c r="T106" s="11"/>
      <c r="U106" s="11"/>
      <c r="V106" s="11"/>
      <c r="W106" s="11"/>
      <c r="X106" s="11"/>
      <c r="Y106" s="11"/>
      <c r="Z106" s="11"/>
    </row>
    <row r="107" spans="1:26" ht="14.25" customHeight="1">
      <c r="A107" s="11"/>
      <c r="B107" s="11"/>
      <c r="C107" s="11"/>
      <c r="D107" s="11"/>
      <c r="E107" s="11"/>
      <c r="F107" s="11"/>
      <c r="G107" s="11"/>
      <c r="H107" s="11"/>
      <c r="I107" s="46"/>
      <c r="J107" s="11"/>
      <c r="K107" s="11"/>
      <c r="L107" s="11"/>
      <c r="M107" s="11"/>
      <c r="N107" s="46"/>
      <c r="O107" s="11"/>
      <c r="P107" s="11"/>
      <c r="Q107" s="11"/>
      <c r="R107" s="11"/>
      <c r="S107" s="11"/>
      <c r="T107" s="11"/>
      <c r="U107" s="11"/>
      <c r="V107" s="11"/>
      <c r="W107" s="11"/>
      <c r="X107" s="11"/>
      <c r="Y107" s="11"/>
      <c r="Z107" s="11"/>
    </row>
    <row r="108" spans="1:26" ht="14.25" customHeight="1">
      <c r="A108" s="11"/>
      <c r="B108" s="11"/>
      <c r="C108" s="11"/>
      <c r="D108" s="11"/>
      <c r="E108" s="11"/>
      <c r="F108" s="11"/>
      <c r="G108" s="11"/>
      <c r="H108" s="11"/>
      <c r="I108" s="46"/>
      <c r="J108" s="11"/>
      <c r="K108" s="11"/>
      <c r="L108" s="11"/>
      <c r="M108" s="11"/>
      <c r="N108" s="46"/>
      <c r="O108" s="11"/>
      <c r="P108" s="11"/>
      <c r="Q108" s="11"/>
      <c r="R108" s="11"/>
      <c r="S108" s="11"/>
      <c r="T108" s="11"/>
      <c r="U108" s="11"/>
      <c r="V108" s="11"/>
      <c r="W108" s="11"/>
      <c r="X108" s="11"/>
      <c r="Y108" s="11"/>
      <c r="Z108" s="11"/>
    </row>
    <row r="109" spans="1:26" ht="14.25" customHeight="1">
      <c r="A109" s="11"/>
      <c r="B109" s="11"/>
      <c r="C109" s="11"/>
      <c r="D109" s="11"/>
      <c r="E109" s="11"/>
      <c r="F109" s="11"/>
      <c r="G109" s="11"/>
      <c r="H109" s="11"/>
      <c r="I109" s="46"/>
      <c r="J109" s="11"/>
      <c r="K109" s="11"/>
      <c r="L109" s="11"/>
      <c r="M109" s="11"/>
      <c r="N109" s="46"/>
      <c r="O109" s="11"/>
      <c r="P109" s="11"/>
      <c r="Q109" s="11"/>
      <c r="R109" s="11"/>
      <c r="S109" s="11"/>
      <c r="T109" s="11"/>
      <c r="U109" s="11"/>
      <c r="V109" s="11"/>
      <c r="W109" s="11"/>
      <c r="X109" s="11"/>
      <c r="Y109" s="11"/>
      <c r="Z109" s="11"/>
    </row>
    <row r="110" spans="1:26" ht="14.25" customHeight="1">
      <c r="A110" s="11"/>
      <c r="B110" s="11"/>
      <c r="C110" s="11"/>
      <c r="D110" s="11"/>
      <c r="E110" s="11"/>
      <c r="F110" s="11"/>
      <c r="G110" s="11"/>
      <c r="H110" s="11"/>
      <c r="I110" s="46"/>
      <c r="J110" s="11"/>
      <c r="K110" s="11"/>
      <c r="L110" s="11"/>
      <c r="M110" s="11"/>
      <c r="N110" s="46"/>
      <c r="O110" s="11"/>
      <c r="P110" s="11"/>
      <c r="Q110" s="11"/>
      <c r="R110" s="11"/>
      <c r="S110" s="11"/>
      <c r="T110" s="11"/>
      <c r="U110" s="11"/>
      <c r="V110" s="11"/>
      <c r="W110" s="11"/>
      <c r="X110" s="11"/>
      <c r="Y110" s="11"/>
      <c r="Z110" s="11"/>
    </row>
    <row r="111" spans="1:26" ht="14.25" customHeight="1">
      <c r="A111" s="11"/>
      <c r="B111" s="11"/>
      <c r="C111" s="11"/>
      <c r="D111" s="11"/>
      <c r="E111" s="11"/>
      <c r="F111" s="11"/>
      <c r="G111" s="11"/>
      <c r="H111" s="11"/>
      <c r="I111" s="46"/>
      <c r="J111" s="11"/>
      <c r="K111" s="11"/>
      <c r="L111" s="11"/>
      <c r="M111" s="11"/>
      <c r="N111" s="46"/>
      <c r="O111" s="11"/>
      <c r="P111" s="11"/>
      <c r="Q111" s="11"/>
      <c r="R111" s="11"/>
      <c r="S111" s="11"/>
      <c r="T111" s="11"/>
      <c r="U111" s="11"/>
      <c r="V111" s="11"/>
      <c r="W111" s="11"/>
      <c r="X111" s="11"/>
      <c r="Y111" s="11"/>
      <c r="Z111" s="11"/>
    </row>
    <row r="112" spans="1:26" ht="14.25" customHeight="1">
      <c r="A112" s="11"/>
      <c r="B112" s="11"/>
      <c r="C112" s="11"/>
      <c r="D112" s="11"/>
      <c r="E112" s="11"/>
      <c r="F112" s="11"/>
      <c r="G112" s="11"/>
      <c r="H112" s="11"/>
      <c r="I112" s="46"/>
      <c r="J112" s="11"/>
      <c r="K112" s="11"/>
      <c r="L112" s="11"/>
      <c r="M112" s="11"/>
      <c r="N112" s="46"/>
      <c r="O112" s="11"/>
      <c r="P112" s="11"/>
      <c r="Q112" s="11"/>
      <c r="R112" s="11"/>
      <c r="S112" s="11"/>
      <c r="T112" s="11"/>
      <c r="U112" s="11"/>
      <c r="V112" s="11"/>
      <c r="W112" s="11"/>
      <c r="X112" s="11"/>
      <c r="Y112" s="11"/>
      <c r="Z112" s="11"/>
    </row>
    <row r="113" spans="1:26" ht="14.25" customHeight="1">
      <c r="A113" s="11"/>
      <c r="B113" s="11"/>
      <c r="C113" s="11"/>
      <c r="D113" s="11"/>
      <c r="E113" s="11"/>
      <c r="F113" s="11"/>
      <c r="G113" s="11"/>
      <c r="H113" s="11"/>
      <c r="I113" s="46"/>
      <c r="J113" s="11"/>
      <c r="K113" s="11"/>
      <c r="L113" s="11"/>
      <c r="M113" s="11"/>
      <c r="N113" s="46"/>
      <c r="O113" s="11"/>
      <c r="P113" s="11"/>
      <c r="Q113" s="11"/>
      <c r="R113" s="11"/>
      <c r="S113" s="11"/>
      <c r="T113" s="11"/>
      <c r="U113" s="11"/>
      <c r="V113" s="11"/>
      <c r="W113" s="11"/>
      <c r="X113" s="11"/>
      <c r="Y113" s="11"/>
      <c r="Z113" s="11"/>
    </row>
    <row r="114" spans="1:26" ht="14.25" customHeight="1">
      <c r="A114" s="11"/>
      <c r="B114" s="11"/>
      <c r="C114" s="11"/>
      <c r="D114" s="11"/>
      <c r="E114" s="11"/>
      <c r="F114" s="11"/>
      <c r="G114" s="11"/>
      <c r="H114" s="11"/>
      <c r="I114" s="46"/>
      <c r="J114" s="11"/>
      <c r="K114" s="11"/>
      <c r="L114" s="11"/>
      <c r="M114" s="11"/>
      <c r="N114" s="46"/>
      <c r="O114" s="11"/>
      <c r="P114" s="11"/>
      <c r="Q114" s="11"/>
      <c r="R114" s="11"/>
      <c r="S114" s="11"/>
      <c r="T114" s="11"/>
      <c r="U114" s="11"/>
      <c r="V114" s="11"/>
      <c r="W114" s="11"/>
      <c r="X114" s="11"/>
      <c r="Y114" s="11"/>
      <c r="Z114" s="11"/>
    </row>
    <row r="115" spans="1:26" ht="14.25" customHeight="1">
      <c r="A115" s="11"/>
      <c r="B115" s="11"/>
      <c r="C115" s="11"/>
      <c r="D115" s="11"/>
      <c r="E115" s="11"/>
      <c r="F115" s="11"/>
      <c r="G115" s="11"/>
      <c r="H115" s="11"/>
      <c r="I115" s="46"/>
      <c r="J115" s="11"/>
      <c r="K115" s="11"/>
      <c r="L115" s="11"/>
      <c r="M115" s="11"/>
      <c r="N115" s="46"/>
      <c r="O115" s="11"/>
      <c r="P115" s="11"/>
      <c r="Q115" s="11"/>
      <c r="R115" s="11"/>
      <c r="S115" s="11"/>
      <c r="T115" s="11"/>
      <c r="U115" s="11"/>
      <c r="V115" s="11"/>
      <c r="W115" s="11"/>
      <c r="X115" s="11"/>
      <c r="Y115" s="11"/>
      <c r="Z115" s="11"/>
    </row>
    <row r="116" spans="1:26" ht="14.25" customHeight="1">
      <c r="A116" s="11"/>
      <c r="B116" s="11"/>
      <c r="C116" s="11"/>
      <c r="D116" s="11"/>
      <c r="E116" s="11"/>
      <c r="F116" s="11"/>
      <c r="G116" s="11"/>
      <c r="H116" s="11"/>
      <c r="I116" s="46"/>
      <c r="J116" s="11"/>
      <c r="K116" s="11"/>
      <c r="L116" s="11"/>
      <c r="M116" s="11"/>
      <c r="N116" s="46"/>
      <c r="O116" s="11"/>
      <c r="P116" s="11"/>
      <c r="Q116" s="11"/>
      <c r="R116" s="11"/>
      <c r="S116" s="11"/>
      <c r="T116" s="11"/>
      <c r="U116" s="11"/>
      <c r="V116" s="11"/>
      <c r="W116" s="11"/>
      <c r="X116" s="11"/>
      <c r="Y116" s="11"/>
      <c r="Z116" s="11"/>
    </row>
    <row r="117" spans="1:26" ht="14.25" customHeight="1">
      <c r="A117" s="11"/>
      <c r="B117" s="11"/>
      <c r="C117" s="11"/>
      <c r="D117" s="11"/>
      <c r="E117" s="11"/>
      <c r="F117" s="11"/>
      <c r="G117" s="11"/>
      <c r="H117" s="11"/>
      <c r="I117" s="46"/>
      <c r="J117" s="11"/>
      <c r="K117" s="11"/>
      <c r="L117" s="11"/>
      <c r="M117" s="11"/>
      <c r="N117" s="46"/>
      <c r="O117" s="11"/>
      <c r="P117" s="11"/>
      <c r="Q117" s="11"/>
      <c r="R117" s="11"/>
      <c r="S117" s="11"/>
      <c r="T117" s="11"/>
      <c r="U117" s="11"/>
      <c r="V117" s="11"/>
      <c r="W117" s="11"/>
      <c r="X117" s="11"/>
      <c r="Y117" s="11"/>
      <c r="Z117" s="11"/>
    </row>
    <row r="118" spans="1:26" ht="14.25" customHeight="1">
      <c r="A118" s="11"/>
      <c r="B118" s="11"/>
      <c r="C118" s="11"/>
      <c r="D118" s="11"/>
      <c r="E118" s="11"/>
      <c r="F118" s="11"/>
      <c r="G118" s="11"/>
      <c r="H118" s="11"/>
      <c r="I118" s="46"/>
      <c r="J118" s="11"/>
      <c r="K118" s="11"/>
      <c r="L118" s="11"/>
      <c r="M118" s="11"/>
      <c r="N118" s="46"/>
      <c r="O118" s="11"/>
      <c r="P118" s="11"/>
      <c r="Q118" s="11"/>
      <c r="R118" s="11"/>
      <c r="S118" s="11"/>
      <c r="T118" s="11"/>
      <c r="U118" s="11"/>
      <c r="V118" s="11"/>
      <c r="W118" s="11"/>
      <c r="X118" s="11"/>
      <c r="Y118" s="11"/>
      <c r="Z118" s="11"/>
    </row>
    <row r="119" spans="1:26" ht="14.25" customHeight="1">
      <c r="A119" s="11"/>
      <c r="B119" s="11"/>
      <c r="C119" s="11"/>
      <c r="D119" s="11"/>
      <c r="E119" s="11"/>
      <c r="F119" s="11"/>
      <c r="G119" s="11"/>
      <c r="H119" s="11"/>
      <c r="I119" s="46"/>
      <c r="J119" s="11"/>
      <c r="K119" s="11"/>
      <c r="L119" s="11"/>
      <c r="M119" s="11"/>
      <c r="N119" s="46"/>
      <c r="O119" s="11"/>
      <c r="P119" s="11"/>
      <c r="Q119" s="11"/>
      <c r="R119" s="11"/>
      <c r="S119" s="11"/>
      <c r="T119" s="11"/>
      <c r="U119" s="11"/>
      <c r="V119" s="11"/>
      <c r="W119" s="11"/>
      <c r="X119" s="11"/>
      <c r="Y119" s="11"/>
      <c r="Z119" s="11"/>
    </row>
    <row r="120" spans="1:26" ht="14.25" customHeight="1">
      <c r="A120" s="11"/>
      <c r="B120" s="11"/>
      <c r="C120" s="11"/>
      <c r="D120" s="11"/>
      <c r="E120" s="11"/>
      <c r="F120" s="11"/>
      <c r="G120" s="11"/>
      <c r="H120" s="11"/>
      <c r="I120" s="46"/>
      <c r="J120" s="11"/>
      <c r="K120" s="11"/>
      <c r="L120" s="11"/>
      <c r="M120" s="11"/>
      <c r="N120" s="46"/>
      <c r="O120" s="11"/>
      <c r="P120" s="11"/>
      <c r="Q120" s="11"/>
      <c r="R120" s="11"/>
      <c r="S120" s="11"/>
      <c r="T120" s="11"/>
      <c r="U120" s="11"/>
      <c r="V120" s="11"/>
      <c r="W120" s="11"/>
      <c r="X120" s="11"/>
      <c r="Y120" s="11"/>
      <c r="Z120" s="11"/>
    </row>
    <row r="121" spans="1:26" ht="14.25" customHeight="1">
      <c r="A121" s="11"/>
      <c r="B121" s="11"/>
      <c r="C121" s="11"/>
      <c r="D121" s="11"/>
      <c r="E121" s="11"/>
      <c r="F121" s="11"/>
      <c r="G121" s="11"/>
      <c r="H121" s="11"/>
      <c r="I121" s="46"/>
      <c r="J121" s="11"/>
      <c r="K121" s="11"/>
      <c r="L121" s="11"/>
      <c r="M121" s="11"/>
      <c r="N121" s="46"/>
      <c r="O121" s="11"/>
      <c r="P121" s="11"/>
      <c r="Q121" s="11"/>
      <c r="R121" s="11"/>
      <c r="S121" s="11"/>
      <c r="T121" s="11"/>
      <c r="U121" s="11"/>
      <c r="V121" s="11"/>
      <c r="W121" s="11"/>
      <c r="X121" s="11"/>
      <c r="Y121" s="11"/>
      <c r="Z121" s="11"/>
    </row>
    <row r="122" spans="1:26" ht="14.25" customHeight="1">
      <c r="A122" s="11"/>
      <c r="B122" s="11"/>
      <c r="C122" s="11"/>
      <c r="D122" s="11"/>
      <c r="E122" s="11"/>
      <c r="F122" s="11"/>
      <c r="G122" s="11"/>
      <c r="H122" s="11"/>
      <c r="I122" s="46"/>
      <c r="J122" s="11"/>
      <c r="K122" s="11"/>
      <c r="L122" s="11"/>
      <c r="M122" s="11"/>
      <c r="N122" s="46"/>
      <c r="O122" s="11"/>
      <c r="P122" s="11"/>
      <c r="Q122" s="11"/>
      <c r="R122" s="11"/>
      <c r="S122" s="11"/>
      <c r="T122" s="11"/>
      <c r="U122" s="11"/>
      <c r="V122" s="11"/>
      <c r="W122" s="11"/>
      <c r="X122" s="11"/>
      <c r="Y122" s="11"/>
      <c r="Z122" s="11"/>
    </row>
    <row r="123" spans="1:26" ht="14.25" customHeight="1">
      <c r="A123" s="11"/>
      <c r="B123" s="11"/>
      <c r="C123" s="11"/>
      <c r="D123" s="11"/>
      <c r="E123" s="11"/>
      <c r="F123" s="11"/>
      <c r="G123" s="11"/>
      <c r="H123" s="11"/>
      <c r="I123" s="46"/>
      <c r="J123" s="11"/>
      <c r="K123" s="11"/>
      <c r="L123" s="11"/>
      <c r="M123" s="11"/>
      <c r="N123" s="46"/>
      <c r="O123" s="11"/>
      <c r="P123" s="11"/>
      <c r="Q123" s="11"/>
      <c r="R123" s="11"/>
      <c r="S123" s="11"/>
      <c r="T123" s="11"/>
      <c r="U123" s="11"/>
      <c r="V123" s="11"/>
      <c r="W123" s="11"/>
      <c r="X123" s="11"/>
      <c r="Y123" s="11"/>
      <c r="Z123" s="11"/>
    </row>
    <row r="124" spans="1:26" ht="14.25" customHeight="1">
      <c r="A124" s="11"/>
      <c r="B124" s="11"/>
      <c r="C124" s="11"/>
      <c r="D124" s="11"/>
      <c r="E124" s="11"/>
      <c r="F124" s="11"/>
      <c r="G124" s="11"/>
      <c r="H124" s="11"/>
      <c r="I124" s="46"/>
      <c r="J124" s="11"/>
      <c r="K124" s="11"/>
      <c r="L124" s="11"/>
      <c r="M124" s="11"/>
      <c r="N124" s="46"/>
      <c r="O124" s="11"/>
      <c r="P124" s="11"/>
      <c r="Q124" s="11"/>
      <c r="R124" s="11"/>
      <c r="S124" s="11"/>
      <c r="T124" s="11"/>
      <c r="U124" s="11"/>
      <c r="V124" s="11"/>
      <c r="W124" s="11"/>
      <c r="X124" s="11"/>
      <c r="Y124" s="11"/>
      <c r="Z124" s="11"/>
    </row>
    <row r="125" spans="1:26" ht="14.25" customHeight="1">
      <c r="A125" s="11"/>
      <c r="B125" s="11"/>
      <c r="C125" s="11"/>
      <c r="D125" s="11"/>
      <c r="E125" s="11"/>
      <c r="F125" s="11"/>
      <c r="G125" s="11"/>
      <c r="H125" s="11"/>
      <c r="I125" s="46"/>
      <c r="J125" s="11"/>
      <c r="K125" s="11"/>
      <c r="L125" s="11"/>
      <c r="M125" s="11"/>
      <c r="N125" s="46"/>
      <c r="O125" s="11"/>
      <c r="P125" s="11"/>
      <c r="Q125" s="11"/>
      <c r="R125" s="11"/>
      <c r="S125" s="11"/>
      <c r="T125" s="11"/>
      <c r="U125" s="11"/>
      <c r="V125" s="11"/>
      <c r="W125" s="11"/>
      <c r="X125" s="11"/>
      <c r="Y125" s="11"/>
      <c r="Z125" s="11"/>
    </row>
    <row r="126" spans="1:26" ht="14.25" customHeight="1">
      <c r="A126" s="11"/>
      <c r="B126" s="11"/>
      <c r="C126" s="11"/>
      <c r="D126" s="11"/>
      <c r="E126" s="11"/>
      <c r="F126" s="11"/>
      <c r="G126" s="11"/>
      <c r="H126" s="11"/>
      <c r="I126" s="46"/>
      <c r="J126" s="11"/>
      <c r="K126" s="11"/>
      <c r="L126" s="11"/>
      <c r="M126" s="11"/>
      <c r="N126" s="46"/>
      <c r="O126" s="11"/>
      <c r="P126" s="11"/>
      <c r="Q126" s="11"/>
      <c r="R126" s="11"/>
      <c r="S126" s="11"/>
      <c r="T126" s="11"/>
      <c r="U126" s="11"/>
      <c r="V126" s="11"/>
      <c r="W126" s="11"/>
      <c r="X126" s="11"/>
      <c r="Y126" s="11"/>
      <c r="Z126" s="11"/>
    </row>
    <row r="127" spans="1:26" ht="14.25" customHeight="1">
      <c r="A127" s="11"/>
      <c r="B127" s="11"/>
      <c r="C127" s="11"/>
      <c r="D127" s="11"/>
      <c r="E127" s="11"/>
      <c r="F127" s="11"/>
      <c r="G127" s="11"/>
      <c r="H127" s="11"/>
      <c r="I127" s="46"/>
      <c r="J127" s="11"/>
      <c r="K127" s="11"/>
      <c r="L127" s="11"/>
      <c r="M127" s="11"/>
      <c r="N127" s="46"/>
      <c r="O127" s="11"/>
      <c r="P127" s="11"/>
      <c r="Q127" s="11"/>
      <c r="R127" s="11"/>
      <c r="S127" s="11"/>
      <c r="T127" s="11"/>
      <c r="U127" s="11"/>
      <c r="V127" s="11"/>
      <c r="W127" s="11"/>
      <c r="X127" s="11"/>
      <c r="Y127" s="11"/>
      <c r="Z127" s="11"/>
    </row>
    <row r="128" spans="1:26" ht="14.25" customHeight="1">
      <c r="A128" s="11"/>
      <c r="B128" s="11"/>
      <c r="C128" s="11"/>
      <c r="D128" s="11"/>
      <c r="E128" s="11"/>
      <c r="F128" s="11"/>
      <c r="G128" s="11"/>
      <c r="H128" s="11"/>
      <c r="I128" s="46"/>
      <c r="J128" s="11"/>
      <c r="K128" s="11"/>
      <c r="L128" s="11"/>
      <c r="M128" s="11"/>
      <c r="N128" s="46"/>
      <c r="O128" s="11"/>
      <c r="P128" s="11"/>
      <c r="Q128" s="11"/>
      <c r="R128" s="11"/>
      <c r="S128" s="11"/>
      <c r="T128" s="11"/>
      <c r="U128" s="11"/>
      <c r="V128" s="11"/>
      <c r="W128" s="11"/>
      <c r="X128" s="11"/>
      <c r="Y128" s="11"/>
      <c r="Z128" s="11"/>
    </row>
    <row r="129" spans="1:26" ht="14.25" customHeight="1">
      <c r="A129" s="11"/>
      <c r="B129" s="11"/>
      <c r="C129" s="11"/>
      <c r="D129" s="11"/>
      <c r="E129" s="11"/>
      <c r="F129" s="11"/>
      <c r="G129" s="11"/>
      <c r="H129" s="11"/>
      <c r="I129" s="46"/>
      <c r="J129" s="11"/>
      <c r="K129" s="11"/>
      <c r="L129" s="11"/>
      <c r="M129" s="11"/>
      <c r="N129" s="46"/>
      <c r="O129" s="11"/>
      <c r="P129" s="11"/>
      <c r="Q129" s="11"/>
      <c r="R129" s="11"/>
      <c r="S129" s="11"/>
      <c r="T129" s="11"/>
      <c r="U129" s="11"/>
      <c r="V129" s="11"/>
      <c r="W129" s="11"/>
      <c r="X129" s="11"/>
      <c r="Y129" s="11"/>
      <c r="Z129" s="11"/>
    </row>
    <row r="130" spans="1:26" ht="14.25" customHeight="1">
      <c r="A130" s="11"/>
      <c r="B130" s="11"/>
      <c r="C130" s="11"/>
      <c r="D130" s="11"/>
      <c r="E130" s="11"/>
      <c r="F130" s="11"/>
      <c r="G130" s="11"/>
      <c r="H130" s="11"/>
      <c r="I130" s="46"/>
      <c r="J130" s="11"/>
      <c r="K130" s="11"/>
      <c r="L130" s="11"/>
      <c r="M130" s="11"/>
      <c r="N130" s="46"/>
      <c r="O130" s="11"/>
      <c r="P130" s="11"/>
      <c r="Q130" s="11"/>
      <c r="R130" s="11"/>
      <c r="S130" s="11"/>
      <c r="T130" s="11"/>
      <c r="U130" s="11"/>
      <c r="V130" s="11"/>
      <c r="W130" s="11"/>
      <c r="X130" s="11"/>
      <c r="Y130" s="11"/>
      <c r="Z130" s="11"/>
    </row>
    <row r="131" spans="1:26" ht="14.25" customHeight="1">
      <c r="A131" s="11"/>
      <c r="B131" s="11"/>
      <c r="C131" s="11"/>
      <c r="D131" s="11"/>
      <c r="E131" s="11"/>
      <c r="F131" s="11"/>
      <c r="G131" s="11"/>
      <c r="H131" s="11"/>
      <c r="I131" s="46"/>
      <c r="J131" s="11"/>
      <c r="K131" s="11"/>
      <c r="L131" s="11"/>
      <c r="M131" s="11"/>
      <c r="N131" s="46"/>
      <c r="O131" s="11"/>
      <c r="P131" s="11"/>
      <c r="Q131" s="11"/>
      <c r="R131" s="11"/>
      <c r="S131" s="11"/>
      <c r="T131" s="11"/>
      <c r="U131" s="11"/>
      <c r="V131" s="11"/>
      <c r="W131" s="11"/>
      <c r="X131" s="11"/>
      <c r="Y131" s="11"/>
      <c r="Z131" s="11"/>
    </row>
    <row r="132" spans="1:26" ht="14.25" customHeight="1">
      <c r="A132" s="11"/>
      <c r="B132" s="11"/>
      <c r="C132" s="11"/>
      <c r="D132" s="11"/>
      <c r="E132" s="11"/>
      <c r="F132" s="11"/>
      <c r="G132" s="11"/>
      <c r="H132" s="11"/>
      <c r="I132" s="46"/>
      <c r="J132" s="11"/>
      <c r="K132" s="11"/>
      <c r="L132" s="11"/>
      <c r="M132" s="11"/>
      <c r="N132" s="46"/>
      <c r="O132" s="11"/>
      <c r="P132" s="11"/>
      <c r="Q132" s="11"/>
      <c r="R132" s="11"/>
      <c r="S132" s="11"/>
      <c r="T132" s="11"/>
      <c r="U132" s="11"/>
      <c r="V132" s="11"/>
      <c r="W132" s="11"/>
      <c r="X132" s="11"/>
      <c r="Y132" s="11"/>
      <c r="Z132" s="11"/>
    </row>
    <row r="133" spans="1:26" ht="14.25" customHeight="1">
      <c r="A133" s="11"/>
      <c r="B133" s="11"/>
      <c r="C133" s="11"/>
      <c r="D133" s="11"/>
      <c r="E133" s="11"/>
      <c r="F133" s="11"/>
      <c r="G133" s="11"/>
      <c r="H133" s="11"/>
      <c r="I133" s="46"/>
      <c r="J133" s="11"/>
      <c r="K133" s="11"/>
      <c r="L133" s="11"/>
      <c r="M133" s="11"/>
      <c r="N133" s="46"/>
      <c r="O133" s="11"/>
      <c r="P133" s="11"/>
      <c r="Q133" s="11"/>
      <c r="R133" s="11"/>
      <c r="S133" s="11"/>
      <c r="T133" s="11"/>
      <c r="U133" s="11"/>
      <c r="V133" s="11"/>
      <c r="W133" s="11"/>
      <c r="X133" s="11"/>
      <c r="Y133" s="11"/>
      <c r="Z133" s="11"/>
    </row>
    <row r="134" spans="1:26" ht="14.25" customHeight="1">
      <c r="A134" s="11"/>
      <c r="B134" s="11"/>
      <c r="C134" s="11"/>
      <c r="D134" s="11"/>
      <c r="E134" s="11"/>
      <c r="F134" s="11"/>
      <c r="G134" s="11"/>
      <c r="H134" s="11"/>
      <c r="I134" s="46"/>
      <c r="J134" s="11"/>
      <c r="K134" s="11"/>
      <c r="L134" s="11"/>
      <c r="M134" s="11"/>
      <c r="N134" s="46"/>
      <c r="O134" s="11"/>
      <c r="P134" s="11"/>
      <c r="Q134" s="11"/>
      <c r="R134" s="11"/>
      <c r="S134" s="11"/>
      <c r="T134" s="11"/>
      <c r="U134" s="11"/>
      <c r="V134" s="11"/>
      <c r="W134" s="11"/>
      <c r="X134" s="11"/>
      <c r="Y134" s="11"/>
      <c r="Z134" s="11"/>
    </row>
    <row r="135" spans="1:26" ht="14.25" customHeight="1">
      <c r="A135" s="11"/>
      <c r="B135" s="11"/>
      <c r="C135" s="11"/>
      <c r="D135" s="11"/>
      <c r="E135" s="11"/>
      <c r="F135" s="11"/>
      <c r="G135" s="11"/>
      <c r="H135" s="11"/>
      <c r="I135" s="46"/>
      <c r="J135" s="11"/>
      <c r="K135" s="11"/>
      <c r="L135" s="11"/>
      <c r="M135" s="11"/>
      <c r="N135" s="46"/>
      <c r="O135" s="11"/>
      <c r="P135" s="11"/>
      <c r="Q135" s="11"/>
      <c r="R135" s="11"/>
      <c r="S135" s="11"/>
      <c r="T135" s="11"/>
      <c r="U135" s="11"/>
      <c r="V135" s="11"/>
      <c r="W135" s="11"/>
      <c r="X135" s="11"/>
      <c r="Y135" s="11"/>
      <c r="Z135" s="11"/>
    </row>
    <row r="136" spans="1:26" ht="14.25" customHeight="1">
      <c r="A136" s="11"/>
      <c r="B136" s="11"/>
      <c r="C136" s="11"/>
      <c r="D136" s="11"/>
      <c r="E136" s="11"/>
      <c r="F136" s="11"/>
      <c r="G136" s="11"/>
      <c r="H136" s="11"/>
      <c r="I136" s="46"/>
      <c r="J136" s="11"/>
      <c r="K136" s="11"/>
      <c r="L136" s="11"/>
      <c r="M136" s="11"/>
      <c r="N136" s="46"/>
      <c r="O136" s="11"/>
      <c r="P136" s="11"/>
      <c r="Q136" s="11"/>
      <c r="R136" s="11"/>
      <c r="S136" s="11"/>
      <c r="T136" s="11"/>
      <c r="U136" s="11"/>
      <c r="V136" s="11"/>
      <c r="W136" s="11"/>
      <c r="X136" s="11"/>
      <c r="Y136" s="11"/>
      <c r="Z136" s="11"/>
    </row>
    <row r="137" spans="1:26" ht="14.25" customHeight="1">
      <c r="A137" s="11"/>
      <c r="B137" s="11"/>
      <c r="C137" s="11"/>
      <c r="D137" s="11"/>
      <c r="E137" s="11"/>
      <c r="F137" s="11"/>
      <c r="G137" s="11"/>
      <c r="H137" s="11"/>
      <c r="I137" s="46"/>
      <c r="J137" s="11"/>
      <c r="K137" s="11"/>
      <c r="L137" s="11"/>
      <c r="M137" s="11"/>
      <c r="N137" s="46"/>
      <c r="O137" s="11"/>
      <c r="P137" s="11"/>
      <c r="Q137" s="11"/>
      <c r="R137" s="11"/>
      <c r="S137" s="11"/>
      <c r="T137" s="11"/>
      <c r="U137" s="11"/>
      <c r="V137" s="11"/>
      <c r="W137" s="11"/>
      <c r="X137" s="11"/>
      <c r="Y137" s="11"/>
      <c r="Z137" s="11"/>
    </row>
    <row r="138" spans="1:26" ht="14.25" customHeight="1">
      <c r="A138" s="11"/>
      <c r="B138" s="11"/>
      <c r="C138" s="11"/>
      <c r="D138" s="11"/>
      <c r="E138" s="11"/>
      <c r="F138" s="11"/>
      <c r="G138" s="11"/>
      <c r="H138" s="11"/>
      <c r="I138" s="46"/>
      <c r="J138" s="11"/>
      <c r="K138" s="11"/>
      <c r="L138" s="11"/>
      <c r="M138" s="11"/>
      <c r="N138" s="46"/>
      <c r="O138" s="11"/>
      <c r="P138" s="11"/>
      <c r="Q138" s="11"/>
      <c r="R138" s="11"/>
      <c r="S138" s="11"/>
      <c r="T138" s="11"/>
      <c r="U138" s="11"/>
      <c r="V138" s="11"/>
      <c r="W138" s="11"/>
      <c r="X138" s="11"/>
      <c r="Y138" s="11"/>
      <c r="Z138" s="11"/>
    </row>
    <row r="139" spans="1:26" ht="14.25" customHeight="1">
      <c r="A139" s="11"/>
      <c r="B139" s="11"/>
      <c r="C139" s="11"/>
      <c r="D139" s="11"/>
      <c r="E139" s="11"/>
      <c r="F139" s="11"/>
      <c r="G139" s="11"/>
      <c r="H139" s="11"/>
      <c r="I139" s="46"/>
      <c r="J139" s="11"/>
      <c r="K139" s="11"/>
      <c r="L139" s="11"/>
      <c r="M139" s="11"/>
      <c r="N139" s="46"/>
      <c r="O139" s="11"/>
      <c r="P139" s="11"/>
      <c r="Q139" s="11"/>
      <c r="R139" s="11"/>
      <c r="S139" s="11"/>
      <c r="T139" s="11"/>
      <c r="U139" s="11"/>
      <c r="V139" s="11"/>
      <c r="W139" s="11"/>
      <c r="X139" s="11"/>
      <c r="Y139" s="11"/>
      <c r="Z139" s="11"/>
    </row>
    <row r="140" spans="1:26" ht="14.25" customHeight="1">
      <c r="A140" s="11"/>
      <c r="B140" s="11"/>
      <c r="C140" s="11"/>
      <c r="D140" s="11"/>
      <c r="E140" s="11"/>
      <c r="F140" s="11"/>
      <c r="G140" s="11"/>
      <c r="H140" s="11"/>
      <c r="I140" s="46"/>
      <c r="J140" s="11"/>
      <c r="K140" s="11"/>
      <c r="L140" s="11"/>
      <c r="M140" s="11"/>
      <c r="N140" s="46"/>
      <c r="O140" s="11"/>
      <c r="P140" s="11"/>
      <c r="Q140" s="11"/>
      <c r="R140" s="11"/>
      <c r="S140" s="11"/>
      <c r="T140" s="11"/>
      <c r="U140" s="11"/>
      <c r="V140" s="11"/>
      <c r="W140" s="11"/>
      <c r="X140" s="11"/>
      <c r="Y140" s="11"/>
      <c r="Z140" s="11"/>
    </row>
    <row r="141" spans="1:26" ht="14.25" customHeight="1">
      <c r="A141" s="11"/>
      <c r="B141" s="11"/>
      <c r="C141" s="11"/>
      <c r="D141" s="11"/>
      <c r="E141" s="11"/>
      <c r="F141" s="11"/>
      <c r="G141" s="11"/>
      <c r="H141" s="11"/>
      <c r="I141" s="46"/>
      <c r="J141" s="11"/>
      <c r="K141" s="11"/>
      <c r="L141" s="11"/>
      <c r="M141" s="11"/>
      <c r="N141" s="46"/>
      <c r="O141" s="11"/>
      <c r="P141" s="11"/>
      <c r="Q141" s="11"/>
      <c r="R141" s="11"/>
      <c r="S141" s="11"/>
      <c r="T141" s="11"/>
      <c r="U141" s="11"/>
      <c r="V141" s="11"/>
      <c r="W141" s="11"/>
      <c r="X141" s="11"/>
      <c r="Y141" s="11"/>
      <c r="Z141" s="11"/>
    </row>
    <row r="142" spans="1:26" ht="14.25" customHeight="1">
      <c r="A142" s="11"/>
      <c r="B142" s="11"/>
      <c r="C142" s="11"/>
      <c r="D142" s="11"/>
      <c r="E142" s="11"/>
      <c r="F142" s="11"/>
      <c r="G142" s="11"/>
      <c r="H142" s="11"/>
      <c r="I142" s="46"/>
      <c r="J142" s="11"/>
      <c r="K142" s="11"/>
      <c r="L142" s="11"/>
      <c r="M142" s="11"/>
      <c r="N142" s="46"/>
      <c r="O142" s="11"/>
      <c r="P142" s="11"/>
      <c r="Q142" s="11"/>
      <c r="R142" s="11"/>
      <c r="S142" s="11"/>
      <c r="T142" s="11"/>
      <c r="U142" s="11"/>
      <c r="V142" s="11"/>
      <c r="W142" s="11"/>
      <c r="X142" s="11"/>
      <c r="Y142" s="11"/>
      <c r="Z142" s="11"/>
    </row>
    <row r="143" spans="1:26" ht="14.25" customHeight="1">
      <c r="A143" s="11"/>
      <c r="B143" s="11"/>
      <c r="C143" s="11"/>
      <c r="D143" s="11"/>
      <c r="E143" s="11"/>
      <c r="F143" s="11"/>
      <c r="G143" s="11"/>
      <c r="H143" s="11"/>
      <c r="I143" s="46"/>
      <c r="J143" s="11"/>
      <c r="K143" s="11"/>
      <c r="L143" s="11"/>
      <c r="M143" s="11"/>
      <c r="N143" s="46"/>
      <c r="O143" s="11"/>
      <c r="P143" s="11"/>
      <c r="Q143" s="11"/>
      <c r="R143" s="11"/>
      <c r="S143" s="11"/>
      <c r="T143" s="11"/>
      <c r="U143" s="11"/>
      <c r="V143" s="11"/>
      <c r="W143" s="11"/>
      <c r="X143" s="11"/>
      <c r="Y143" s="11"/>
      <c r="Z143" s="11"/>
    </row>
    <row r="144" spans="1:26" ht="14.25" customHeight="1">
      <c r="A144" s="11"/>
      <c r="B144" s="11"/>
      <c r="C144" s="11"/>
      <c r="D144" s="11"/>
      <c r="E144" s="11"/>
      <c r="F144" s="11"/>
      <c r="G144" s="11"/>
      <c r="H144" s="11"/>
      <c r="I144" s="46"/>
      <c r="J144" s="11"/>
      <c r="K144" s="11"/>
      <c r="L144" s="11"/>
      <c r="M144" s="11"/>
      <c r="N144" s="46"/>
      <c r="O144" s="11"/>
      <c r="P144" s="11"/>
      <c r="Q144" s="11"/>
      <c r="R144" s="11"/>
      <c r="S144" s="11"/>
      <c r="T144" s="11"/>
      <c r="U144" s="11"/>
      <c r="V144" s="11"/>
      <c r="W144" s="11"/>
      <c r="X144" s="11"/>
      <c r="Y144" s="11"/>
      <c r="Z144" s="11"/>
    </row>
    <row r="145" spans="1:26" ht="14.25" customHeight="1">
      <c r="A145" s="11"/>
      <c r="B145" s="11"/>
      <c r="C145" s="11"/>
      <c r="D145" s="11"/>
      <c r="E145" s="11"/>
      <c r="F145" s="11"/>
      <c r="G145" s="11"/>
      <c r="H145" s="11"/>
      <c r="I145" s="46"/>
      <c r="J145" s="11"/>
      <c r="K145" s="11"/>
      <c r="L145" s="11"/>
      <c r="M145" s="11"/>
      <c r="N145" s="46"/>
      <c r="O145" s="11"/>
      <c r="P145" s="11"/>
      <c r="Q145" s="11"/>
      <c r="R145" s="11"/>
      <c r="S145" s="11"/>
      <c r="T145" s="11"/>
      <c r="U145" s="11"/>
      <c r="V145" s="11"/>
      <c r="W145" s="11"/>
      <c r="X145" s="11"/>
      <c r="Y145" s="11"/>
      <c r="Z145" s="11"/>
    </row>
    <row r="146" spans="1:26" ht="14.25" customHeight="1">
      <c r="A146" s="11"/>
      <c r="B146" s="11"/>
      <c r="C146" s="11"/>
      <c r="D146" s="11"/>
      <c r="E146" s="11"/>
      <c r="F146" s="11"/>
      <c r="G146" s="11"/>
      <c r="H146" s="11"/>
      <c r="I146" s="46"/>
      <c r="J146" s="11"/>
      <c r="K146" s="11"/>
      <c r="L146" s="11"/>
      <c r="M146" s="11"/>
      <c r="N146" s="46"/>
      <c r="O146" s="11"/>
      <c r="P146" s="11"/>
      <c r="Q146" s="11"/>
      <c r="R146" s="11"/>
      <c r="S146" s="11"/>
      <c r="T146" s="11"/>
      <c r="U146" s="11"/>
      <c r="V146" s="11"/>
      <c r="W146" s="11"/>
      <c r="X146" s="11"/>
      <c r="Y146" s="11"/>
      <c r="Z146" s="11"/>
    </row>
    <row r="147" spans="1:26" ht="14.25" customHeight="1">
      <c r="A147" s="11"/>
      <c r="B147" s="11"/>
      <c r="C147" s="11"/>
      <c r="D147" s="11"/>
      <c r="E147" s="11"/>
      <c r="F147" s="11"/>
      <c r="G147" s="11"/>
      <c r="H147" s="11"/>
      <c r="I147" s="46"/>
      <c r="J147" s="11"/>
      <c r="K147" s="11"/>
      <c r="L147" s="11"/>
      <c r="M147" s="11"/>
      <c r="N147" s="46"/>
      <c r="O147" s="11"/>
      <c r="P147" s="11"/>
      <c r="Q147" s="11"/>
      <c r="R147" s="11"/>
      <c r="S147" s="11"/>
      <c r="T147" s="11"/>
      <c r="U147" s="11"/>
      <c r="V147" s="11"/>
      <c r="W147" s="11"/>
      <c r="X147" s="11"/>
      <c r="Y147" s="11"/>
      <c r="Z147" s="11"/>
    </row>
    <row r="148" spans="1:26" ht="14.25" customHeight="1">
      <c r="A148" s="11"/>
      <c r="B148" s="11"/>
      <c r="C148" s="11"/>
      <c r="D148" s="11"/>
      <c r="E148" s="11"/>
      <c r="F148" s="11"/>
      <c r="G148" s="11"/>
      <c r="H148" s="11"/>
      <c r="I148" s="46"/>
      <c r="J148" s="11"/>
      <c r="K148" s="11"/>
      <c r="L148" s="11"/>
      <c r="M148" s="11"/>
      <c r="N148" s="46"/>
      <c r="O148" s="11"/>
      <c r="P148" s="11"/>
      <c r="Q148" s="11"/>
      <c r="R148" s="11"/>
      <c r="S148" s="11"/>
      <c r="T148" s="11"/>
      <c r="U148" s="11"/>
      <c r="V148" s="11"/>
      <c r="W148" s="11"/>
      <c r="X148" s="11"/>
      <c r="Y148" s="11"/>
      <c r="Z148" s="11"/>
    </row>
    <row r="149" spans="1:26" ht="14.25" customHeight="1">
      <c r="A149" s="11"/>
      <c r="B149" s="11"/>
      <c r="C149" s="11"/>
      <c r="D149" s="11"/>
      <c r="E149" s="11"/>
      <c r="F149" s="11"/>
      <c r="G149" s="11"/>
      <c r="H149" s="11"/>
      <c r="I149" s="46"/>
      <c r="J149" s="11"/>
      <c r="K149" s="11"/>
      <c r="L149" s="11"/>
      <c r="M149" s="11"/>
      <c r="N149" s="46"/>
      <c r="O149" s="11"/>
      <c r="P149" s="11"/>
      <c r="Q149" s="11"/>
      <c r="R149" s="11"/>
      <c r="S149" s="11"/>
      <c r="T149" s="11"/>
      <c r="U149" s="11"/>
      <c r="V149" s="11"/>
      <c r="W149" s="11"/>
      <c r="X149" s="11"/>
      <c r="Y149" s="11"/>
      <c r="Z149" s="11"/>
    </row>
    <row r="150" spans="1:26" ht="14.25" customHeight="1">
      <c r="A150" s="11"/>
      <c r="B150" s="11"/>
      <c r="C150" s="11"/>
      <c r="D150" s="11"/>
      <c r="E150" s="11"/>
      <c r="F150" s="11"/>
      <c r="G150" s="11"/>
      <c r="H150" s="11"/>
      <c r="I150" s="46"/>
      <c r="J150" s="11"/>
      <c r="K150" s="11"/>
      <c r="L150" s="11"/>
      <c r="M150" s="11"/>
      <c r="N150" s="46"/>
      <c r="O150" s="11"/>
      <c r="P150" s="11"/>
      <c r="Q150" s="11"/>
      <c r="R150" s="11"/>
      <c r="S150" s="11"/>
      <c r="T150" s="11"/>
      <c r="U150" s="11"/>
      <c r="V150" s="11"/>
      <c r="W150" s="11"/>
      <c r="X150" s="11"/>
      <c r="Y150" s="11"/>
      <c r="Z150" s="11"/>
    </row>
    <row r="151" spans="1:26" ht="14.25" customHeight="1">
      <c r="A151" s="11"/>
      <c r="B151" s="11"/>
      <c r="C151" s="11"/>
      <c r="D151" s="11"/>
      <c r="E151" s="11"/>
      <c r="F151" s="11"/>
      <c r="G151" s="11"/>
      <c r="H151" s="11"/>
      <c r="I151" s="46"/>
      <c r="J151" s="11"/>
      <c r="K151" s="11"/>
      <c r="L151" s="11"/>
      <c r="M151" s="11"/>
      <c r="N151" s="46"/>
      <c r="O151" s="11"/>
      <c r="P151" s="11"/>
      <c r="Q151" s="11"/>
      <c r="R151" s="11"/>
      <c r="S151" s="11"/>
      <c r="T151" s="11"/>
      <c r="U151" s="11"/>
      <c r="V151" s="11"/>
      <c r="W151" s="11"/>
      <c r="X151" s="11"/>
      <c r="Y151" s="11"/>
      <c r="Z151" s="11"/>
    </row>
    <row r="152" spans="1:26" ht="14.25" customHeight="1">
      <c r="A152" s="11"/>
      <c r="B152" s="11"/>
      <c r="C152" s="11"/>
      <c r="D152" s="11"/>
      <c r="E152" s="11"/>
      <c r="F152" s="11"/>
      <c r="G152" s="11"/>
      <c r="H152" s="11"/>
      <c r="I152" s="46"/>
      <c r="J152" s="11"/>
      <c r="K152" s="11"/>
      <c r="L152" s="11"/>
      <c r="M152" s="11"/>
      <c r="N152" s="46"/>
      <c r="O152" s="11"/>
      <c r="P152" s="11"/>
      <c r="Q152" s="11"/>
      <c r="R152" s="11"/>
      <c r="S152" s="11"/>
      <c r="T152" s="11"/>
      <c r="U152" s="11"/>
      <c r="V152" s="11"/>
      <c r="W152" s="11"/>
      <c r="X152" s="11"/>
      <c r="Y152" s="11"/>
      <c r="Z152" s="11"/>
    </row>
    <row r="153" spans="1:26" ht="14.25" customHeight="1">
      <c r="A153" s="11"/>
      <c r="B153" s="11"/>
      <c r="C153" s="11"/>
      <c r="D153" s="11"/>
      <c r="E153" s="11"/>
      <c r="F153" s="11"/>
      <c r="G153" s="11"/>
      <c r="H153" s="11"/>
      <c r="I153" s="46"/>
      <c r="J153" s="11"/>
      <c r="K153" s="11"/>
      <c r="L153" s="11"/>
      <c r="M153" s="11"/>
      <c r="N153" s="46"/>
      <c r="O153" s="11"/>
      <c r="P153" s="11"/>
      <c r="Q153" s="11"/>
      <c r="R153" s="11"/>
      <c r="S153" s="11"/>
      <c r="T153" s="11"/>
      <c r="U153" s="11"/>
      <c r="V153" s="11"/>
      <c r="W153" s="11"/>
      <c r="X153" s="11"/>
      <c r="Y153" s="11"/>
      <c r="Z153" s="11"/>
    </row>
    <row r="154" spans="1:26" ht="14.25" customHeight="1">
      <c r="A154" s="11"/>
      <c r="B154" s="11"/>
      <c r="C154" s="11"/>
      <c r="D154" s="11"/>
      <c r="E154" s="11"/>
      <c r="F154" s="11"/>
      <c r="G154" s="11"/>
      <c r="H154" s="11"/>
      <c r="I154" s="46"/>
      <c r="J154" s="11"/>
      <c r="K154" s="11"/>
      <c r="L154" s="11"/>
      <c r="M154" s="11"/>
      <c r="N154" s="46"/>
      <c r="O154" s="11"/>
      <c r="P154" s="11"/>
      <c r="Q154" s="11"/>
      <c r="R154" s="11"/>
      <c r="S154" s="11"/>
      <c r="T154" s="11"/>
      <c r="U154" s="11"/>
      <c r="V154" s="11"/>
      <c r="W154" s="11"/>
      <c r="X154" s="11"/>
      <c r="Y154" s="11"/>
      <c r="Z154" s="11"/>
    </row>
    <row r="155" spans="1:26" ht="14.25" customHeight="1">
      <c r="A155" s="11"/>
      <c r="B155" s="11"/>
      <c r="C155" s="11"/>
      <c r="D155" s="11"/>
      <c r="E155" s="11"/>
      <c r="F155" s="11"/>
      <c r="G155" s="11"/>
      <c r="H155" s="11"/>
      <c r="I155" s="46"/>
      <c r="J155" s="11"/>
      <c r="K155" s="11"/>
      <c r="L155" s="11"/>
      <c r="M155" s="11"/>
      <c r="N155" s="46"/>
      <c r="O155" s="11"/>
      <c r="P155" s="11"/>
      <c r="Q155" s="11"/>
      <c r="R155" s="11"/>
      <c r="S155" s="11"/>
      <c r="T155" s="11"/>
      <c r="U155" s="11"/>
      <c r="V155" s="11"/>
      <c r="W155" s="11"/>
      <c r="X155" s="11"/>
      <c r="Y155" s="11"/>
      <c r="Z155" s="11"/>
    </row>
    <row r="156" spans="1:26" ht="14.25" customHeight="1">
      <c r="A156" s="11"/>
      <c r="B156" s="11"/>
      <c r="C156" s="11"/>
      <c r="D156" s="11"/>
      <c r="E156" s="11"/>
      <c r="F156" s="11"/>
      <c r="G156" s="11"/>
      <c r="H156" s="11"/>
      <c r="I156" s="46"/>
      <c r="J156" s="11"/>
      <c r="K156" s="11"/>
      <c r="L156" s="11"/>
      <c r="M156" s="11"/>
      <c r="N156" s="46"/>
      <c r="O156" s="11"/>
      <c r="P156" s="11"/>
      <c r="Q156" s="11"/>
      <c r="R156" s="11"/>
      <c r="S156" s="11"/>
      <c r="T156" s="11"/>
      <c r="U156" s="11"/>
      <c r="V156" s="11"/>
      <c r="W156" s="11"/>
      <c r="X156" s="11"/>
      <c r="Y156" s="11"/>
      <c r="Z156" s="11"/>
    </row>
    <row r="157" spans="1:26" ht="14.25" customHeight="1">
      <c r="A157" s="11"/>
      <c r="B157" s="11"/>
      <c r="C157" s="11"/>
      <c r="D157" s="11"/>
      <c r="E157" s="11"/>
      <c r="F157" s="11"/>
      <c r="G157" s="11"/>
      <c r="H157" s="11"/>
      <c r="I157" s="46"/>
      <c r="J157" s="11"/>
      <c r="K157" s="11"/>
      <c r="L157" s="11"/>
      <c r="M157" s="11"/>
      <c r="N157" s="46"/>
      <c r="O157" s="11"/>
      <c r="P157" s="11"/>
      <c r="Q157" s="11"/>
      <c r="R157" s="11"/>
      <c r="S157" s="11"/>
      <c r="T157" s="11"/>
      <c r="U157" s="11"/>
      <c r="V157" s="11"/>
      <c r="W157" s="11"/>
      <c r="X157" s="11"/>
      <c r="Y157" s="11"/>
      <c r="Z157" s="11"/>
    </row>
    <row r="158" spans="1:26" ht="14.25" customHeight="1">
      <c r="A158" s="11"/>
      <c r="B158" s="11"/>
      <c r="C158" s="11"/>
      <c r="D158" s="11"/>
      <c r="E158" s="11"/>
      <c r="F158" s="11"/>
      <c r="G158" s="11"/>
      <c r="H158" s="11"/>
      <c r="I158" s="46"/>
      <c r="J158" s="11"/>
      <c r="K158" s="11"/>
      <c r="L158" s="11"/>
      <c r="M158" s="11"/>
      <c r="N158" s="46"/>
      <c r="O158" s="11"/>
      <c r="P158" s="11"/>
      <c r="Q158" s="11"/>
      <c r="R158" s="11"/>
      <c r="S158" s="11"/>
      <c r="T158" s="11"/>
      <c r="U158" s="11"/>
      <c r="V158" s="11"/>
      <c r="W158" s="11"/>
      <c r="X158" s="11"/>
      <c r="Y158" s="11"/>
      <c r="Z158" s="11"/>
    </row>
    <row r="159" spans="1:26" ht="14.25" customHeight="1">
      <c r="A159" s="11"/>
      <c r="B159" s="11"/>
      <c r="C159" s="11"/>
      <c r="D159" s="11"/>
      <c r="E159" s="11"/>
      <c r="F159" s="11"/>
      <c r="G159" s="11"/>
      <c r="H159" s="11"/>
      <c r="I159" s="46"/>
      <c r="J159" s="11"/>
      <c r="K159" s="11"/>
      <c r="L159" s="11"/>
      <c r="M159" s="11"/>
      <c r="N159" s="46"/>
      <c r="O159" s="11"/>
      <c r="P159" s="11"/>
      <c r="Q159" s="11"/>
      <c r="R159" s="11"/>
      <c r="S159" s="11"/>
      <c r="T159" s="11"/>
      <c r="U159" s="11"/>
      <c r="V159" s="11"/>
      <c r="W159" s="11"/>
      <c r="X159" s="11"/>
      <c r="Y159" s="11"/>
      <c r="Z159" s="11"/>
    </row>
    <row r="160" spans="1:26" ht="14.25" customHeight="1">
      <c r="A160" s="11"/>
      <c r="B160" s="11"/>
      <c r="C160" s="11"/>
      <c r="D160" s="11"/>
      <c r="E160" s="11"/>
      <c r="F160" s="11"/>
      <c r="G160" s="11"/>
      <c r="H160" s="11"/>
      <c r="I160" s="46"/>
      <c r="J160" s="11"/>
      <c r="K160" s="11"/>
      <c r="L160" s="11"/>
      <c r="M160" s="11"/>
      <c r="N160" s="46"/>
      <c r="O160" s="11"/>
      <c r="P160" s="11"/>
      <c r="Q160" s="11"/>
      <c r="R160" s="11"/>
      <c r="S160" s="11"/>
      <c r="T160" s="11"/>
      <c r="U160" s="11"/>
      <c r="V160" s="11"/>
      <c r="W160" s="11"/>
      <c r="X160" s="11"/>
      <c r="Y160" s="11"/>
      <c r="Z160" s="11"/>
    </row>
    <row r="161" spans="1:26" ht="14.25" customHeight="1">
      <c r="A161" s="11"/>
      <c r="B161" s="11"/>
      <c r="C161" s="11"/>
      <c r="D161" s="11"/>
      <c r="E161" s="11"/>
      <c r="F161" s="11"/>
      <c r="G161" s="11"/>
      <c r="H161" s="11"/>
      <c r="I161" s="46"/>
      <c r="J161" s="11"/>
      <c r="K161" s="11"/>
      <c r="L161" s="11"/>
      <c r="M161" s="11"/>
      <c r="N161" s="46"/>
      <c r="O161" s="11"/>
      <c r="P161" s="11"/>
      <c r="Q161" s="11"/>
      <c r="R161" s="11"/>
      <c r="S161" s="11"/>
      <c r="T161" s="11"/>
      <c r="U161" s="11"/>
      <c r="V161" s="11"/>
      <c r="W161" s="11"/>
      <c r="X161" s="11"/>
      <c r="Y161" s="11"/>
      <c r="Z161" s="11"/>
    </row>
    <row r="162" spans="1:26" ht="14.25" customHeight="1">
      <c r="A162" s="11"/>
      <c r="B162" s="11"/>
      <c r="C162" s="11"/>
      <c r="D162" s="11"/>
      <c r="E162" s="11"/>
      <c r="F162" s="11"/>
      <c r="G162" s="11"/>
      <c r="H162" s="11"/>
      <c r="I162" s="46"/>
      <c r="J162" s="11"/>
      <c r="K162" s="11"/>
      <c r="L162" s="11"/>
      <c r="M162" s="11"/>
      <c r="N162" s="46"/>
      <c r="O162" s="11"/>
      <c r="P162" s="11"/>
      <c r="Q162" s="11"/>
      <c r="R162" s="11"/>
      <c r="S162" s="11"/>
      <c r="T162" s="11"/>
      <c r="U162" s="11"/>
      <c r="V162" s="11"/>
      <c r="W162" s="11"/>
      <c r="X162" s="11"/>
      <c r="Y162" s="11"/>
      <c r="Z162" s="11"/>
    </row>
    <row r="163" spans="1:26" ht="14.25" customHeight="1">
      <c r="A163" s="11"/>
      <c r="B163" s="11"/>
      <c r="C163" s="11"/>
      <c r="D163" s="11"/>
      <c r="E163" s="11"/>
      <c r="F163" s="11"/>
      <c r="G163" s="11"/>
      <c r="H163" s="11"/>
      <c r="I163" s="46"/>
      <c r="J163" s="11"/>
      <c r="K163" s="11"/>
      <c r="L163" s="11"/>
      <c r="M163" s="11"/>
      <c r="N163" s="46"/>
      <c r="O163" s="11"/>
      <c r="P163" s="11"/>
      <c r="Q163" s="11"/>
      <c r="R163" s="11"/>
      <c r="S163" s="11"/>
      <c r="T163" s="11"/>
      <c r="U163" s="11"/>
      <c r="V163" s="11"/>
      <c r="W163" s="11"/>
      <c r="X163" s="11"/>
      <c r="Y163" s="11"/>
      <c r="Z163" s="11"/>
    </row>
    <row r="164" spans="1:26" ht="14.25" customHeight="1">
      <c r="A164" s="11"/>
      <c r="B164" s="11"/>
      <c r="C164" s="11"/>
      <c r="D164" s="11"/>
      <c r="E164" s="11"/>
      <c r="F164" s="11"/>
      <c r="G164" s="11"/>
      <c r="H164" s="11"/>
      <c r="I164" s="46"/>
      <c r="J164" s="11"/>
      <c r="K164" s="11"/>
      <c r="L164" s="11"/>
      <c r="M164" s="11"/>
      <c r="N164" s="46"/>
      <c r="O164" s="11"/>
      <c r="P164" s="11"/>
      <c r="Q164" s="11"/>
      <c r="R164" s="11"/>
      <c r="S164" s="11"/>
      <c r="T164" s="11"/>
      <c r="U164" s="11"/>
      <c r="V164" s="11"/>
      <c r="W164" s="11"/>
      <c r="X164" s="11"/>
      <c r="Y164" s="11"/>
      <c r="Z164" s="11"/>
    </row>
    <row r="165" spans="1:26" ht="14.25" customHeight="1">
      <c r="A165" s="11"/>
      <c r="B165" s="11"/>
      <c r="C165" s="11"/>
      <c r="D165" s="11"/>
      <c r="E165" s="11"/>
      <c r="F165" s="11"/>
      <c r="G165" s="11"/>
      <c r="H165" s="11"/>
      <c r="I165" s="46"/>
      <c r="J165" s="11"/>
      <c r="K165" s="11"/>
      <c r="L165" s="11"/>
      <c r="M165" s="11"/>
      <c r="N165" s="46"/>
      <c r="O165" s="11"/>
      <c r="P165" s="11"/>
      <c r="Q165" s="11"/>
      <c r="R165" s="11"/>
      <c r="S165" s="11"/>
      <c r="T165" s="11"/>
      <c r="U165" s="11"/>
      <c r="V165" s="11"/>
      <c r="W165" s="11"/>
      <c r="X165" s="11"/>
      <c r="Y165" s="11"/>
      <c r="Z165" s="11"/>
    </row>
    <row r="166" spans="1:26" ht="14.25" customHeight="1">
      <c r="A166" s="11"/>
      <c r="B166" s="11"/>
      <c r="C166" s="11"/>
      <c r="D166" s="11"/>
      <c r="E166" s="11"/>
      <c r="F166" s="11"/>
      <c r="G166" s="11"/>
      <c r="H166" s="11"/>
      <c r="I166" s="46"/>
      <c r="J166" s="11"/>
      <c r="K166" s="11"/>
      <c r="L166" s="11"/>
      <c r="M166" s="11"/>
      <c r="N166" s="46"/>
      <c r="O166" s="11"/>
      <c r="P166" s="11"/>
      <c r="Q166" s="11"/>
      <c r="R166" s="11"/>
      <c r="S166" s="11"/>
      <c r="T166" s="11"/>
      <c r="U166" s="11"/>
      <c r="V166" s="11"/>
      <c r="W166" s="11"/>
      <c r="X166" s="11"/>
      <c r="Y166" s="11"/>
      <c r="Z166" s="11"/>
    </row>
    <row r="167" spans="1:26" ht="14.25" customHeight="1">
      <c r="A167" s="11"/>
      <c r="B167" s="11"/>
      <c r="C167" s="11"/>
      <c r="D167" s="11"/>
      <c r="E167" s="11"/>
      <c r="F167" s="11"/>
      <c r="G167" s="11"/>
      <c r="H167" s="11"/>
      <c r="I167" s="46"/>
      <c r="J167" s="11"/>
      <c r="K167" s="11"/>
      <c r="L167" s="11"/>
      <c r="M167" s="11"/>
      <c r="N167" s="46"/>
      <c r="O167" s="11"/>
      <c r="P167" s="11"/>
      <c r="Q167" s="11"/>
      <c r="R167" s="11"/>
      <c r="S167" s="11"/>
      <c r="T167" s="11"/>
      <c r="U167" s="11"/>
      <c r="V167" s="11"/>
      <c r="W167" s="11"/>
      <c r="X167" s="11"/>
      <c r="Y167" s="11"/>
      <c r="Z167" s="11"/>
    </row>
    <row r="168" spans="1:26" ht="14.25" customHeight="1">
      <c r="A168" s="11"/>
      <c r="B168" s="11"/>
      <c r="C168" s="11"/>
      <c r="D168" s="11"/>
      <c r="E168" s="11"/>
      <c r="F168" s="11"/>
      <c r="G168" s="11"/>
      <c r="H168" s="11"/>
      <c r="I168" s="46"/>
      <c r="J168" s="11"/>
      <c r="K168" s="11"/>
      <c r="L168" s="11"/>
      <c r="M168" s="11"/>
      <c r="N168" s="46"/>
      <c r="O168" s="11"/>
      <c r="P168" s="11"/>
      <c r="Q168" s="11"/>
      <c r="R168" s="11"/>
      <c r="S168" s="11"/>
      <c r="T168" s="11"/>
      <c r="U168" s="11"/>
      <c r="V168" s="11"/>
      <c r="W168" s="11"/>
      <c r="X168" s="11"/>
      <c r="Y168" s="11"/>
      <c r="Z168" s="11"/>
    </row>
    <row r="169" spans="1:26" ht="14.25" customHeight="1">
      <c r="A169" s="11"/>
      <c r="B169" s="11"/>
      <c r="C169" s="11"/>
      <c r="D169" s="11"/>
      <c r="E169" s="11"/>
      <c r="F169" s="11"/>
      <c r="G169" s="11"/>
      <c r="H169" s="11"/>
      <c r="I169" s="46"/>
      <c r="J169" s="11"/>
      <c r="K169" s="11"/>
      <c r="L169" s="11"/>
      <c r="M169" s="11"/>
      <c r="N169" s="46"/>
      <c r="O169" s="11"/>
      <c r="P169" s="11"/>
      <c r="Q169" s="11"/>
      <c r="R169" s="11"/>
      <c r="S169" s="11"/>
      <c r="T169" s="11"/>
      <c r="U169" s="11"/>
      <c r="V169" s="11"/>
      <c r="W169" s="11"/>
      <c r="X169" s="11"/>
      <c r="Y169" s="11"/>
      <c r="Z169" s="11"/>
    </row>
    <row r="170" spans="1:26" ht="14.25" customHeight="1">
      <c r="A170" s="11"/>
      <c r="B170" s="11"/>
      <c r="C170" s="11"/>
      <c r="D170" s="11"/>
      <c r="E170" s="11"/>
      <c r="F170" s="11"/>
      <c r="G170" s="11"/>
      <c r="H170" s="11"/>
      <c r="I170" s="46"/>
      <c r="J170" s="11"/>
      <c r="K170" s="11"/>
      <c r="L170" s="11"/>
      <c r="M170" s="11"/>
      <c r="N170" s="46"/>
      <c r="O170" s="11"/>
      <c r="P170" s="11"/>
      <c r="Q170" s="11"/>
      <c r="R170" s="11"/>
      <c r="S170" s="11"/>
      <c r="T170" s="11"/>
      <c r="U170" s="11"/>
      <c r="V170" s="11"/>
      <c r="W170" s="11"/>
      <c r="X170" s="11"/>
      <c r="Y170" s="11"/>
      <c r="Z170" s="11"/>
    </row>
    <row r="171" spans="1:26" ht="14.25" customHeight="1">
      <c r="A171" s="11"/>
      <c r="B171" s="11"/>
      <c r="C171" s="11"/>
      <c r="D171" s="11"/>
      <c r="E171" s="11"/>
      <c r="F171" s="11"/>
      <c r="G171" s="11"/>
      <c r="H171" s="11"/>
      <c r="I171" s="46"/>
      <c r="J171" s="11"/>
      <c r="K171" s="11"/>
      <c r="L171" s="11"/>
      <c r="M171" s="11"/>
      <c r="N171" s="46"/>
      <c r="O171" s="11"/>
      <c r="P171" s="11"/>
      <c r="Q171" s="11"/>
      <c r="R171" s="11"/>
      <c r="S171" s="11"/>
      <c r="T171" s="11"/>
      <c r="U171" s="11"/>
      <c r="V171" s="11"/>
      <c r="W171" s="11"/>
      <c r="X171" s="11"/>
      <c r="Y171" s="11"/>
      <c r="Z171" s="11"/>
    </row>
    <row r="172" spans="1:26" ht="14.25" customHeight="1">
      <c r="A172" s="11"/>
      <c r="B172" s="11"/>
      <c r="C172" s="11"/>
      <c r="D172" s="11"/>
      <c r="E172" s="11"/>
      <c r="F172" s="11"/>
      <c r="G172" s="11"/>
      <c r="H172" s="11"/>
      <c r="I172" s="46"/>
      <c r="J172" s="11"/>
      <c r="K172" s="11"/>
      <c r="L172" s="11"/>
      <c r="M172" s="11"/>
      <c r="N172" s="46"/>
      <c r="O172" s="11"/>
      <c r="P172" s="11"/>
      <c r="Q172" s="11"/>
      <c r="R172" s="11"/>
      <c r="S172" s="11"/>
      <c r="T172" s="11"/>
      <c r="U172" s="11"/>
      <c r="V172" s="11"/>
      <c r="W172" s="11"/>
      <c r="X172" s="11"/>
      <c r="Y172" s="11"/>
      <c r="Z172" s="11"/>
    </row>
    <row r="173" spans="1:26" ht="14.25" customHeight="1">
      <c r="A173" s="11"/>
      <c r="B173" s="11"/>
      <c r="C173" s="11"/>
      <c r="D173" s="11"/>
      <c r="E173" s="11"/>
      <c r="F173" s="11"/>
      <c r="G173" s="11"/>
      <c r="H173" s="11"/>
      <c r="I173" s="46"/>
      <c r="J173" s="11"/>
      <c r="K173" s="11"/>
      <c r="L173" s="11"/>
      <c r="M173" s="11"/>
      <c r="N173" s="46"/>
      <c r="O173" s="11"/>
      <c r="P173" s="11"/>
      <c r="Q173" s="11"/>
      <c r="R173" s="11"/>
      <c r="S173" s="11"/>
      <c r="T173" s="11"/>
      <c r="U173" s="11"/>
      <c r="V173" s="11"/>
      <c r="W173" s="11"/>
      <c r="X173" s="11"/>
      <c r="Y173" s="11"/>
      <c r="Z173" s="11"/>
    </row>
    <row r="174" spans="1:26" ht="14.25" customHeight="1">
      <c r="A174" s="11"/>
      <c r="B174" s="11"/>
      <c r="C174" s="11"/>
      <c r="D174" s="11"/>
      <c r="E174" s="11"/>
      <c r="F174" s="11"/>
      <c r="G174" s="11"/>
      <c r="H174" s="11"/>
      <c r="I174" s="46"/>
      <c r="J174" s="11"/>
      <c r="K174" s="11"/>
      <c r="L174" s="11"/>
      <c r="M174" s="11"/>
      <c r="N174" s="46"/>
      <c r="O174" s="11"/>
      <c r="P174" s="11"/>
      <c r="Q174" s="11"/>
      <c r="R174" s="11"/>
      <c r="S174" s="11"/>
      <c r="T174" s="11"/>
      <c r="U174" s="11"/>
      <c r="V174" s="11"/>
      <c r="W174" s="11"/>
      <c r="X174" s="11"/>
      <c r="Y174" s="11"/>
      <c r="Z174" s="11"/>
    </row>
    <row r="175" spans="1:26" ht="14.25" customHeight="1">
      <c r="A175" s="11"/>
      <c r="B175" s="11"/>
      <c r="C175" s="11"/>
      <c r="D175" s="11"/>
      <c r="E175" s="11"/>
      <c r="F175" s="11"/>
      <c r="G175" s="11"/>
      <c r="H175" s="11"/>
      <c r="I175" s="46"/>
      <c r="J175" s="11"/>
      <c r="K175" s="11"/>
      <c r="L175" s="11"/>
      <c r="M175" s="11"/>
      <c r="N175" s="46"/>
      <c r="O175" s="11"/>
      <c r="P175" s="11"/>
      <c r="Q175" s="11"/>
      <c r="R175" s="11"/>
      <c r="S175" s="11"/>
      <c r="T175" s="11"/>
      <c r="U175" s="11"/>
      <c r="V175" s="11"/>
      <c r="W175" s="11"/>
      <c r="X175" s="11"/>
      <c r="Y175" s="11"/>
      <c r="Z175" s="11"/>
    </row>
    <row r="176" spans="1:26" ht="14.25" customHeight="1">
      <c r="A176" s="11"/>
      <c r="B176" s="11"/>
      <c r="C176" s="11"/>
      <c r="D176" s="11"/>
      <c r="E176" s="11"/>
      <c r="F176" s="11"/>
      <c r="G176" s="11"/>
      <c r="H176" s="11"/>
      <c r="I176" s="46"/>
      <c r="J176" s="11"/>
      <c r="K176" s="11"/>
      <c r="L176" s="11"/>
      <c r="M176" s="11"/>
      <c r="N176" s="46"/>
      <c r="O176" s="11"/>
      <c r="P176" s="11"/>
      <c r="Q176" s="11"/>
      <c r="R176" s="11"/>
      <c r="S176" s="11"/>
      <c r="T176" s="11"/>
      <c r="U176" s="11"/>
      <c r="V176" s="11"/>
      <c r="W176" s="11"/>
      <c r="X176" s="11"/>
      <c r="Y176" s="11"/>
      <c r="Z176" s="11"/>
    </row>
    <row r="177" spans="1:26" ht="14.25" customHeight="1">
      <c r="A177" s="11"/>
      <c r="B177" s="11"/>
      <c r="C177" s="11"/>
      <c r="D177" s="11"/>
      <c r="E177" s="11"/>
      <c r="F177" s="11"/>
      <c r="G177" s="11"/>
      <c r="H177" s="11"/>
      <c r="I177" s="46"/>
      <c r="J177" s="11"/>
      <c r="K177" s="11"/>
      <c r="L177" s="11"/>
      <c r="M177" s="11"/>
      <c r="N177" s="46"/>
      <c r="O177" s="11"/>
      <c r="P177" s="11"/>
      <c r="Q177" s="11"/>
      <c r="R177" s="11"/>
      <c r="S177" s="11"/>
      <c r="T177" s="11"/>
      <c r="U177" s="11"/>
      <c r="V177" s="11"/>
      <c r="W177" s="11"/>
      <c r="X177" s="11"/>
      <c r="Y177" s="11"/>
      <c r="Z177" s="11"/>
    </row>
    <row r="178" spans="1:26" ht="14.25" customHeight="1">
      <c r="A178" s="11"/>
      <c r="B178" s="11"/>
      <c r="C178" s="11"/>
      <c r="D178" s="11"/>
      <c r="E178" s="11"/>
      <c r="F178" s="11"/>
      <c r="G178" s="11"/>
      <c r="H178" s="11"/>
      <c r="I178" s="46"/>
      <c r="J178" s="11"/>
      <c r="K178" s="11"/>
      <c r="L178" s="11"/>
      <c r="M178" s="11"/>
      <c r="N178" s="46"/>
      <c r="O178" s="11"/>
      <c r="P178" s="11"/>
      <c r="Q178" s="11"/>
      <c r="R178" s="11"/>
      <c r="S178" s="11"/>
      <c r="T178" s="11"/>
      <c r="U178" s="11"/>
      <c r="V178" s="11"/>
      <c r="W178" s="11"/>
      <c r="X178" s="11"/>
      <c r="Y178" s="11"/>
      <c r="Z178" s="11"/>
    </row>
    <row r="179" spans="1:26" ht="14.25" customHeight="1">
      <c r="A179" s="11"/>
      <c r="B179" s="11"/>
      <c r="C179" s="11"/>
      <c r="D179" s="11"/>
      <c r="E179" s="11"/>
      <c r="F179" s="11"/>
      <c r="G179" s="11"/>
      <c r="H179" s="11"/>
      <c r="I179" s="46"/>
      <c r="J179" s="11"/>
      <c r="K179" s="11"/>
      <c r="L179" s="11"/>
      <c r="M179" s="11"/>
      <c r="N179" s="46"/>
      <c r="O179" s="11"/>
      <c r="P179" s="11"/>
      <c r="Q179" s="11"/>
      <c r="R179" s="11"/>
      <c r="S179" s="11"/>
      <c r="T179" s="11"/>
      <c r="U179" s="11"/>
      <c r="V179" s="11"/>
      <c r="W179" s="11"/>
      <c r="X179" s="11"/>
      <c r="Y179" s="11"/>
      <c r="Z179" s="11"/>
    </row>
    <row r="180" spans="1:26" ht="14.25" customHeight="1">
      <c r="A180" s="11"/>
      <c r="B180" s="11"/>
      <c r="C180" s="11"/>
      <c r="D180" s="11"/>
      <c r="E180" s="11"/>
      <c r="F180" s="11"/>
      <c r="G180" s="11"/>
      <c r="H180" s="11"/>
      <c r="I180" s="46"/>
      <c r="J180" s="11"/>
      <c r="K180" s="11"/>
      <c r="L180" s="11"/>
      <c r="M180" s="11"/>
      <c r="N180" s="46"/>
      <c r="O180" s="11"/>
      <c r="P180" s="11"/>
      <c r="Q180" s="11"/>
      <c r="R180" s="11"/>
      <c r="S180" s="11"/>
      <c r="T180" s="11"/>
      <c r="U180" s="11"/>
      <c r="V180" s="11"/>
      <c r="W180" s="11"/>
      <c r="X180" s="11"/>
      <c r="Y180" s="11"/>
      <c r="Z180" s="11"/>
    </row>
    <row r="181" spans="1:26" ht="14.25" customHeight="1">
      <c r="A181" s="11"/>
      <c r="B181" s="11"/>
      <c r="C181" s="11"/>
      <c r="D181" s="11"/>
      <c r="E181" s="11"/>
      <c r="F181" s="11"/>
      <c r="G181" s="11"/>
      <c r="H181" s="11"/>
      <c r="I181" s="46"/>
      <c r="J181" s="11"/>
      <c r="K181" s="11"/>
      <c r="L181" s="11"/>
      <c r="M181" s="11"/>
      <c r="N181" s="46"/>
      <c r="O181" s="11"/>
      <c r="P181" s="11"/>
      <c r="Q181" s="11"/>
      <c r="R181" s="11"/>
      <c r="S181" s="11"/>
      <c r="T181" s="11"/>
      <c r="U181" s="11"/>
      <c r="V181" s="11"/>
      <c r="W181" s="11"/>
      <c r="X181" s="11"/>
      <c r="Y181" s="11"/>
      <c r="Z181" s="11"/>
    </row>
    <row r="182" spans="1:26" ht="14.25" customHeight="1">
      <c r="A182" s="11"/>
      <c r="B182" s="11"/>
      <c r="C182" s="11"/>
      <c r="D182" s="11"/>
      <c r="E182" s="11"/>
      <c r="F182" s="11"/>
      <c r="G182" s="11"/>
      <c r="H182" s="11"/>
      <c r="I182" s="46"/>
      <c r="J182" s="11"/>
      <c r="K182" s="11"/>
      <c r="L182" s="11"/>
      <c r="M182" s="11"/>
      <c r="N182" s="46"/>
      <c r="O182" s="11"/>
      <c r="P182" s="11"/>
      <c r="Q182" s="11"/>
      <c r="R182" s="11"/>
      <c r="S182" s="11"/>
      <c r="T182" s="11"/>
      <c r="U182" s="11"/>
      <c r="V182" s="11"/>
      <c r="W182" s="11"/>
      <c r="X182" s="11"/>
      <c r="Y182" s="11"/>
      <c r="Z182" s="11"/>
    </row>
    <row r="183" spans="1:26" ht="14.25" customHeight="1">
      <c r="A183" s="11"/>
      <c r="B183" s="11"/>
      <c r="C183" s="11"/>
      <c r="D183" s="11"/>
      <c r="E183" s="11"/>
      <c r="F183" s="11"/>
      <c r="G183" s="11"/>
      <c r="H183" s="11"/>
      <c r="I183" s="46"/>
      <c r="J183" s="11"/>
      <c r="K183" s="11"/>
      <c r="L183" s="11"/>
      <c r="M183" s="11"/>
      <c r="N183" s="46"/>
      <c r="O183" s="11"/>
      <c r="P183" s="11"/>
      <c r="Q183" s="11"/>
      <c r="R183" s="11"/>
      <c r="S183" s="11"/>
      <c r="T183" s="11"/>
      <c r="U183" s="11"/>
      <c r="V183" s="11"/>
      <c r="W183" s="11"/>
      <c r="X183" s="11"/>
      <c r="Y183" s="11"/>
      <c r="Z183" s="11"/>
    </row>
    <row r="184" spans="1:26" ht="14.25" customHeight="1">
      <c r="A184" s="11"/>
      <c r="B184" s="11"/>
      <c r="C184" s="11"/>
      <c r="D184" s="11"/>
      <c r="E184" s="11"/>
      <c r="F184" s="11"/>
      <c r="G184" s="11"/>
      <c r="H184" s="11"/>
      <c r="I184" s="46"/>
      <c r="J184" s="11"/>
      <c r="K184" s="11"/>
      <c r="L184" s="11"/>
      <c r="M184" s="11"/>
      <c r="N184" s="46"/>
      <c r="O184" s="11"/>
      <c r="P184" s="11"/>
      <c r="Q184" s="11"/>
      <c r="R184" s="11"/>
      <c r="S184" s="11"/>
      <c r="T184" s="11"/>
      <c r="U184" s="11"/>
      <c r="V184" s="11"/>
      <c r="W184" s="11"/>
      <c r="X184" s="11"/>
      <c r="Y184" s="11"/>
      <c r="Z184" s="11"/>
    </row>
    <row r="185" spans="1:26" ht="14.25" customHeight="1">
      <c r="A185" s="11"/>
      <c r="B185" s="11"/>
      <c r="C185" s="11"/>
      <c r="D185" s="11"/>
      <c r="E185" s="11"/>
      <c r="F185" s="11"/>
      <c r="G185" s="11"/>
      <c r="H185" s="11"/>
      <c r="I185" s="46"/>
      <c r="J185" s="11"/>
      <c r="K185" s="11"/>
      <c r="L185" s="11"/>
      <c r="M185" s="11"/>
      <c r="N185" s="46"/>
      <c r="O185" s="11"/>
      <c r="P185" s="11"/>
      <c r="Q185" s="11"/>
      <c r="R185" s="11"/>
      <c r="S185" s="11"/>
      <c r="T185" s="11"/>
      <c r="U185" s="11"/>
      <c r="V185" s="11"/>
      <c r="W185" s="11"/>
      <c r="X185" s="11"/>
      <c r="Y185" s="11"/>
      <c r="Z185" s="11"/>
    </row>
    <row r="186" spans="1:26" ht="14.25" customHeight="1">
      <c r="A186" s="11"/>
      <c r="B186" s="11"/>
      <c r="C186" s="11"/>
      <c r="D186" s="11"/>
      <c r="E186" s="11"/>
      <c r="F186" s="11"/>
      <c r="G186" s="11"/>
      <c r="H186" s="11"/>
      <c r="I186" s="46"/>
      <c r="J186" s="11"/>
      <c r="K186" s="11"/>
      <c r="L186" s="11"/>
      <c r="M186" s="11"/>
      <c r="N186" s="46"/>
      <c r="O186" s="11"/>
      <c r="P186" s="11"/>
      <c r="Q186" s="11"/>
      <c r="R186" s="11"/>
      <c r="S186" s="11"/>
      <c r="T186" s="11"/>
      <c r="U186" s="11"/>
      <c r="V186" s="11"/>
      <c r="W186" s="11"/>
      <c r="X186" s="11"/>
      <c r="Y186" s="11"/>
      <c r="Z186" s="11"/>
    </row>
    <row r="187" spans="1:26" ht="14.25" customHeight="1">
      <c r="A187" s="11"/>
      <c r="B187" s="11"/>
      <c r="C187" s="11"/>
      <c r="D187" s="11"/>
      <c r="E187" s="11"/>
      <c r="F187" s="11"/>
      <c r="G187" s="11"/>
      <c r="H187" s="11"/>
      <c r="I187" s="46"/>
      <c r="J187" s="11"/>
      <c r="K187" s="11"/>
      <c r="L187" s="11"/>
      <c r="M187" s="11"/>
      <c r="N187" s="46"/>
      <c r="O187" s="11"/>
      <c r="P187" s="11"/>
      <c r="Q187" s="11"/>
      <c r="R187" s="11"/>
      <c r="S187" s="11"/>
      <c r="T187" s="11"/>
      <c r="U187" s="11"/>
      <c r="V187" s="11"/>
      <c r="W187" s="11"/>
      <c r="X187" s="11"/>
      <c r="Y187" s="11"/>
      <c r="Z187" s="11"/>
    </row>
    <row r="188" spans="1:26" ht="14.25" customHeight="1">
      <c r="A188" s="11"/>
      <c r="B188" s="11"/>
      <c r="C188" s="11"/>
      <c r="D188" s="11"/>
      <c r="E188" s="11"/>
      <c r="F188" s="11"/>
      <c r="G188" s="11"/>
      <c r="H188" s="11"/>
      <c r="I188" s="46"/>
      <c r="J188" s="11"/>
      <c r="K188" s="11"/>
      <c r="L188" s="11"/>
      <c r="M188" s="11"/>
      <c r="N188" s="46"/>
      <c r="O188" s="11"/>
      <c r="P188" s="11"/>
      <c r="Q188" s="11"/>
      <c r="R188" s="11"/>
      <c r="S188" s="11"/>
      <c r="T188" s="11"/>
      <c r="U188" s="11"/>
      <c r="V188" s="11"/>
      <c r="W188" s="11"/>
      <c r="X188" s="11"/>
      <c r="Y188" s="11"/>
      <c r="Z188" s="11"/>
    </row>
    <row r="189" spans="1:26" ht="14.25" customHeight="1">
      <c r="A189" s="11"/>
      <c r="B189" s="11"/>
      <c r="C189" s="11"/>
      <c r="D189" s="11"/>
      <c r="E189" s="11"/>
      <c r="F189" s="11"/>
      <c r="G189" s="11"/>
      <c r="H189" s="11"/>
      <c r="I189" s="46"/>
      <c r="J189" s="11"/>
      <c r="K189" s="11"/>
      <c r="L189" s="11"/>
      <c r="M189" s="11"/>
      <c r="N189" s="46"/>
      <c r="O189" s="11"/>
      <c r="P189" s="11"/>
      <c r="Q189" s="11"/>
      <c r="R189" s="11"/>
      <c r="S189" s="11"/>
      <c r="T189" s="11"/>
      <c r="U189" s="11"/>
      <c r="V189" s="11"/>
      <c r="W189" s="11"/>
      <c r="X189" s="11"/>
      <c r="Y189" s="11"/>
      <c r="Z189" s="11"/>
    </row>
    <row r="190" spans="1:26" ht="14.25" customHeight="1">
      <c r="A190" s="11"/>
      <c r="B190" s="11"/>
      <c r="C190" s="11"/>
      <c r="D190" s="11"/>
      <c r="E190" s="11"/>
      <c r="F190" s="11"/>
      <c r="G190" s="11"/>
      <c r="H190" s="11"/>
      <c r="I190" s="46"/>
      <c r="J190" s="11"/>
      <c r="K190" s="11"/>
      <c r="L190" s="11"/>
      <c r="M190" s="11"/>
      <c r="N190" s="46"/>
      <c r="O190" s="11"/>
      <c r="P190" s="11"/>
      <c r="Q190" s="11"/>
      <c r="R190" s="11"/>
      <c r="S190" s="11"/>
      <c r="T190" s="11"/>
      <c r="U190" s="11"/>
      <c r="V190" s="11"/>
      <c r="W190" s="11"/>
      <c r="X190" s="11"/>
      <c r="Y190" s="11"/>
      <c r="Z190" s="11"/>
    </row>
    <row r="191" spans="1:26" ht="14.25" customHeight="1">
      <c r="A191" s="11"/>
      <c r="B191" s="11"/>
      <c r="C191" s="11"/>
      <c r="D191" s="11"/>
      <c r="E191" s="11"/>
      <c r="F191" s="11"/>
      <c r="G191" s="11"/>
      <c r="H191" s="11"/>
      <c r="I191" s="46"/>
      <c r="J191" s="11"/>
      <c r="K191" s="11"/>
      <c r="L191" s="11"/>
      <c r="M191" s="11"/>
      <c r="N191" s="46"/>
      <c r="O191" s="11"/>
      <c r="P191" s="11"/>
      <c r="Q191" s="11"/>
      <c r="R191" s="11"/>
      <c r="S191" s="11"/>
      <c r="T191" s="11"/>
      <c r="U191" s="11"/>
      <c r="V191" s="11"/>
      <c r="W191" s="11"/>
      <c r="X191" s="11"/>
      <c r="Y191" s="11"/>
      <c r="Z191" s="11"/>
    </row>
    <row r="192" spans="1:26" ht="14.25" customHeight="1">
      <c r="A192" s="11"/>
      <c r="B192" s="11"/>
      <c r="C192" s="11"/>
      <c r="D192" s="11"/>
      <c r="E192" s="11"/>
      <c r="F192" s="11"/>
      <c r="G192" s="11"/>
      <c r="H192" s="11"/>
      <c r="I192" s="46"/>
      <c r="J192" s="11"/>
      <c r="K192" s="11"/>
      <c r="L192" s="11"/>
      <c r="M192" s="11"/>
      <c r="N192" s="46"/>
      <c r="O192" s="11"/>
      <c r="P192" s="11"/>
      <c r="Q192" s="11"/>
      <c r="R192" s="11"/>
      <c r="S192" s="11"/>
      <c r="T192" s="11"/>
      <c r="U192" s="11"/>
      <c r="V192" s="11"/>
      <c r="W192" s="11"/>
      <c r="X192" s="11"/>
      <c r="Y192" s="11"/>
      <c r="Z192" s="11"/>
    </row>
    <row r="193" spans="1:26" ht="14.25" customHeight="1">
      <c r="A193" s="11"/>
      <c r="B193" s="11"/>
      <c r="C193" s="11"/>
      <c r="D193" s="11"/>
      <c r="E193" s="11"/>
      <c r="F193" s="11"/>
      <c r="G193" s="11"/>
      <c r="H193" s="11"/>
      <c r="I193" s="46"/>
      <c r="J193" s="11"/>
      <c r="K193" s="11"/>
      <c r="L193" s="11"/>
      <c r="M193" s="11"/>
      <c r="N193" s="46"/>
      <c r="O193" s="11"/>
      <c r="P193" s="11"/>
      <c r="Q193" s="11"/>
      <c r="R193" s="11"/>
      <c r="S193" s="11"/>
      <c r="T193" s="11"/>
      <c r="U193" s="11"/>
      <c r="V193" s="11"/>
      <c r="W193" s="11"/>
      <c r="X193" s="11"/>
      <c r="Y193" s="11"/>
      <c r="Z193" s="11"/>
    </row>
    <row r="194" spans="1:26" ht="14.25" customHeight="1">
      <c r="A194" s="11"/>
      <c r="B194" s="11"/>
      <c r="C194" s="11"/>
      <c r="D194" s="11"/>
      <c r="E194" s="11"/>
      <c r="F194" s="11"/>
      <c r="G194" s="11"/>
      <c r="H194" s="11"/>
      <c r="I194" s="46"/>
      <c r="J194" s="11"/>
      <c r="K194" s="11"/>
      <c r="L194" s="11"/>
      <c r="M194" s="11"/>
      <c r="N194" s="46"/>
      <c r="O194" s="11"/>
      <c r="P194" s="11"/>
      <c r="Q194" s="11"/>
      <c r="R194" s="11"/>
      <c r="S194" s="11"/>
      <c r="T194" s="11"/>
      <c r="U194" s="11"/>
      <c r="V194" s="11"/>
      <c r="W194" s="11"/>
      <c r="X194" s="11"/>
      <c r="Y194" s="11"/>
      <c r="Z194" s="11"/>
    </row>
    <row r="195" spans="1:26" ht="14.25" customHeight="1">
      <c r="A195" s="11"/>
      <c r="B195" s="11"/>
      <c r="C195" s="11"/>
      <c r="D195" s="11"/>
      <c r="E195" s="11"/>
      <c r="F195" s="11"/>
      <c r="G195" s="11"/>
      <c r="H195" s="11"/>
      <c r="I195" s="46"/>
      <c r="J195" s="11"/>
      <c r="K195" s="11"/>
      <c r="L195" s="11"/>
      <c r="M195" s="11"/>
      <c r="N195" s="46"/>
      <c r="O195" s="11"/>
      <c r="P195" s="11"/>
      <c r="Q195" s="11"/>
      <c r="R195" s="11"/>
      <c r="S195" s="11"/>
      <c r="T195" s="11"/>
      <c r="U195" s="11"/>
      <c r="V195" s="11"/>
      <c r="W195" s="11"/>
      <c r="X195" s="11"/>
      <c r="Y195" s="11"/>
      <c r="Z195" s="11"/>
    </row>
    <row r="196" spans="1:26" ht="14.25" customHeight="1">
      <c r="A196" s="11"/>
      <c r="B196" s="11"/>
      <c r="C196" s="11"/>
      <c r="D196" s="11"/>
      <c r="E196" s="11"/>
      <c r="F196" s="11"/>
      <c r="G196" s="11"/>
      <c r="H196" s="11"/>
      <c r="I196" s="46"/>
      <c r="J196" s="11"/>
      <c r="K196" s="11"/>
      <c r="L196" s="11"/>
      <c r="M196" s="11"/>
      <c r="N196" s="46"/>
      <c r="O196" s="11"/>
      <c r="P196" s="11"/>
      <c r="Q196" s="11"/>
      <c r="R196" s="11"/>
      <c r="S196" s="11"/>
      <c r="T196" s="11"/>
      <c r="U196" s="11"/>
      <c r="V196" s="11"/>
      <c r="W196" s="11"/>
      <c r="X196" s="11"/>
      <c r="Y196" s="11"/>
      <c r="Z196" s="11"/>
    </row>
    <row r="197" spans="1:26" ht="14.25" customHeight="1">
      <c r="A197" s="11"/>
      <c r="B197" s="11"/>
      <c r="C197" s="11"/>
      <c r="D197" s="11"/>
      <c r="E197" s="11"/>
      <c r="F197" s="11"/>
      <c r="G197" s="11"/>
      <c r="H197" s="11"/>
      <c r="I197" s="46"/>
      <c r="J197" s="11"/>
      <c r="K197" s="11"/>
      <c r="L197" s="11"/>
      <c r="M197" s="11"/>
      <c r="N197" s="46"/>
      <c r="O197" s="11"/>
      <c r="P197" s="11"/>
      <c r="Q197" s="11"/>
      <c r="R197" s="11"/>
      <c r="S197" s="11"/>
      <c r="T197" s="11"/>
      <c r="U197" s="11"/>
      <c r="V197" s="11"/>
      <c r="W197" s="11"/>
      <c r="X197" s="11"/>
      <c r="Y197" s="11"/>
      <c r="Z197" s="11"/>
    </row>
    <row r="198" spans="1:26" ht="14.25" customHeight="1">
      <c r="A198" s="11"/>
      <c r="B198" s="11"/>
      <c r="C198" s="11"/>
      <c r="D198" s="11"/>
      <c r="E198" s="11"/>
      <c r="F198" s="11"/>
      <c r="G198" s="11"/>
      <c r="H198" s="11"/>
      <c r="I198" s="46"/>
      <c r="J198" s="11"/>
      <c r="K198" s="11"/>
      <c r="L198" s="11"/>
      <c r="M198" s="11"/>
      <c r="N198" s="46"/>
      <c r="O198" s="11"/>
      <c r="P198" s="11"/>
      <c r="Q198" s="11"/>
      <c r="R198" s="11"/>
      <c r="S198" s="11"/>
      <c r="T198" s="11"/>
      <c r="U198" s="11"/>
      <c r="V198" s="11"/>
      <c r="W198" s="11"/>
      <c r="X198" s="11"/>
      <c r="Y198" s="11"/>
      <c r="Z198" s="11"/>
    </row>
    <row r="199" spans="1:26" ht="14.25" customHeight="1">
      <c r="A199" s="11"/>
      <c r="B199" s="11"/>
      <c r="C199" s="11"/>
      <c r="D199" s="11"/>
      <c r="E199" s="11"/>
      <c r="F199" s="11"/>
      <c r="G199" s="11"/>
      <c r="H199" s="11"/>
      <c r="I199" s="46"/>
      <c r="J199" s="11"/>
      <c r="K199" s="11"/>
      <c r="L199" s="11"/>
      <c r="M199" s="11"/>
      <c r="N199" s="46"/>
      <c r="O199" s="11"/>
      <c r="P199" s="11"/>
      <c r="Q199" s="11"/>
      <c r="R199" s="11"/>
      <c r="S199" s="11"/>
      <c r="T199" s="11"/>
      <c r="U199" s="11"/>
      <c r="V199" s="11"/>
      <c r="W199" s="11"/>
      <c r="X199" s="11"/>
      <c r="Y199" s="11"/>
      <c r="Z199" s="11"/>
    </row>
    <row r="200" spans="1:26" ht="14.25" customHeight="1">
      <c r="A200" s="11"/>
      <c r="B200" s="11"/>
      <c r="C200" s="11"/>
      <c r="D200" s="11"/>
      <c r="E200" s="11"/>
      <c r="F200" s="11"/>
      <c r="G200" s="11"/>
      <c r="H200" s="11"/>
      <c r="I200" s="46"/>
      <c r="J200" s="11"/>
      <c r="K200" s="11"/>
      <c r="L200" s="11"/>
      <c r="M200" s="11"/>
      <c r="N200" s="46"/>
      <c r="O200" s="11"/>
      <c r="P200" s="11"/>
      <c r="Q200" s="11"/>
      <c r="R200" s="11"/>
      <c r="S200" s="11"/>
      <c r="T200" s="11"/>
      <c r="U200" s="11"/>
      <c r="V200" s="11"/>
      <c r="W200" s="11"/>
      <c r="X200" s="11"/>
      <c r="Y200" s="11"/>
      <c r="Z200" s="11"/>
    </row>
    <row r="201" spans="1:26" ht="14.25" customHeight="1">
      <c r="A201" s="11"/>
      <c r="B201" s="11"/>
      <c r="C201" s="11"/>
      <c r="D201" s="11"/>
      <c r="E201" s="11"/>
      <c r="F201" s="11"/>
      <c r="G201" s="11"/>
      <c r="H201" s="11"/>
      <c r="I201" s="46"/>
      <c r="J201" s="11"/>
      <c r="K201" s="11"/>
      <c r="L201" s="11"/>
      <c r="M201" s="11"/>
      <c r="N201" s="46"/>
      <c r="O201" s="11"/>
      <c r="P201" s="11"/>
      <c r="Q201" s="11"/>
      <c r="R201" s="11"/>
      <c r="S201" s="11"/>
      <c r="T201" s="11"/>
      <c r="U201" s="11"/>
      <c r="V201" s="11"/>
      <c r="W201" s="11"/>
      <c r="X201" s="11"/>
      <c r="Y201" s="11"/>
      <c r="Z201" s="11"/>
    </row>
    <row r="202" spans="1:26" ht="14.25" customHeight="1">
      <c r="A202" s="11"/>
      <c r="B202" s="11"/>
      <c r="C202" s="11"/>
      <c r="D202" s="11"/>
      <c r="E202" s="11"/>
      <c r="F202" s="11"/>
      <c r="G202" s="11"/>
      <c r="H202" s="11"/>
      <c r="I202" s="46"/>
      <c r="J202" s="11"/>
      <c r="K202" s="11"/>
      <c r="L202" s="11"/>
      <c r="M202" s="11"/>
      <c r="N202" s="46"/>
      <c r="O202" s="11"/>
      <c r="P202" s="11"/>
      <c r="Q202" s="11"/>
      <c r="R202" s="11"/>
      <c r="S202" s="11"/>
      <c r="T202" s="11"/>
      <c r="U202" s="11"/>
      <c r="V202" s="11"/>
      <c r="W202" s="11"/>
      <c r="X202" s="11"/>
      <c r="Y202" s="11"/>
      <c r="Z202" s="11"/>
    </row>
    <row r="203" spans="1:26" ht="14.25" customHeight="1">
      <c r="A203" s="11"/>
      <c r="B203" s="11"/>
      <c r="C203" s="11"/>
      <c r="D203" s="11"/>
      <c r="E203" s="11"/>
      <c r="F203" s="11"/>
      <c r="G203" s="11"/>
      <c r="H203" s="11"/>
      <c r="I203" s="46"/>
      <c r="J203" s="11"/>
      <c r="K203" s="11"/>
      <c r="L203" s="11"/>
      <c r="M203" s="11"/>
      <c r="N203" s="46"/>
      <c r="O203" s="11"/>
      <c r="P203" s="11"/>
      <c r="Q203" s="11"/>
      <c r="R203" s="11"/>
      <c r="S203" s="11"/>
      <c r="T203" s="11"/>
      <c r="U203" s="11"/>
      <c r="V203" s="11"/>
      <c r="W203" s="11"/>
      <c r="X203" s="11"/>
      <c r="Y203" s="11"/>
      <c r="Z203" s="11"/>
    </row>
    <row r="204" spans="1:26" ht="14.25" customHeight="1">
      <c r="A204" s="11"/>
      <c r="B204" s="11"/>
      <c r="C204" s="11"/>
      <c r="D204" s="11"/>
      <c r="E204" s="11"/>
      <c r="F204" s="11"/>
      <c r="G204" s="11"/>
      <c r="H204" s="11"/>
      <c r="I204" s="46"/>
      <c r="J204" s="11"/>
      <c r="K204" s="11"/>
      <c r="L204" s="11"/>
      <c r="M204" s="11"/>
      <c r="N204" s="46"/>
      <c r="O204" s="11"/>
      <c r="P204" s="11"/>
      <c r="Q204" s="11"/>
      <c r="R204" s="11"/>
      <c r="S204" s="11"/>
      <c r="T204" s="11"/>
      <c r="U204" s="11"/>
      <c r="V204" s="11"/>
      <c r="W204" s="11"/>
      <c r="X204" s="11"/>
      <c r="Y204" s="11"/>
      <c r="Z204" s="11"/>
    </row>
    <row r="205" spans="1:26" ht="14.25" customHeight="1">
      <c r="A205" s="11"/>
      <c r="B205" s="11"/>
      <c r="C205" s="11"/>
      <c r="D205" s="11"/>
      <c r="E205" s="11"/>
      <c r="F205" s="11"/>
      <c r="G205" s="11"/>
      <c r="H205" s="11"/>
      <c r="I205" s="46"/>
      <c r="J205" s="11"/>
      <c r="K205" s="11"/>
      <c r="L205" s="11"/>
      <c r="M205" s="11"/>
      <c r="N205" s="46"/>
      <c r="O205" s="11"/>
      <c r="P205" s="11"/>
      <c r="Q205" s="11"/>
      <c r="R205" s="11"/>
      <c r="S205" s="11"/>
      <c r="T205" s="11"/>
      <c r="U205" s="11"/>
      <c r="V205" s="11"/>
      <c r="W205" s="11"/>
      <c r="X205" s="11"/>
      <c r="Y205" s="11"/>
      <c r="Z205" s="11"/>
    </row>
    <row r="206" spans="1:26" ht="14.25" customHeight="1">
      <c r="A206" s="11"/>
      <c r="B206" s="11"/>
      <c r="C206" s="11"/>
      <c r="D206" s="11"/>
      <c r="E206" s="11"/>
      <c r="F206" s="11"/>
      <c r="G206" s="11"/>
      <c r="H206" s="11"/>
      <c r="I206" s="46"/>
      <c r="J206" s="11"/>
      <c r="K206" s="11"/>
      <c r="L206" s="11"/>
      <c r="M206" s="11"/>
      <c r="N206" s="46"/>
      <c r="O206" s="11"/>
      <c r="P206" s="11"/>
      <c r="Q206" s="11"/>
      <c r="R206" s="11"/>
      <c r="S206" s="11"/>
      <c r="T206" s="11"/>
      <c r="U206" s="11"/>
      <c r="V206" s="11"/>
      <c r="W206" s="11"/>
      <c r="X206" s="11"/>
      <c r="Y206" s="11"/>
      <c r="Z206" s="11"/>
    </row>
    <row r="207" spans="1:26" ht="14.25" customHeight="1">
      <c r="A207" s="11"/>
      <c r="B207" s="11"/>
      <c r="C207" s="11"/>
      <c r="D207" s="11"/>
      <c r="E207" s="11"/>
      <c r="F207" s="11"/>
      <c r="G207" s="11"/>
      <c r="H207" s="11"/>
      <c r="I207" s="46"/>
      <c r="J207" s="11"/>
      <c r="K207" s="11"/>
      <c r="L207" s="11"/>
      <c r="M207" s="11"/>
      <c r="N207" s="46"/>
      <c r="O207" s="11"/>
      <c r="P207" s="11"/>
      <c r="Q207" s="11"/>
      <c r="R207" s="11"/>
      <c r="S207" s="11"/>
      <c r="T207" s="11"/>
      <c r="U207" s="11"/>
      <c r="V207" s="11"/>
      <c r="W207" s="11"/>
      <c r="X207" s="11"/>
      <c r="Y207" s="11"/>
      <c r="Z207" s="11"/>
    </row>
    <row r="208" spans="1:26" ht="14.25" customHeight="1">
      <c r="A208" s="11"/>
      <c r="B208" s="11"/>
      <c r="C208" s="11"/>
      <c r="D208" s="11"/>
      <c r="E208" s="11"/>
      <c r="F208" s="11"/>
      <c r="G208" s="11"/>
      <c r="H208" s="11"/>
      <c r="I208" s="46"/>
      <c r="J208" s="11"/>
      <c r="K208" s="11"/>
      <c r="L208" s="11"/>
      <c r="M208" s="11"/>
      <c r="N208" s="46"/>
      <c r="O208" s="11"/>
      <c r="P208" s="11"/>
      <c r="Q208" s="11"/>
      <c r="R208" s="11"/>
      <c r="S208" s="11"/>
      <c r="T208" s="11"/>
      <c r="U208" s="11"/>
      <c r="V208" s="11"/>
      <c r="W208" s="11"/>
      <c r="X208" s="11"/>
      <c r="Y208" s="11"/>
      <c r="Z208" s="11"/>
    </row>
    <row r="209" spans="1:26" ht="14.25" customHeight="1">
      <c r="A209" s="11"/>
      <c r="B209" s="11"/>
      <c r="C209" s="11"/>
      <c r="D209" s="11"/>
      <c r="E209" s="11"/>
      <c r="F209" s="11"/>
      <c r="G209" s="11"/>
      <c r="H209" s="11"/>
      <c r="I209" s="46"/>
      <c r="J209" s="11"/>
      <c r="K209" s="11"/>
      <c r="L209" s="11"/>
      <c r="M209" s="11"/>
      <c r="N209" s="46"/>
      <c r="O209" s="11"/>
      <c r="P209" s="11"/>
      <c r="Q209" s="11"/>
      <c r="R209" s="11"/>
      <c r="S209" s="11"/>
      <c r="T209" s="11"/>
      <c r="U209" s="11"/>
      <c r="V209" s="11"/>
      <c r="W209" s="11"/>
      <c r="X209" s="11"/>
      <c r="Y209" s="11"/>
      <c r="Z209" s="11"/>
    </row>
    <row r="210" spans="1:26" ht="14.25" customHeight="1">
      <c r="A210" s="11"/>
      <c r="B210" s="11"/>
      <c r="C210" s="11"/>
      <c r="D210" s="11"/>
      <c r="E210" s="11"/>
      <c r="F210" s="11"/>
      <c r="G210" s="11"/>
      <c r="H210" s="11"/>
      <c r="I210" s="46"/>
      <c r="J210" s="11"/>
      <c r="K210" s="11"/>
      <c r="L210" s="11"/>
      <c r="M210" s="11"/>
      <c r="N210" s="46"/>
      <c r="O210" s="11"/>
      <c r="P210" s="11"/>
      <c r="Q210" s="11"/>
      <c r="R210" s="11"/>
      <c r="S210" s="11"/>
      <c r="T210" s="11"/>
      <c r="U210" s="11"/>
      <c r="V210" s="11"/>
      <c r="W210" s="11"/>
      <c r="X210" s="11"/>
      <c r="Y210" s="11"/>
      <c r="Z210" s="11"/>
    </row>
    <row r="211" spans="1:26" ht="14.25" customHeight="1">
      <c r="A211" s="11"/>
      <c r="B211" s="11"/>
      <c r="C211" s="11"/>
      <c r="D211" s="11"/>
      <c r="E211" s="11"/>
      <c r="F211" s="11"/>
      <c r="G211" s="11"/>
      <c r="H211" s="11"/>
      <c r="I211" s="46"/>
      <c r="J211" s="11"/>
      <c r="K211" s="11"/>
      <c r="L211" s="11"/>
      <c r="M211" s="11"/>
      <c r="N211" s="46"/>
      <c r="O211" s="11"/>
      <c r="P211" s="11"/>
      <c r="Q211" s="11"/>
      <c r="R211" s="11"/>
      <c r="S211" s="11"/>
      <c r="T211" s="11"/>
      <c r="U211" s="11"/>
      <c r="V211" s="11"/>
      <c r="W211" s="11"/>
      <c r="X211" s="11"/>
      <c r="Y211" s="11"/>
      <c r="Z211" s="11"/>
    </row>
    <row r="212" spans="1:26" ht="14.25" customHeight="1">
      <c r="A212" s="11"/>
      <c r="B212" s="11"/>
      <c r="C212" s="11"/>
      <c r="D212" s="11"/>
      <c r="E212" s="11"/>
      <c r="F212" s="11"/>
      <c r="G212" s="11"/>
      <c r="H212" s="11"/>
      <c r="I212" s="46"/>
      <c r="J212" s="11"/>
      <c r="K212" s="11"/>
      <c r="L212" s="11"/>
      <c r="M212" s="11"/>
      <c r="N212" s="46"/>
      <c r="O212" s="11"/>
      <c r="P212" s="11"/>
      <c r="Q212" s="11"/>
      <c r="R212" s="11"/>
      <c r="S212" s="11"/>
      <c r="T212" s="11"/>
      <c r="U212" s="11"/>
      <c r="V212" s="11"/>
      <c r="W212" s="11"/>
      <c r="X212" s="11"/>
      <c r="Y212" s="11"/>
      <c r="Z212" s="11"/>
    </row>
    <row r="213" spans="1:26" ht="14.25" customHeight="1">
      <c r="A213" s="11"/>
      <c r="B213" s="11"/>
      <c r="C213" s="11"/>
      <c r="D213" s="11"/>
      <c r="E213" s="11"/>
      <c r="F213" s="11"/>
      <c r="G213" s="11"/>
      <c r="H213" s="11"/>
      <c r="I213" s="46"/>
      <c r="J213" s="11"/>
      <c r="K213" s="11"/>
      <c r="L213" s="11"/>
      <c r="M213" s="11"/>
      <c r="N213" s="46"/>
      <c r="O213" s="11"/>
      <c r="P213" s="11"/>
      <c r="Q213" s="11"/>
      <c r="R213" s="11"/>
      <c r="S213" s="11"/>
      <c r="T213" s="11"/>
      <c r="U213" s="11"/>
      <c r="V213" s="11"/>
      <c r="W213" s="11"/>
      <c r="X213" s="11"/>
      <c r="Y213" s="11"/>
      <c r="Z213" s="11"/>
    </row>
    <row r="214" spans="1:26" ht="14.25" customHeight="1">
      <c r="A214" s="11"/>
      <c r="B214" s="11"/>
      <c r="C214" s="11"/>
      <c r="D214" s="11"/>
      <c r="E214" s="11"/>
      <c r="F214" s="11"/>
      <c r="G214" s="11"/>
      <c r="H214" s="11"/>
      <c r="I214" s="46"/>
      <c r="J214" s="11"/>
      <c r="K214" s="11"/>
      <c r="L214" s="11"/>
      <c r="M214" s="11"/>
      <c r="N214" s="46"/>
      <c r="O214" s="11"/>
      <c r="P214" s="11"/>
      <c r="Q214" s="11"/>
      <c r="R214" s="11"/>
      <c r="S214" s="11"/>
      <c r="T214" s="11"/>
      <c r="U214" s="11"/>
      <c r="V214" s="11"/>
      <c r="W214" s="11"/>
      <c r="X214" s="11"/>
      <c r="Y214" s="11"/>
      <c r="Z214" s="11"/>
    </row>
    <row r="215" spans="1:26" ht="14.25" customHeight="1">
      <c r="A215" s="11"/>
      <c r="B215" s="11"/>
      <c r="C215" s="11"/>
      <c r="D215" s="11"/>
      <c r="E215" s="11"/>
      <c r="F215" s="11"/>
      <c r="G215" s="11"/>
      <c r="H215" s="11"/>
      <c r="I215" s="46"/>
      <c r="J215" s="11"/>
      <c r="K215" s="11"/>
      <c r="L215" s="11"/>
      <c r="M215" s="11"/>
      <c r="N215" s="46"/>
      <c r="O215" s="11"/>
      <c r="P215" s="11"/>
      <c r="Q215" s="11"/>
      <c r="R215" s="11"/>
      <c r="S215" s="11"/>
      <c r="T215" s="11"/>
      <c r="U215" s="11"/>
      <c r="V215" s="11"/>
      <c r="W215" s="11"/>
      <c r="X215" s="11"/>
      <c r="Y215" s="11"/>
      <c r="Z215" s="11"/>
    </row>
    <row r="216" spans="1:26" ht="14.25" customHeight="1">
      <c r="A216" s="11"/>
      <c r="B216" s="11"/>
      <c r="C216" s="11"/>
      <c r="D216" s="11"/>
      <c r="E216" s="11"/>
      <c r="F216" s="11"/>
      <c r="G216" s="11"/>
      <c r="H216" s="11"/>
      <c r="I216" s="46"/>
      <c r="J216" s="11"/>
      <c r="K216" s="11"/>
      <c r="L216" s="11"/>
      <c r="M216" s="11"/>
      <c r="N216" s="46"/>
      <c r="O216" s="11"/>
      <c r="P216" s="11"/>
      <c r="Q216" s="11"/>
      <c r="R216" s="11"/>
      <c r="S216" s="11"/>
      <c r="T216" s="11"/>
      <c r="U216" s="11"/>
      <c r="V216" s="11"/>
      <c r="W216" s="11"/>
      <c r="X216" s="11"/>
      <c r="Y216" s="11"/>
      <c r="Z216" s="11"/>
    </row>
    <row r="217" spans="1:26" ht="14.25" customHeight="1">
      <c r="A217" s="11"/>
      <c r="B217" s="11"/>
      <c r="C217" s="11"/>
      <c r="D217" s="11"/>
      <c r="E217" s="11"/>
      <c r="F217" s="11"/>
      <c r="G217" s="11"/>
      <c r="H217" s="11"/>
      <c r="I217" s="46"/>
      <c r="J217" s="11"/>
      <c r="K217" s="11"/>
      <c r="L217" s="11"/>
      <c r="M217" s="11"/>
      <c r="N217" s="46"/>
      <c r="O217" s="11"/>
      <c r="P217" s="11"/>
      <c r="Q217" s="11"/>
      <c r="R217" s="11"/>
      <c r="S217" s="11"/>
      <c r="T217" s="11"/>
      <c r="U217" s="11"/>
      <c r="V217" s="11"/>
      <c r="W217" s="11"/>
      <c r="X217" s="11"/>
      <c r="Y217" s="11"/>
      <c r="Z217" s="11"/>
    </row>
    <row r="218" spans="1:26" ht="14.25" customHeight="1">
      <c r="A218" s="11"/>
      <c r="B218" s="11"/>
      <c r="C218" s="11"/>
      <c r="D218" s="11"/>
      <c r="E218" s="11"/>
      <c r="F218" s="11"/>
      <c r="G218" s="11"/>
      <c r="H218" s="11"/>
      <c r="I218" s="46"/>
      <c r="J218" s="11"/>
      <c r="K218" s="11"/>
      <c r="L218" s="11"/>
      <c r="M218" s="11"/>
      <c r="N218" s="46"/>
      <c r="O218" s="11"/>
      <c r="P218" s="11"/>
      <c r="Q218" s="11"/>
      <c r="R218" s="11"/>
      <c r="S218" s="11"/>
      <c r="T218" s="11"/>
      <c r="U218" s="11"/>
      <c r="V218" s="11"/>
      <c r="W218" s="11"/>
      <c r="X218" s="11"/>
      <c r="Y218" s="11"/>
      <c r="Z218" s="11"/>
    </row>
    <row r="219" spans="1:26" ht="14.25" customHeight="1">
      <c r="A219" s="11"/>
      <c r="B219" s="11"/>
      <c r="C219" s="11"/>
      <c r="D219" s="11"/>
      <c r="E219" s="11"/>
      <c r="F219" s="11"/>
      <c r="G219" s="11"/>
      <c r="H219" s="11"/>
      <c r="I219" s="46"/>
      <c r="J219" s="11"/>
      <c r="K219" s="11"/>
      <c r="L219" s="11"/>
      <c r="M219" s="11"/>
      <c r="N219" s="46"/>
      <c r="O219" s="11"/>
      <c r="P219" s="11"/>
      <c r="Q219" s="11"/>
      <c r="R219" s="11"/>
      <c r="S219" s="11"/>
      <c r="T219" s="11"/>
      <c r="U219" s="11"/>
      <c r="V219" s="11"/>
      <c r="W219" s="11"/>
      <c r="X219" s="11"/>
      <c r="Y219" s="11"/>
      <c r="Z219" s="11"/>
    </row>
    <row r="220" spans="1:26" ht="14.25" customHeight="1">
      <c r="A220" s="11"/>
      <c r="B220" s="11"/>
      <c r="C220" s="11"/>
      <c r="D220" s="11"/>
      <c r="E220" s="11"/>
      <c r="F220" s="11"/>
      <c r="G220" s="11"/>
      <c r="H220" s="11"/>
      <c r="I220" s="46"/>
      <c r="J220" s="11"/>
      <c r="K220" s="11"/>
      <c r="L220" s="11"/>
      <c r="M220" s="11"/>
      <c r="N220" s="46"/>
      <c r="O220" s="11"/>
      <c r="P220" s="11"/>
      <c r="Q220" s="11"/>
      <c r="R220" s="11"/>
      <c r="S220" s="11"/>
      <c r="T220" s="11"/>
      <c r="U220" s="11"/>
      <c r="V220" s="11"/>
      <c r="W220" s="11"/>
      <c r="X220" s="11"/>
      <c r="Y220" s="11"/>
      <c r="Z220" s="11"/>
    </row>
    <row r="221" spans="1:26" ht="14.25" customHeight="1">
      <c r="A221" s="11"/>
      <c r="B221" s="11"/>
      <c r="C221" s="11"/>
      <c r="D221" s="11"/>
      <c r="E221" s="11"/>
      <c r="F221" s="11"/>
      <c r="G221" s="11"/>
      <c r="H221" s="11"/>
      <c r="I221" s="46"/>
      <c r="J221" s="11"/>
      <c r="K221" s="11"/>
      <c r="L221" s="11"/>
      <c r="M221" s="11"/>
      <c r="N221" s="46"/>
      <c r="O221" s="11"/>
      <c r="P221" s="11"/>
      <c r="Q221" s="11"/>
      <c r="R221" s="11"/>
      <c r="S221" s="11"/>
      <c r="T221" s="11"/>
      <c r="U221" s="11"/>
      <c r="V221" s="11"/>
      <c r="W221" s="11"/>
      <c r="X221" s="11"/>
      <c r="Y221" s="11"/>
      <c r="Z221" s="11"/>
    </row>
    <row r="222" spans="1:26" ht="14.25" customHeight="1">
      <c r="A222" s="11"/>
      <c r="B222" s="11"/>
      <c r="C222" s="11"/>
      <c r="D222" s="11"/>
      <c r="E222" s="11"/>
      <c r="F222" s="11"/>
      <c r="G222" s="11"/>
      <c r="H222" s="11"/>
      <c r="I222" s="46"/>
      <c r="J222" s="11"/>
      <c r="K222" s="11"/>
      <c r="L222" s="11"/>
      <c r="M222" s="11"/>
      <c r="N222" s="46"/>
      <c r="O222" s="11"/>
      <c r="P222" s="11"/>
      <c r="Q222" s="11"/>
      <c r="R222" s="11"/>
      <c r="S222" s="11"/>
      <c r="T222" s="11"/>
      <c r="U222" s="11"/>
      <c r="V222" s="11"/>
      <c r="W222" s="11"/>
      <c r="X222" s="11"/>
      <c r="Y222" s="11"/>
      <c r="Z222" s="11"/>
    </row>
    <row r="223" spans="1:26" ht="14.25" customHeight="1">
      <c r="A223" s="11"/>
      <c r="B223" s="11"/>
      <c r="C223" s="11"/>
      <c r="D223" s="11"/>
      <c r="E223" s="11"/>
      <c r="F223" s="11"/>
      <c r="G223" s="11"/>
      <c r="H223" s="11"/>
      <c r="I223" s="46"/>
      <c r="J223" s="11"/>
      <c r="K223" s="11"/>
      <c r="L223" s="11"/>
      <c r="M223" s="11"/>
      <c r="N223" s="46"/>
      <c r="O223" s="11"/>
      <c r="P223" s="11"/>
      <c r="Q223" s="11"/>
      <c r="R223" s="11"/>
      <c r="S223" s="11"/>
      <c r="T223" s="11"/>
      <c r="U223" s="11"/>
      <c r="V223" s="11"/>
      <c r="W223" s="11"/>
      <c r="X223" s="11"/>
      <c r="Y223" s="11"/>
      <c r="Z223" s="11"/>
    </row>
    <row r="224" spans="1:26" ht="14.25" customHeight="1">
      <c r="A224" s="11"/>
      <c r="B224" s="11"/>
      <c r="C224" s="11"/>
      <c r="D224" s="11"/>
      <c r="E224" s="11"/>
      <c r="F224" s="11"/>
      <c r="G224" s="11"/>
      <c r="H224" s="11"/>
      <c r="I224" s="46"/>
      <c r="J224" s="11"/>
      <c r="K224" s="11"/>
      <c r="L224" s="11"/>
      <c r="M224" s="11"/>
      <c r="N224" s="46"/>
      <c r="O224" s="11"/>
      <c r="P224" s="11"/>
      <c r="Q224" s="11"/>
      <c r="R224" s="11"/>
      <c r="S224" s="11"/>
      <c r="T224" s="11"/>
      <c r="U224" s="11"/>
      <c r="V224" s="11"/>
      <c r="W224" s="11"/>
      <c r="X224" s="11"/>
      <c r="Y224" s="11"/>
      <c r="Z224" s="11"/>
    </row>
    <row r="225" spans="1:26" ht="14.25" customHeight="1">
      <c r="A225" s="11"/>
      <c r="B225" s="11"/>
      <c r="C225" s="11"/>
      <c r="D225" s="11"/>
      <c r="E225" s="11"/>
      <c r="F225" s="11"/>
      <c r="G225" s="11"/>
      <c r="H225" s="11"/>
      <c r="I225" s="46"/>
      <c r="J225" s="11"/>
      <c r="K225" s="11"/>
      <c r="L225" s="11"/>
      <c r="M225" s="11"/>
      <c r="N225" s="46"/>
      <c r="O225" s="11"/>
      <c r="P225" s="11"/>
      <c r="Q225" s="11"/>
      <c r="R225" s="11"/>
      <c r="S225" s="11"/>
      <c r="T225" s="11"/>
      <c r="U225" s="11"/>
      <c r="V225" s="11"/>
      <c r="W225" s="11"/>
      <c r="X225" s="11"/>
      <c r="Y225" s="11"/>
      <c r="Z225" s="11"/>
    </row>
    <row r="226" spans="1:26" ht="14.25" customHeight="1">
      <c r="A226" s="11"/>
      <c r="B226" s="11"/>
      <c r="C226" s="11"/>
      <c r="D226" s="11"/>
      <c r="E226" s="11"/>
      <c r="F226" s="11"/>
      <c r="G226" s="11"/>
      <c r="H226" s="11"/>
      <c r="I226" s="46"/>
      <c r="J226" s="11"/>
      <c r="K226" s="11"/>
      <c r="L226" s="11"/>
      <c r="M226" s="11"/>
      <c r="N226" s="46"/>
      <c r="O226" s="11"/>
      <c r="P226" s="11"/>
      <c r="Q226" s="11"/>
      <c r="R226" s="11"/>
      <c r="S226" s="11"/>
      <c r="T226" s="11"/>
      <c r="U226" s="11"/>
      <c r="V226" s="11"/>
      <c r="W226" s="11"/>
      <c r="X226" s="11"/>
      <c r="Y226" s="11"/>
      <c r="Z226" s="11"/>
    </row>
    <row r="227" spans="1:26" ht="14.25" customHeight="1">
      <c r="A227" s="11"/>
      <c r="B227" s="11"/>
      <c r="C227" s="11"/>
      <c r="D227" s="11"/>
      <c r="E227" s="11"/>
      <c r="F227" s="11"/>
      <c r="G227" s="11"/>
      <c r="H227" s="11"/>
      <c r="I227" s="46"/>
      <c r="J227" s="11"/>
      <c r="K227" s="11"/>
      <c r="L227" s="11"/>
      <c r="M227" s="11"/>
      <c r="N227" s="46"/>
      <c r="O227" s="11"/>
      <c r="P227" s="11"/>
      <c r="Q227" s="11"/>
      <c r="R227" s="11"/>
      <c r="S227" s="11"/>
      <c r="T227" s="11"/>
      <c r="U227" s="11"/>
      <c r="V227" s="11"/>
      <c r="W227" s="11"/>
      <c r="X227" s="11"/>
      <c r="Y227" s="11"/>
      <c r="Z227" s="11"/>
    </row>
    <row r="228" spans="1:26" ht="14.25" customHeight="1">
      <c r="A228" s="11"/>
      <c r="B228" s="11"/>
      <c r="C228" s="11"/>
      <c r="D228" s="11"/>
      <c r="E228" s="11"/>
      <c r="F228" s="11"/>
      <c r="G228" s="11"/>
      <c r="H228" s="11"/>
      <c r="I228" s="46"/>
      <c r="J228" s="11"/>
      <c r="K228" s="11"/>
      <c r="L228" s="11"/>
      <c r="M228" s="11"/>
      <c r="N228" s="46"/>
      <c r="O228" s="11"/>
      <c r="P228" s="11"/>
      <c r="Q228" s="11"/>
      <c r="R228" s="11"/>
      <c r="S228" s="11"/>
      <c r="T228" s="11"/>
      <c r="U228" s="11"/>
      <c r="V228" s="11"/>
      <c r="W228" s="11"/>
      <c r="X228" s="11"/>
      <c r="Y228" s="11"/>
      <c r="Z228" s="11"/>
    </row>
    <row r="229" spans="1:26" ht="14.25" customHeight="1">
      <c r="A229" s="11"/>
      <c r="B229" s="11"/>
      <c r="C229" s="11"/>
      <c r="D229" s="11"/>
      <c r="E229" s="11"/>
      <c r="F229" s="11"/>
      <c r="G229" s="11"/>
      <c r="H229" s="11"/>
      <c r="I229" s="46"/>
      <c r="J229" s="11"/>
      <c r="K229" s="11"/>
      <c r="L229" s="11"/>
      <c r="M229" s="11"/>
      <c r="N229" s="46"/>
      <c r="O229" s="11"/>
      <c r="P229" s="11"/>
      <c r="Q229" s="11"/>
      <c r="R229" s="11"/>
      <c r="S229" s="11"/>
      <c r="T229" s="11"/>
      <c r="U229" s="11"/>
      <c r="V229" s="11"/>
      <c r="W229" s="11"/>
      <c r="X229" s="11"/>
      <c r="Y229" s="11"/>
      <c r="Z229" s="11"/>
    </row>
    <row r="230" spans="1:26" ht="14.25" customHeight="1">
      <c r="A230" s="11"/>
      <c r="B230" s="11"/>
      <c r="C230" s="11"/>
      <c r="D230" s="11"/>
      <c r="E230" s="11"/>
      <c r="F230" s="11"/>
      <c r="G230" s="11"/>
      <c r="H230" s="11"/>
      <c r="I230" s="46"/>
      <c r="J230" s="11"/>
      <c r="K230" s="11"/>
      <c r="L230" s="11"/>
      <c r="M230" s="11"/>
      <c r="N230" s="46"/>
      <c r="O230" s="11"/>
      <c r="P230" s="11"/>
      <c r="Q230" s="11"/>
      <c r="R230" s="11"/>
      <c r="S230" s="11"/>
      <c r="T230" s="11"/>
      <c r="U230" s="11"/>
      <c r="V230" s="11"/>
      <c r="W230" s="11"/>
      <c r="X230" s="11"/>
      <c r="Y230" s="11"/>
      <c r="Z230" s="11"/>
    </row>
    <row r="231" spans="1:26" ht="14.25" customHeight="1">
      <c r="A231" s="11"/>
      <c r="B231" s="11"/>
      <c r="C231" s="11"/>
      <c r="D231" s="11"/>
      <c r="E231" s="11"/>
      <c r="F231" s="11"/>
      <c r="G231" s="11"/>
      <c r="H231" s="11"/>
      <c r="I231" s="46"/>
      <c r="J231" s="11"/>
      <c r="K231" s="11"/>
      <c r="L231" s="11"/>
      <c r="M231" s="11"/>
      <c r="N231" s="46"/>
      <c r="O231" s="11"/>
      <c r="P231" s="11"/>
      <c r="Q231" s="11"/>
      <c r="R231" s="11"/>
      <c r="S231" s="11"/>
      <c r="T231" s="11"/>
      <c r="U231" s="11"/>
      <c r="V231" s="11"/>
      <c r="W231" s="11"/>
      <c r="X231" s="11"/>
      <c r="Y231" s="11"/>
      <c r="Z231" s="11"/>
    </row>
    <row r="232" spans="1:26" ht="14.25" customHeight="1">
      <c r="A232" s="11"/>
      <c r="B232" s="11"/>
      <c r="C232" s="11"/>
      <c r="D232" s="11"/>
      <c r="E232" s="11"/>
      <c r="F232" s="11"/>
      <c r="G232" s="11"/>
      <c r="H232" s="11"/>
      <c r="I232" s="46"/>
      <c r="J232" s="11"/>
      <c r="K232" s="11"/>
      <c r="L232" s="11"/>
      <c r="M232" s="11"/>
      <c r="N232" s="46"/>
      <c r="O232" s="11"/>
      <c r="P232" s="11"/>
      <c r="Q232" s="11"/>
      <c r="R232" s="11"/>
      <c r="S232" s="11"/>
      <c r="T232" s="11"/>
      <c r="U232" s="11"/>
      <c r="V232" s="11"/>
      <c r="W232" s="11"/>
      <c r="X232" s="11"/>
      <c r="Y232" s="11"/>
      <c r="Z232" s="11"/>
    </row>
    <row r="233" spans="1:26" ht="14.25" customHeight="1">
      <c r="A233" s="11"/>
      <c r="B233" s="11"/>
      <c r="C233" s="11"/>
      <c r="D233" s="11"/>
      <c r="E233" s="11"/>
      <c r="F233" s="11"/>
      <c r="G233" s="11"/>
      <c r="H233" s="11"/>
      <c r="I233" s="46"/>
      <c r="J233" s="11"/>
      <c r="K233" s="11"/>
      <c r="L233" s="11"/>
      <c r="M233" s="11"/>
      <c r="N233" s="46"/>
      <c r="O233" s="11"/>
      <c r="P233" s="11"/>
      <c r="Q233" s="11"/>
      <c r="R233" s="11"/>
      <c r="S233" s="11"/>
      <c r="T233" s="11"/>
      <c r="U233" s="11"/>
      <c r="V233" s="11"/>
      <c r="W233" s="11"/>
      <c r="X233" s="11"/>
      <c r="Y233" s="11"/>
      <c r="Z233" s="11"/>
    </row>
    <row r="234" spans="1:26" ht="14.25" customHeight="1">
      <c r="A234" s="11"/>
      <c r="B234" s="11"/>
      <c r="C234" s="11"/>
      <c r="D234" s="11"/>
      <c r="E234" s="11"/>
      <c r="F234" s="11"/>
      <c r="G234" s="11"/>
      <c r="H234" s="11"/>
      <c r="I234" s="46"/>
      <c r="J234" s="11"/>
      <c r="K234" s="11"/>
      <c r="L234" s="11"/>
      <c r="M234" s="11"/>
      <c r="N234" s="46"/>
      <c r="O234" s="11"/>
      <c r="P234" s="11"/>
      <c r="Q234" s="11"/>
      <c r="R234" s="11"/>
      <c r="S234" s="11"/>
      <c r="T234" s="11"/>
      <c r="U234" s="11"/>
      <c r="V234" s="11"/>
      <c r="W234" s="11"/>
      <c r="X234" s="11"/>
      <c r="Y234" s="11"/>
      <c r="Z234" s="11"/>
    </row>
    <row r="235" spans="1:26" ht="14.25" customHeight="1">
      <c r="A235" s="11"/>
      <c r="B235" s="11"/>
      <c r="C235" s="11"/>
      <c r="D235" s="11"/>
      <c r="E235" s="11"/>
      <c r="F235" s="11"/>
      <c r="G235" s="11"/>
      <c r="H235" s="11"/>
      <c r="I235" s="46"/>
      <c r="J235" s="11"/>
      <c r="K235" s="11"/>
      <c r="L235" s="11"/>
      <c r="M235" s="11"/>
      <c r="N235" s="46"/>
      <c r="O235" s="11"/>
      <c r="P235" s="11"/>
      <c r="Q235" s="11"/>
      <c r="R235" s="11"/>
      <c r="S235" s="11"/>
      <c r="T235" s="11"/>
      <c r="U235" s="11"/>
      <c r="V235" s="11"/>
      <c r="W235" s="11"/>
      <c r="X235" s="11"/>
      <c r="Y235" s="11"/>
      <c r="Z235" s="11"/>
    </row>
    <row r="236" spans="1:26" ht="14.25" customHeight="1">
      <c r="A236" s="11"/>
      <c r="B236" s="11"/>
      <c r="C236" s="11"/>
      <c r="D236" s="11"/>
      <c r="E236" s="11"/>
      <c r="F236" s="11"/>
      <c r="G236" s="11"/>
      <c r="H236" s="11"/>
      <c r="I236" s="46"/>
      <c r="J236" s="11"/>
      <c r="K236" s="11"/>
      <c r="L236" s="11"/>
      <c r="M236" s="11"/>
      <c r="N236" s="46"/>
      <c r="O236" s="11"/>
      <c r="P236" s="11"/>
      <c r="Q236" s="11"/>
      <c r="R236" s="11"/>
      <c r="S236" s="11"/>
      <c r="T236" s="11"/>
      <c r="U236" s="11"/>
      <c r="V236" s="11"/>
      <c r="W236" s="11"/>
      <c r="X236" s="11"/>
      <c r="Y236" s="11"/>
      <c r="Z236" s="11"/>
    </row>
    <row r="237" spans="1:26" ht="14.25" customHeight="1">
      <c r="A237" s="11"/>
      <c r="B237" s="11"/>
      <c r="C237" s="11"/>
      <c r="D237" s="11"/>
      <c r="E237" s="11"/>
      <c r="F237" s="11"/>
      <c r="G237" s="11"/>
      <c r="H237" s="11"/>
      <c r="I237" s="46"/>
      <c r="J237" s="11"/>
      <c r="K237" s="11"/>
      <c r="L237" s="11"/>
      <c r="M237" s="11"/>
      <c r="N237" s="46"/>
      <c r="O237" s="11"/>
      <c r="P237" s="11"/>
      <c r="Q237" s="11"/>
      <c r="R237" s="11"/>
      <c r="S237" s="11"/>
      <c r="T237" s="11"/>
      <c r="U237" s="11"/>
      <c r="V237" s="11"/>
      <c r="W237" s="11"/>
      <c r="X237" s="11"/>
      <c r="Y237" s="11"/>
      <c r="Z237" s="11"/>
    </row>
    <row r="238" spans="1:26" ht="14.25" customHeight="1">
      <c r="A238" s="11"/>
      <c r="B238" s="11"/>
      <c r="C238" s="11"/>
      <c r="D238" s="11"/>
      <c r="E238" s="11"/>
      <c r="F238" s="11"/>
      <c r="G238" s="11"/>
      <c r="H238" s="11"/>
      <c r="I238" s="46"/>
      <c r="J238" s="11"/>
      <c r="K238" s="11"/>
      <c r="L238" s="11"/>
      <c r="M238" s="11"/>
      <c r="N238" s="46"/>
      <c r="O238" s="11"/>
      <c r="P238" s="11"/>
      <c r="Q238" s="11"/>
      <c r="R238" s="11"/>
      <c r="S238" s="11"/>
      <c r="T238" s="11"/>
      <c r="U238" s="11"/>
      <c r="V238" s="11"/>
      <c r="W238" s="11"/>
      <c r="X238" s="11"/>
      <c r="Y238" s="11"/>
      <c r="Z238" s="11"/>
    </row>
    <row r="239" spans="1:26" ht="14.25" customHeight="1">
      <c r="A239" s="11"/>
      <c r="B239" s="11"/>
      <c r="C239" s="11"/>
      <c r="D239" s="11"/>
      <c r="E239" s="11"/>
      <c r="F239" s="11"/>
      <c r="G239" s="11"/>
      <c r="H239" s="11"/>
      <c r="I239" s="46"/>
      <c r="J239" s="11"/>
      <c r="K239" s="11"/>
      <c r="L239" s="11"/>
      <c r="M239" s="11"/>
      <c r="N239" s="46"/>
      <c r="O239" s="11"/>
      <c r="P239" s="11"/>
      <c r="Q239" s="11"/>
      <c r="R239" s="11"/>
      <c r="S239" s="11"/>
      <c r="T239" s="11"/>
      <c r="U239" s="11"/>
      <c r="V239" s="11"/>
      <c r="W239" s="11"/>
      <c r="X239" s="11"/>
      <c r="Y239" s="11"/>
      <c r="Z239" s="11"/>
    </row>
    <row r="240" spans="1:26" ht="14.25" customHeight="1">
      <c r="A240" s="11"/>
      <c r="B240" s="11"/>
      <c r="C240" s="11"/>
      <c r="D240" s="11"/>
      <c r="E240" s="11"/>
      <c r="F240" s="11"/>
      <c r="G240" s="11"/>
      <c r="H240" s="11"/>
      <c r="I240" s="46"/>
      <c r="J240" s="11"/>
      <c r="K240" s="11"/>
      <c r="L240" s="11"/>
      <c r="M240" s="11"/>
      <c r="N240" s="46"/>
      <c r="O240" s="11"/>
      <c r="P240" s="11"/>
      <c r="Q240" s="11"/>
      <c r="R240" s="11"/>
      <c r="S240" s="11"/>
      <c r="T240" s="11"/>
      <c r="U240" s="11"/>
      <c r="V240" s="11"/>
      <c r="W240" s="11"/>
      <c r="X240" s="11"/>
      <c r="Y240" s="11"/>
      <c r="Z240" s="11"/>
    </row>
    <row r="241" spans="1:26" ht="14.25" customHeight="1">
      <c r="A241" s="11"/>
      <c r="B241" s="11"/>
      <c r="C241" s="11"/>
      <c r="D241" s="11"/>
      <c r="E241" s="11"/>
      <c r="F241" s="11"/>
      <c r="G241" s="11"/>
      <c r="H241" s="11"/>
      <c r="I241" s="46"/>
      <c r="J241" s="11"/>
      <c r="K241" s="11"/>
      <c r="L241" s="11"/>
      <c r="M241" s="11"/>
      <c r="N241" s="46"/>
      <c r="O241" s="11"/>
      <c r="P241" s="11"/>
      <c r="Q241" s="11"/>
      <c r="R241" s="11"/>
      <c r="S241" s="11"/>
      <c r="T241" s="11"/>
      <c r="U241" s="11"/>
      <c r="V241" s="11"/>
      <c r="W241" s="11"/>
      <c r="X241" s="11"/>
      <c r="Y241" s="11"/>
      <c r="Z241" s="11"/>
    </row>
    <row r="242" spans="1:26" ht="14.25" customHeight="1">
      <c r="A242" s="11"/>
      <c r="B242" s="11"/>
      <c r="C242" s="11"/>
      <c r="D242" s="11"/>
      <c r="E242" s="11"/>
      <c r="F242" s="11"/>
      <c r="G242" s="11"/>
      <c r="H242" s="11"/>
      <c r="I242" s="46"/>
      <c r="J242" s="11"/>
      <c r="K242" s="11"/>
      <c r="L242" s="11"/>
      <c r="M242" s="11"/>
      <c r="N242" s="46"/>
      <c r="O242" s="11"/>
      <c r="P242" s="11"/>
      <c r="Q242" s="11"/>
      <c r="R242" s="11"/>
      <c r="S242" s="11"/>
      <c r="T242" s="11"/>
      <c r="U242" s="11"/>
      <c r="V242" s="11"/>
      <c r="W242" s="11"/>
      <c r="X242" s="11"/>
      <c r="Y242" s="11"/>
      <c r="Z242" s="11"/>
    </row>
    <row r="243" spans="1:26" ht="14.25" customHeight="1">
      <c r="A243" s="11"/>
      <c r="B243" s="11"/>
      <c r="C243" s="11"/>
      <c r="D243" s="11"/>
      <c r="E243" s="11"/>
      <c r="F243" s="11"/>
      <c r="G243" s="11"/>
      <c r="H243" s="11"/>
      <c r="I243" s="46"/>
      <c r="J243" s="11"/>
      <c r="K243" s="11"/>
      <c r="L243" s="11"/>
      <c r="M243" s="11"/>
      <c r="N243" s="46"/>
      <c r="O243" s="11"/>
      <c r="P243" s="11"/>
      <c r="Q243" s="11"/>
      <c r="R243" s="11"/>
      <c r="S243" s="11"/>
      <c r="T243" s="11"/>
      <c r="U243" s="11"/>
      <c r="V243" s="11"/>
      <c r="W243" s="11"/>
      <c r="X243" s="11"/>
      <c r="Y243" s="11"/>
      <c r="Z243" s="11"/>
    </row>
    <row r="244" spans="1:26" ht="14.25" customHeight="1">
      <c r="A244" s="11"/>
      <c r="B244" s="11"/>
      <c r="C244" s="11"/>
      <c r="D244" s="11"/>
      <c r="E244" s="11"/>
      <c r="F244" s="11"/>
      <c r="G244" s="11"/>
      <c r="H244" s="11"/>
      <c r="I244" s="46"/>
      <c r="J244" s="11"/>
      <c r="K244" s="11"/>
      <c r="L244" s="11"/>
      <c r="M244" s="11"/>
      <c r="N244" s="46"/>
      <c r="O244" s="11"/>
      <c r="P244" s="11"/>
      <c r="Q244" s="11"/>
      <c r="R244" s="11"/>
      <c r="S244" s="11"/>
      <c r="T244" s="11"/>
      <c r="U244" s="11"/>
      <c r="V244" s="11"/>
      <c r="W244" s="11"/>
      <c r="X244" s="11"/>
      <c r="Y244" s="11"/>
      <c r="Z244" s="11"/>
    </row>
    <row r="245" spans="1:26" ht="14.25" customHeight="1">
      <c r="A245" s="11"/>
      <c r="B245" s="11"/>
      <c r="C245" s="11"/>
      <c r="D245" s="11"/>
      <c r="E245" s="11"/>
      <c r="F245" s="11"/>
      <c r="G245" s="11"/>
      <c r="H245" s="11"/>
      <c r="I245" s="46"/>
      <c r="J245" s="11"/>
      <c r="K245" s="11"/>
      <c r="L245" s="11"/>
      <c r="M245" s="11"/>
      <c r="N245" s="46"/>
      <c r="O245" s="11"/>
      <c r="P245" s="11"/>
      <c r="Q245" s="11"/>
      <c r="R245" s="11"/>
      <c r="S245" s="11"/>
      <c r="T245" s="11"/>
      <c r="U245" s="11"/>
      <c r="V245" s="11"/>
      <c r="W245" s="11"/>
      <c r="X245" s="11"/>
      <c r="Y245" s="11"/>
      <c r="Z245" s="11"/>
    </row>
    <row r="246" spans="1:26" ht="14.25" customHeight="1">
      <c r="A246" s="11"/>
      <c r="B246" s="11"/>
      <c r="C246" s="11"/>
      <c r="D246" s="11"/>
      <c r="E246" s="11"/>
      <c r="F246" s="11"/>
      <c r="G246" s="11"/>
      <c r="H246" s="11"/>
      <c r="I246" s="46"/>
      <c r="J246" s="11"/>
      <c r="K246" s="11"/>
      <c r="L246" s="11"/>
      <c r="M246" s="11"/>
      <c r="N246" s="46"/>
      <c r="O246" s="11"/>
      <c r="P246" s="11"/>
      <c r="Q246" s="11"/>
      <c r="R246" s="11"/>
      <c r="S246" s="11"/>
      <c r="T246" s="11"/>
      <c r="U246" s="11"/>
      <c r="V246" s="11"/>
      <c r="W246" s="11"/>
      <c r="X246" s="11"/>
      <c r="Y246" s="11"/>
      <c r="Z246" s="11"/>
    </row>
    <row r="247" spans="1:26" ht="14.25" customHeight="1">
      <c r="A247" s="11"/>
      <c r="B247" s="11"/>
      <c r="C247" s="11"/>
      <c r="D247" s="11"/>
      <c r="E247" s="11"/>
      <c r="F247" s="11"/>
      <c r="G247" s="11"/>
      <c r="H247" s="11"/>
      <c r="I247" s="46"/>
      <c r="J247" s="11"/>
      <c r="K247" s="11"/>
      <c r="L247" s="11"/>
      <c r="M247" s="11"/>
      <c r="N247" s="46"/>
      <c r="O247" s="11"/>
      <c r="P247" s="11"/>
      <c r="Q247" s="11"/>
      <c r="R247" s="11"/>
      <c r="S247" s="11"/>
      <c r="T247" s="11"/>
      <c r="U247" s="11"/>
      <c r="V247" s="11"/>
      <c r="W247" s="11"/>
      <c r="X247" s="11"/>
      <c r="Y247" s="11"/>
      <c r="Z247" s="11"/>
    </row>
    <row r="248" spans="1:26" ht="14.25" customHeight="1">
      <c r="A248" s="11"/>
      <c r="B248" s="11"/>
      <c r="C248" s="11"/>
      <c r="D248" s="11"/>
      <c r="E248" s="11"/>
      <c r="F248" s="11"/>
      <c r="G248" s="11"/>
      <c r="H248" s="11"/>
      <c r="I248" s="46"/>
      <c r="J248" s="11"/>
      <c r="K248" s="11"/>
      <c r="L248" s="11"/>
      <c r="M248" s="11"/>
      <c r="N248" s="46"/>
      <c r="O248" s="11"/>
      <c r="P248" s="11"/>
      <c r="Q248" s="11"/>
      <c r="R248" s="11"/>
      <c r="S248" s="11"/>
      <c r="T248" s="11"/>
      <c r="U248" s="11"/>
      <c r="V248" s="11"/>
      <c r="W248" s="11"/>
      <c r="X248" s="11"/>
      <c r="Y248" s="11"/>
      <c r="Z248" s="11"/>
    </row>
    <row r="249" spans="1:26" ht="14.25" customHeight="1">
      <c r="A249" s="11"/>
      <c r="B249" s="11"/>
      <c r="C249" s="11"/>
      <c r="D249" s="11"/>
      <c r="E249" s="11"/>
      <c r="F249" s="11"/>
      <c r="G249" s="11"/>
      <c r="H249" s="11"/>
      <c r="I249" s="46"/>
      <c r="J249" s="11"/>
      <c r="K249" s="11"/>
      <c r="L249" s="11"/>
      <c r="M249" s="11"/>
      <c r="N249" s="46"/>
      <c r="O249" s="11"/>
      <c r="P249" s="11"/>
      <c r="Q249" s="11"/>
      <c r="R249" s="11"/>
      <c r="S249" s="11"/>
      <c r="T249" s="11"/>
      <c r="U249" s="11"/>
      <c r="V249" s="11"/>
      <c r="W249" s="11"/>
      <c r="X249" s="11"/>
      <c r="Y249" s="11"/>
      <c r="Z249" s="11"/>
    </row>
    <row r="250" spans="1:26" ht="14.25" customHeight="1">
      <c r="A250" s="11"/>
      <c r="B250" s="11"/>
      <c r="C250" s="11"/>
      <c r="D250" s="11"/>
      <c r="E250" s="11"/>
      <c r="F250" s="11"/>
      <c r="G250" s="11"/>
      <c r="H250" s="11"/>
      <c r="I250" s="46"/>
      <c r="J250" s="11"/>
      <c r="K250" s="11"/>
      <c r="L250" s="11"/>
      <c r="M250" s="11"/>
      <c r="N250" s="46"/>
      <c r="O250" s="11"/>
      <c r="P250" s="11"/>
      <c r="Q250" s="11"/>
      <c r="R250" s="11"/>
      <c r="S250" s="11"/>
      <c r="T250" s="11"/>
      <c r="U250" s="11"/>
      <c r="V250" s="11"/>
      <c r="W250" s="11"/>
      <c r="X250" s="11"/>
      <c r="Y250" s="11"/>
      <c r="Z250" s="11"/>
    </row>
    <row r="251" spans="1:26" ht="14.25" customHeight="1">
      <c r="A251" s="11"/>
      <c r="B251" s="11"/>
      <c r="C251" s="11"/>
      <c r="D251" s="11"/>
      <c r="E251" s="11"/>
      <c r="F251" s="11"/>
      <c r="G251" s="11"/>
      <c r="H251" s="11"/>
      <c r="I251" s="46"/>
      <c r="J251" s="11"/>
      <c r="K251" s="11"/>
      <c r="L251" s="11"/>
      <c r="M251" s="11"/>
      <c r="N251" s="46"/>
      <c r="O251" s="11"/>
      <c r="P251" s="11"/>
      <c r="Q251" s="11"/>
      <c r="R251" s="11"/>
      <c r="S251" s="11"/>
      <c r="T251" s="11"/>
      <c r="U251" s="11"/>
      <c r="V251" s="11"/>
      <c r="W251" s="11"/>
      <c r="X251" s="11"/>
      <c r="Y251" s="11"/>
      <c r="Z251" s="11"/>
    </row>
    <row r="252" spans="1:26" ht="14.25" customHeight="1">
      <c r="A252" s="11"/>
      <c r="B252" s="11"/>
      <c r="C252" s="11"/>
      <c r="D252" s="11"/>
      <c r="E252" s="11"/>
      <c r="F252" s="11"/>
      <c r="G252" s="11"/>
      <c r="H252" s="11"/>
      <c r="I252" s="46"/>
      <c r="J252" s="11"/>
      <c r="K252" s="11"/>
      <c r="L252" s="11"/>
      <c r="M252" s="11"/>
      <c r="N252" s="46"/>
      <c r="O252" s="11"/>
      <c r="P252" s="11"/>
      <c r="Q252" s="11"/>
      <c r="R252" s="11"/>
      <c r="S252" s="11"/>
      <c r="T252" s="11"/>
      <c r="U252" s="11"/>
      <c r="V252" s="11"/>
      <c r="W252" s="11"/>
      <c r="X252" s="11"/>
      <c r="Y252" s="11"/>
      <c r="Z252" s="11"/>
    </row>
    <row r="253" spans="1:26" ht="14.25" customHeight="1">
      <c r="A253" s="11"/>
      <c r="B253" s="11"/>
      <c r="C253" s="11"/>
      <c r="D253" s="11"/>
      <c r="E253" s="11"/>
      <c r="F253" s="11"/>
      <c r="G253" s="11"/>
      <c r="H253" s="11"/>
      <c r="I253" s="46"/>
      <c r="J253" s="11"/>
      <c r="K253" s="11"/>
      <c r="L253" s="11"/>
      <c r="M253" s="11"/>
      <c r="N253" s="46"/>
      <c r="O253" s="11"/>
      <c r="P253" s="11"/>
      <c r="Q253" s="11"/>
      <c r="R253" s="11"/>
      <c r="S253" s="11"/>
      <c r="T253" s="11"/>
      <c r="U253" s="11"/>
      <c r="V253" s="11"/>
      <c r="W253" s="11"/>
      <c r="X253" s="11"/>
      <c r="Y253" s="11"/>
      <c r="Z253" s="11"/>
    </row>
    <row r="254" spans="1:26" ht="14.25" customHeight="1">
      <c r="A254" s="11"/>
      <c r="B254" s="11"/>
      <c r="C254" s="11"/>
      <c r="D254" s="11"/>
      <c r="E254" s="11"/>
      <c r="F254" s="11"/>
      <c r="G254" s="11"/>
      <c r="H254" s="11"/>
      <c r="I254" s="46"/>
      <c r="J254" s="11"/>
      <c r="K254" s="11"/>
      <c r="L254" s="11"/>
      <c r="M254" s="11"/>
      <c r="N254" s="46"/>
      <c r="O254" s="11"/>
      <c r="P254" s="11"/>
      <c r="Q254" s="11"/>
      <c r="R254" s="11"/>
      <c r="S254" s="11"/>
      <c r="T254" s="11"/>
      <c r="U254" s="11"/>
      <c r="V254" s="11"/>
      <c r="W254" s="11"/>
      <c r="X254" s="11"/>
      <c r="Y254" s="11"/>
      <c r="Z254" s="11"/>
    </row>
    <row r="255" spans="1:26" ht="14.25" customHeight="1">
      <c r="A255" s="11"/>
      <c r="B255" s="11"/>
      <c r="C255" s="11"/>
      <c r="D255" s="11"/>
      <c r="E255" s="11"/>
      <c r="F255" s="11"/>
      <c r="G255" s="11"/>
      <c r="H255" s="11"/>
      <c r="I255" s="46"/>
      <c r="J255" s="11"/>
      <c r="K255" s="11"/>
      <c r="L255" s="11"/>
      <c r="M255" s="11"/>
      <c r="N255" s="46"/>
      <c r="O255" s="11"/>
      <c r="P255" s="11"/>
      <c r="Q255" s="11"/>
      <c r="R255" s="11"/>
      <c r="S255" s="11"/>
      <c r="T255" s="11"/>
      <c r="U255" s="11"/>
      <c r="V255" s="11"/>
      <c r="W255" s="11"/>
      <c r="X255" s="11"/>
      <c r="Y255" s="11"/>
      <c r="Z255" s="11"/>
    </row>
    <row r="256" spans="1:26" ht="14.25" customHeight="1">
      <c r="A256" s="11"/>
      <c r="B256" s="11"/>
      <c r="C256" s="11"/>
      <c r="D256" s="11"/>
      <c r="E256" s="11"/>
      <c r="F256" s="11"/>
      <c r="G256" s="11"/>
      <c r="H256" s="11"/>
      <c r="I256" s="46"/>
      <c r="J256" s="11"/>
      <c r="K256" s="11"/>
      <c r="L256" s="11"/>
      <c r="M256" s="11"/>
      <c r="N256" s="46"/>
      <c r="O256" s="11"/>
      <c r="P256" s="11"/>
      <c r="Q256" s="11"/>
      <c r="R256" s="11"/>
      <c r="S256" s="11"/>
      <c r="T256" s="11"/>
      <c r="U256" s="11"/>
      <c r="V256" s="11"/>
      <c r="W256" s="11"/>
      <c r="X256" s="11"/>
      <c r="Y256" s="11"/>
      <c r="Z256" s="11"/>
    </row>
    <row r="257" spans="1:26" ht="14.25" customHeight="1">
      <c r="A257" s="11"/>
      <c r="B257" s="11"/>
      <c r="C257" s="11"/>
      <c r="D257" s="11"/>
      <c r="E257" s="11"/>
      <c r="F257" s="11"/>
      <c r="G257" s="11"/>
      <c r="H257" s="11"/>
      <c r="I257" s="46"/>
      <c r="J257" s="11"/>
      <c r="K257" s="11"/>
      <c r="L257" s="11"/>
      <c r="M257" s="11"/>
      <c r="N257" s="46"/>
      <c r="O257" s="11"/>
      <c r="P257" s="11"/>
      <c r="Q257" s="11"/>
      <c r="R257" s="11"/>
      <c r="S257" s="11"/>
      <c r="T257" s="11"/>
      <c r="U257" s="11"/>
      <c r="V257" s="11"/>
      <c r="W257" s="11"/>
      <c r="X257" s="11"/>
      <c r="Y257" s="11"/>
      <c r="Z257" s="11"/>
    </row>
    <row r="258" spans="1:26" ht="14.25" customHeight="1">
      <c r="A258" s="11"/>
      <c r="B258" s="11"/>
      <c r="C258" s="11"/>
      <c r="D258" s="11"/>
      <c r="E258" s="11"/>
      <c r="F258" s="11"/>
      <c r="G258" s="11"/>
      <c r="H258" s="11"/>
      <c r="I258" s="46"/>
      <c r="J258" s="11"/>
      <c r="K258" s="11"/>
      <c r="L258" s="11"/>
      <c r="M258" s="11"/>
      <c r="N258" s="46"/>
      <c r="O258" s="11"/>
      <c r="P258" s="11"/>
      <c r="Q258" s="11"/>
      <c r="R258" s="11"/>
      <c r="S258" s="11"/>
      <c r="T258" s="11"/>
      <c r="U258" s="11"/>
      <c r="V258" s="11"/>
      <c r="W258" s="11"/>
      <c r="X258" s="11"/>
      <c r="Y258" s="11"/>
      <c r="Z258" s="11"/>
    </row>
    <row r="259" spans="1:26" ht="14.25" customHeight="1">
      <c r="A259" s="11"/>
      <c r="B259" s="11"/>
      <c r="C259" s="11"/>
      <c r="D259" s="11"/>
      <c r="E259" s="11"/>
      <c r="F259" s="11"/>
      <c r="G259" s="11"/>
      <c r="H259" s="11"/>
      <c r="I259" s="46"/>
      <c r="J259" s="11"/>
      <c r="K259" s="11"/>
      <c r="L259" s="11"/>
      <c r="M259" s="11"/>
      <c r="N259" s="46"/>
      <c r="O259" s="11"/>
      <c r="P259" s="11"/>
      <c r="Q259" s="11"/>
      <c r="R259" s="11"/>
      <c r="S259" s="11"/>
      <c r="T259" s="11"/>
      <c r="U259" s="11"/>
      <c r="V259" s="11"/>
      <c r="W259" s="11"/>
      <c r="X259" s="11"/>
      <c r="Y259" s="11"/>
      <c r="Z259" s="11"/>
    </row>
    <row r="260" spans="1:26" ht="14.25" customHeight="1">
      <c r="A260" s="11"/>
      <c r="B260" s="11"/>
      <c r="C260" s="11"/>
      <c r="D260" s="11"/>
      <c r="E260" s="11"/>
      <c r="F260" s="11"/>
      <c r="G260" s="11"/>
      <c r="H260" s="11"/>
      <c r="I260" s="46"/>
      <c r="J260" s="11"/>
      <c r="K260" s="11"/>
      <c r="L260" s="11"/>
      <c r="M260" s="11"/>
      <c r="N260" s="46"/>
      <c r="O260" s="11"/>
      <c r="P260" s="11"/>
      <c r="Q260" s="11"/>
      <c r="R260" s="11"/>
      <c r="S260" s="11"/>
      <c r="T260" s="11"/>
      <c r="U260" s="11"/>
      <c r="V260" s="11"/>
      <c r="W260" s="11"/>
      <c r="X260" s="11"/>
      <c r="Y260" s="11"/>
      <c r="Z260" s="11"/>
    </row>
    <row r="261" spans="1:26" ht="14.25" customHeight="1">
      <c r="A261" s="11"/>
      <c r="B261" s="11"/>
      <c r="C261" s="11"/>
      <c r="D261" s="11"/>
      <c r="E261" s="11"/>
      <c r="F261" s="11"/>
      <c r="G261" s="11"/>
      <c r="H261" s="11"/>
      <c r="I261" s="46"/>
      <c r="J261" s="11"/>
      <c r="K261" s="11"/>
      <c r="L261" s="11"/>
      <c r="M261" s="11"/>
      <c r="N261" s="46"/>
      <c r="O261" s="11"/>
      <c r="P261" s="11"/>
      <c r="Q261" s="11"/>
      <c r="R261" s="11"/>
      <c r="S261" s="11"/>
      <c r="T261" s="11"/>
      <c r="U261" s="11"/>
      <c r="V261" s="11"/>
      <c r="W261" s="11"/>
      <c r="X261" s="11"/>
      <c r="Y261" s="11"/>
      <c r="Z261" s="11"/>
    </row>
    <row r="262" spans="1:26" ht="14.25" customHeight="1">
      <c r="A262" s="11"/>
      <c r="B262" s="11"/>
      <c r="C262" s="11"/>
      <c r="D262" s="11"/>
      <c r="E262" s="11"/>
      <c r="F262" s="11"/>
      <c r="G262" s="11"/>
      <c r="H262" s="11"/>
      <c r="I262" s="46"/>
      <c r="J262" s="11"/>
      <c r="K262" s="11"/>
      <c r="L262" s="11"/>
      <c r="M262" s="11"/>
      <c r="N262" s="46"/>
      <c r="O262" s="11"/>
      <c r="P262" s="11"/>
      <c r="Q262" s="11"/>
      <c r="R262" s="11"/>
      <c r="S262" s="11"/>
      <c r="T262" s="11"/>
      <c r="U262" s="11"/>
      <c r="V262" s="11"/>
      <c r="W262" s="11"/>
      <c r="X262" s="11"/>
      <c r="Y262" s="11"/>
      <c r="Z262" s="11"/>
    </row>
    <row r="263" spans="1:26" ht="14.25" customHeight="1">
      <c r="A263" s="11"/>
      <c r="B263" s="11"/>
      <c r="C263" s="11"/>
      <c r="D263" s="11"/>
      <c r="E263" s="11"/>
      <c r="F263" s="11"/>
      <c r="G263" s="11"/>
      <c r="H263" s="11"/>
      <c r="I263" s="46"/>
      <c r="J263" s="11"/>
      <c r="K263" s="11"/>
      <c r="L263" s="11"/>
      <c r="M263" s="11"/>
      <c r="N263" s="46"/>
      <c r="O263" s="11"/>
      <c r="P263" s="11"/>
      <c r="Q263" s="11"/>
      <c r="R263" s="11"/>
      <c r="S263" s="11"/>
      <c r="T263" s="11"/>
      <c r="U263" s="11"/>
      <c r="V263" s="11"/>
      <c r="W263" s="11"/>
      <c r="X263" s="11"/>
      <c r="Y263" s="11"/>
      <c r="Z263" s="11"/>
    </row>
    <row r="264" spans="1:26" ht="14.25" customHeight="1">
      <c r="A264" s="11"/>
      <c r="B264" s="11"/>
      <c r="C264" s="11"/>
      <c r="D264" s="11"/>
      <c r="E264" s="11"/>
      <c r="F264" s="11"/>
      <c r="G264" s="11"/>
      <c r="H264" s="11"/>
      <c r="I264" s="46"/>
      <c r="J264" s="11"/>
      <c r="K264" s="11"/>
      <c r="L264" s="11"/>
      <c r="M264" s="11"/>
      <c r="N264" s="46"/>
      <c r="O264" s="11"/>
      <c r="P264" s="11"/>
      <c r="Q264" s="11"/>
      <c r="R264" s="11"/>
      <c r="S264" s="11"/>
      <c r="T264" s="11"/>
      <c r="U264" s="11"/>
      <c r="V264" s="11"/>
      <c r="W264" s="11"/>
      <c r="X264" s="11"/>
      <c r="Y264" s="11"/>
      <c r="Z264" s="11"/>
    </row>
    <row r="265" spans="1:26" ht="14.25" customHeight="1">
      <c r="A265" s="11"/>
      <c r="B265" s="11"/>
      <c r="C265" s="11"/>
      <c r="D265" s="11"/>
      <c r="E265" s="11"/>
      <c r="F265" s="11"/>
      <c r="G265" s="11"/>
      <c r="H265" s="11"/>
      <c r="I265" s="46"/>
      <c r="J265" s="11"/>
      <c r="K265" s="11"/>
      <c r="L265" s="11"/>
      <c r="M265" s="11"/>
      <c r="N265" s="46"/>
      <c r="O265" s="11"/>
      <c r="P265" s="11"/>
      <c r="Q265" s="11"/>
      <c r="R265" s="11"/>
      <c r="S265" s="11"/>
      <c r="T265" s="11"/>
      <c r="U265" s="11"/>
      <c r="V265" s="11"/>
      <c r="W265" s="11"/>
      <c r="X265" s="11"/>
      <c r="Y265" s="11"/>
      <c r="Z265" s="11"/>
    </row>
    <row r="266" spans="1:26" ht="14.25" customHeight="1">
      <c r="A266" s="11"/>
      <c r="B266" s="11"/>
      <c r="C266" s="11"/>
      <c r="D266" s="11"/>
      <c r="E266" s="11"/>
      <c r="F266" s="11"/>
      <c r="G266" s="11"/>
      <c r="H266" s="11"/>
      <c r="I266" s="46"/>
      <c r="J266" s="11"/>
      <c r="K266" s="11"/>
      <c r="L266" s="11"/>
      <c r="M266" s="11"/>
      <c r="N266" s="46"/>
      <c r="O266" s="11"/>
      <c r="P266" s="11"/>
      <c r="Q266" s="11"/>
      <c r="R266" s="11"/>
      <c r="S266" s="11"/>
      <c r="T266" s="11"/>
      <c r="U266" s="11"/>
      <c r="V266" s="11"/>
      <c r="W266" s="11"/>
      <c r="X266" s="11"/>
      <c r="Y266" s="11"/>
      <c r="Z266" s="11"/>
    </row>
    <row r="267" spans="1:26" ht="14.25" customHeight="1">
      <c r="A267" s="11"/>
      <c r="B267" s="11"/>
      <c r="C267" s="11"/>
      <c r="D267" s="11"/>
      <c r="E267" s="11"/>
      <c r="F267" s="11"/>
      <c r="G267" s="11"/>
      <c r="H267" s="11"/>
      <c r="I267" s="46"/>
      <c r="J267" s="11"/>
      <c r="K267" s="11"/>
      <c r="L267" s="11"/>
      <c r="M267" s="11"/>
      <c r="N267" s="46"/>
      <c r="O267" s="11"/>
      <c r="P267" s="11"/>
      <c r="Q267" s="11"/>
      <c r="R267" s="11"/>
      <c r="S267" s="11"/>
      <c r="T267" s="11"/>
      <c r="U267" s="11"/>
      <c r="V267" s="11"/>
      <c r="W267" s="11"/>
      <c r="X267" s="11"/>
      <c r="Y267" s="11"/>
      <c r="Z267" s="11"/>
    </row>
    <row r="268" spans="1:26" ht="14.25" customHeight="1">
      <c r="A268" s="11"/>
      <c r="B268" s="11"/>
      <c r="C268" s="11"/>
      <c r="D268" s="11"/>
      <c r="E268" s="11"/>
      <c r="F268" s="11"/>
      <c r="G268" s="11"/>
      <c r="H268" s="11"/>
      <c r="I268" s="46"/>
      <c r="J268" s="11"/>
      <c r="K268" s="11"/>
      <c r="L268" s="11"/>
      <c r="M268" s="11"/>
      <c r="N268" s="46"/>
      <c r="O268" s="11"/>
      <c r="P268" s="11"/>
      <c r="Q268" s="11"/>
      <c r="R268" s="11"/>
      <c r="S268" s="11"/>
      <c r="T268" s="11"/>
      <c r="U268" s="11"/>
      <c r="V268" s="11"/>
      <c r="W268" s="11"/>
      <c r="X268" s="11"/>
      <c r="Y268" s="11"/>
      <c r="Z268" s="11"/>
    </row>
    <row r="269" spans="1:26" ht="14.25" customHeight="1">
      <c r="A269" s="11"/>
      <c r="B269" s="11"/>
      <c r="C269" s="11"/>
      <c r="D269" s="11"/>
      <c r="E269" s="11"/>
      <c r="F269" s="11"/>
      <c r="G269" s="11"/>
      <c r="H269" s="11"/>
      <c r="I269" s="46"/>
      <c r="J269" s="11"/>
      <c r="K269" s="11"/>
      <c r="L269" s="11"/>
      <c r="M269" s="11"/>
      <c r="N269" s="46"/>
      <c r="O269" s="11"/>
      <c r="P269" s="11"/>
      <c r="Q269" s="11"/>
      <c r="R269" s="11"/>
      <c r="S269" s="11"/>
      <c r="T269" s="11"/>
      <c r="U269" s="11"/>
      <c r="V269" s="11"/>
      <c r="W269" s="11"/>
      <c r="X269" s="11"/>
      <c r="Y269" s="11"/>
      <c r="Z269" s="11"/>
    </row>
    <row r="270" spans="1:26" ht="14.25" customHeight="1">
      <c r="A270" s="11"/>
      <c r="B270" s="11"/>
      <c r="C270" s="11"/>
      <c r="D270" s="11"/>
      <c r="E270" s="11"/>
      <c r="F270" s="11"/>
      <c r="G270" s="11"/>
      <c r="H270" s="11"/>
      <c r="I270" s="46"/>
      <c r="J270" s="11"/>
      <c r="K270" s="11"/>
      <c r="L270" s="11"/>
      <c r="M270" s="11"/>
      <c r="N270" s="46"/>
      <c r="O270" s="11"/>
      <c r="P270" s="11"/>
      <c r="Q270" s="11"/>
      <c r="R270" s="11"/>
      <c r="S270" s="11"/>
      <c r="T270" s="11"/>
      <c r="U270" s="11"/>
      <c r="V270" s="11"/>
      <c r="W270" s="11"/>
      <c r="X270" s="11"/>
      <c r="Y270" s="11"/>
      <c r="Z270" s="11"/>
    </row>
    <row r="271" spans="1:26" ht="14.25" customHeight="1">
      <c r="A271" s="11"/>
      <c r="B271" s="11"/>
      <c r="C271" s="11"/>
      <c r="D271" s="11"/>
      <c r="E271" s="11"/>
      <c r="F271" s="11"/>
      <c r="G271" s="11"/>
      <c r="H271" s="11"/>
      <c r="I271" s="46"/>
      <c r="J271" s="11"/>
      <c r="K271" s="11"/>
      <c r="L271" s="11"/>
      <c r="M271" s="11"/>
      <c r="N271" s="46"/>
      <c r="O271" s="11"/>
      <c r="P271" s="11"/>
      <c r="Q271" s="11"/>
      <c r="R271" s="11"/>
      <c r="S271" s="11"/>
      <c r="T271" s="11"/>
      <c r="U271" s="11"/>
      <c r="V271" s="11"/>
      <c r="W271" s="11"/>
      <c r="X271" s="11"/>
      <c r="Y271" s="11"/>
      <c r="Z271" s="11"/>
    </row>
    <row r="272" spans="1:26" ht="14.25" customHeight="1">
      <c r="A272" s="11"/>
      <c r="B272" s="11"/>
      <c r="C272" s="11"/>
      <c r="D272" s="11"/>
      <c r="E272" s="11"/>
      <c r="F272" s="11"/>
      <c r="G272" s="11"/>
      <c r="H272" s="11"/>
      <c r="I272" s="46"/>
      <c r="J272" s="11"/>
      <c r="K272" s="11"/>
      <c r="L272" s="11"/>
      <c r="M272" s="11"/>
      <c r="N272" s="46"/>
      <c r="O272" s="11"/>
      <c r="P272" s="11"/>
      <c r="Q272" s="11"/>
      <c r="R272" s="11"/>
      <c r="S272" s="11"/>
      <c r="T272" s="11"/>
      <c r="U272" s="11"/>
      <c r="V272" s="11"/>
      <c r="W272" s="11"/>
      <c r="X272" s="11"/>
      <c r="Y272" s="11"/>
      <c r="Z272" s="11"/>
    </row>
    <row r="273" spans="1:26" ht="14.25" customHeight="1">
      <c r="A273" s="11"/>
      <c r="B273" s="11"/>
      <c r="C273" s="11"/>
      <c r="D273" s="11"/>
      <c r="E273" s="11"/>
      <c r="F273" s="11"/>
      <c r="G273" s="11"/>
      <c r="H273" s="11"/>
      <c r="I273" s="46"/>
      <c r="J273" s="11"/>
      <c r="K273" s="11"/>
      <c r="L273" s="11"/>
      <c r="M273" s="11"/>
      <c r="N273" s="46"/>
      <c r="O273" s="11"/>
      <c r="P273" s="11"/>
      <c r="Q273" s="11"/>
      <c r="R273" s="11"/>
      <c r="S273" s="11"/>
      <c r="T273" s="11"/>
      <c r="U273" s="11"/>
      <c r="V273" s="11"/>
      <c r="W273" s="11"/>
      <c r="X273" s="11"/>
      <c r="Y273" s="11"/>
      <c r="Z273" s="11"/>
    </row>
    <row r="274" spans="1:26" ht="14.25" customHeight="1">
      <c r="A274" s="11"/>
      <c r="B274" s="11"/>
      <c r="C274" s="11"/>
      <c r="D274" s="11"/>
      <c r="E274" s="11"/>
      <c r="F274" s="11"/>
      <c r="G274" s="11"/>
      <c r="H274" s="11"/>
      <c r="I274" s="46"/>
      <c r="J274" s="11"/>
      <c r="K274" s="11"/>
      <c r="L274" s="11"/>
      <c r="M274" s="11"/>
      <c r="N274" s="46"/>
      <c r="O274" s="11"/>
      <c r="P274" s="11"/>
      <c r="Q274" s="11"/>
      <c r="R274" s="11"/>
      <c r="S274" s="11"/>
      <c r="T274" s="11"/>
      <c r="U274" s="11"/>
      <c r="V274" s="11"/>
      <c r="W274" s="11"/>
      <c r="X274" s="11"/>
      <c r="Y274" s="11"/>
      <c r="Z274" s="11"/>
    </row>
    <row r="275" spans="1:26" ht="14.25" customHeight="1">
      <c r="A275" s="11"/>
      <c r="B275" s="11"/>
      <c r="C275" s="11"/>
      <c r="D275" s="11"/>
      <c r="E275" s="11"/>
      <c r="F275" s="11"/>
      <c r="G275" s="11"/>
      <c r="H275" s="11"/>
      <c r="I275" s="46"/>
      <c r="J275" s="11"/>
      <c r="K275" s="11"/>
      <c r="L275" s="11"/>
      <c r="M275" s="11"/>
      <c r="N275" s="46"/>
      <c r="O275" s="11"/>
      <c r="P275" s="11"/>
      <c r="Q275" s="11"/>
      <c r="R275" s="11"/>
      <c r="S275" s="11"/>
      <c r="T275" s="11"/>
      <c r="U275" s="11"/>
      <c r="V275" s="11"/>
      <c r="W275" s="11"/>
      <c r="X275" s="11"/>
      <c r="Y275" s="11"/>
      <c r="Z275" s="11"/>
    </row>
    <row r="276" spans="1:26" ht="14.25" customHeight="1">
      <c r="A276" s="11"/>
      <c r="B276" s="11"/>
      <c r="C276" s="11"/>
      <c r="D276" s="11"/>
      <c r="E276" s="11"/>
      <c r="F276" s="11"/>
      <c r="G276" s="11"/>
      <c r="H276" s="11"/>
      <c r="I276" s="46"/>
      <c r="J276" s="11"/>
      <c r="K276" s="11"/>
      <c r="L276" s="11"/>
      <c r="M276" s="11"/>
      <c r="N276" s="46"/>
      <c r="O276" s="11"/>
      <c r="P276" s="11"/>
      <c r="Q276" s="11"/>
      <c r="R276" s="11"/>
      <c r="S276" s="11"/>
      <c r="T276" s="11"/>
      <c r="U276" s="11"/>
      <c r="V276" s="11"/>
      <c r="W276" s="11"/>
      <c r="X276" s="11"/>
      <c r="Y276" s="11"/>
      <c r="Z276" s="11"/>
    </row>
    <row r="277" spans="1:26" ht="14.25" customHeight="1">
      <c r="A277" s="11"/>
      <c r="B277" s="11"/>
      <c r="C277" s="11"/>
      <c r="D277" s="11"/>
      <c r="E277" s="11"/>
      <c r="F277" s="11"/>
      <c r="G277" s="11"/>
      <c r="H277" s="11"/>
      <c r="I277" s="46"/>
      <c r="J277" s="11"/>
      <c r="K277" s="11"/>
      <c r="L277" s="11"/>
      <c r="M277" s="11"/>
      <c r="N277" s="46"/>
      <c r="O277" s="11"/>
      <c r="P277" s="11"/>
      <c r="Q277" s="11"/>
      <c r="R277" s="11"/>
      <c r="S277" s="11"/>
      <c r="T277" s="11"/>
      <c r="U277" s="11"/>
      <c r="V277" s="11"/>
      <c r="W277" s="11"/>
      <c r="X277" s="11"/>
      <c r="Y277" s="11"/>
      <c r="Z277" s="11"/>
    </row>
    <row r="278" spans="1:26" ht="14.25" customHeight="1">
      <c r="A278" s="11"/>
      <c r="B278" s="11"/>
      <c r="C278" s="11"/>
      <c r="D278" s="11"/>
      <c r="E278" s="11"/>
      <c r="F278" s="11"/>
      <c r="G278" s="11"/>
      <c r="H278" s="11"/>
      <c r="I278" s="46"/>
      <c r="J278" s="11"/>
      <c r="K278" s="11"/>
      <c r="L278" s="11"/>
      <c r="M278" s="11"/>
      <c r="N278" s="46"/>
      <c r="O278" s="11"/>
      <c r="P278" s="11"/>
      <c r="Q278" s="11"/>
      <c r="R278" s="11"/>
      <c r="S278" s="11"/>
      <c r="T278" s="11"/>
      <c r="U278" s="11"/>
      <c r="V278" s="11"/>
      <c r="W278" s="11"/>
      <c r="X278" s="11"/>
      <c r="Y278" s="11"/>
      <c r="Z278" s="11"/>
    </row>
    <row r="279" spans="1:26" ht="14.25" customHeight="1">
      <c r="A279" s="11"/>
      <c r="B279" s="11"/>
      <c r="C279" s="11"/>
      <c r="D279" s="11"/>
      <c r="E279" s="11"/>
      <c r="F279" s="11"/>
      <c r="G279" s="11"/>
      <c r="H279" s="11"/>
      <c r="I279" s="46"/>
      <c r="J279" s="11"/>
      <c r="K279" s="11"/>
      <c r="L279" s="11"/>
      <c r="M279" s="11"/>
      <c r="N279" s="46"/>
      <c r="O279" s="11"/>
      <c r="P279" s="11"/>
      <c r="Q279" s="11"/>
      <c r="R279" s="11"/>
      <c r="S279" s="11"/>
      <c r="T279" s="11"/>
      <c r="U279" s="11"/>
      <c r="V279" s="11"/>
      <c r="W279" s="11"/>
      <c r="X279" s="11"/>
      <c r="Y279" s="11"/>
      <c r="Z279" s="11"/>
    </row>
    <row r="280" spans="1:26" ht="14.25" customHeight="1">
      <c r="A280" s="11"/>
      <c r="B280" s="11"/>
      <c r="C280" s="11"/>
      <c r="D280" s="11"/>
      <c r="E280" s="11"/>
      <c r="F280" s="11"/>
      <c r="G280" s="11"/>
      <c r="H280" s="11"/>
      <c r="I280" s="46"/>
      <c r="J280" s="11"/>
      <c r="K280" s="11"/>
      <c r="L280" s="11"/>
      <c r="M280" s="11"/>
      <c r="N280" s="46"/>
      <c r="O280" s="11"/>
      <c r="P280" s="11"/>
      <c r="Q280" s="11"/>
      <c r="R280" s="11"/>
      <c r="S280" s="11"/>
      <c r="T280" s="11"/>
      <c r="U280" s="11"/>
      <c r="V280" s="11"/>
      <c r="W280" s="11"/>
      <c r="X280" s="11"/>
      <c r="Y280" s="11"/>
      <c r="Z280" s="11"/>
    </row>
    <row r="281" spans="1:26" ht="14.25" customHeight="1">
      <c r="A281" s="11"/>
      <c r="B281" s="11"/>
      <c r="C281" s="11"/>
      <c r="D281" s="11"/>
      <c r="E281" s="11"/>
      <c r="F281" s="11"/>
      <c r="G281" s="11"/>
      <c r="H281" s="11"/>
      <c r="I281" s="46"/>
      <c r="J281" s="11"/>
      <c r="K281" s="11"/>
      <c r="L281" s="11"/>
      <c r="M281" s="11"/>
      <c r="N281" s="46"/>
      <c r="O281" s="11"/>
      <c r="P281" s="11"/>
      <c r="Q281" s="11"/>
      <c r="R281" s="11"/>
      <c r="S281" s="11"/>
      <c r="T281" s="11"/>
      <c r="U281" s="11"/>
      <c r="V281" s="11"/>
      <c r="W281" s="11"/>
      <c r="X281" s="11"/>
      <c r="Y281" s="11"/>
      <c r="Z281" s="11"/>
    </row>
    <row r="282" spans="1:26" ht="14.25" customHeight="1">
      <c r="A282" s="11"/>
      <c r="B282" s="11"/>
      <c r="C282" s="11"/>
      <c r="D282" s="11"/>
      <c r="E282" s="11"/>
      <c r="F282" s="11"/>
      <c r="G282" s="11"/>
      <c r="H282" s="11"/>
      <c r="I282" s="46"/>
      <c r="J282" s="11"/>
      <c r="K282" s="11"/>
      <c r="L282" s="11"/>
      <c r="M282" s="11"/>
      <c r="N282" s="46"/>
      <c r="O282" s="11"/>
      <c r="P282" s="11"/>
      <c r="Q282" s="11"/>
      <c r="R282" s="11"/>
      <c r="S282" s="11"/>
      <c r="T282" s="11"/>
      <c r="U282" s="11"/>
      <c r="V282" s="11"/>
      <c r="W282" s="11"/>
      <c r="X282" s="11"/>
      <c r="Y282" s="11"/>
      <c r="Z282" s="11"/>
    </row>
    <row r="283" spans="1:26" ht="14.25" customHeight="1">
      <c r="A283" s="11"/>
      <c r="B283" s="11"/>
      <c r="C283" s="11"/>
      <c r="D283" s="11"/>
      <c r="E283" s="11"/>
      <c r="F283" s="11"/>
      <c r="G283" s="11"/>
      <c r="H283" s="11"/>
      <c r="I283" s="46"/>
      <c r="J283" s="11"/>
      <c r="K283" s="11"/>
      <c r="L283" s="11"/>
      <c r="M283" s="11"/>
      <c r="N283" s="46"/>
      <c r="O283" s="11"/>
      <c r="P283" s="11"/>
      <c r="Q283" s="11"/>
      <c r="R283" s="11"/>
      <c r="S283" s="11"/>
      <c r="T283" s="11"/>
      <c r="U283" s="11"/>
      <c r="V283" s="11"/>
      <c r="W283" s="11"/>
      <c r="X283" s="11"/>
      <c r="Y283" s="11"/>
      <c r="Z283" s="11"/>
    </row>
    <row r="284" spans="1:26" ht="14.25" customHeight="1">
      <c r="A284" s="11"/>
      <c r="B284" s="11"/>
      <c r="C284" s="11"/>
      <c r="D284" s="11"/>
      <c r="E284" s="11"/>
      <c r="F284" s="11"/>
      <c r="G284" s="11"/>
      <c r="H284" s="11"/>
      <c r="I284" s="46"/>
      <c r="J284" s="11"/>
      <c r="K284" s="11"/>
      <c r="L284" s="11"/>
      <c r="M284" s="11"/>
      <c r="N284" s="46"/>
      <c r="O284" s="11"/>
      <c r="P284" s="11"/>
      <c r="Q284" s="11"/>
      <c r="R284" s="11"/>
      <c r="S284" s="11"/>
      <c r="T284" s="11"/>
      <c r="U284" s="11"/>
      <c r="V284" s="11"/>
      <c r="W284" s="11"/>
      <c r="X284" s="11"/>
      <c r="Y284" s="11"/>
      <c r="Z284" s="11"/>
    </row>
    <row r="285" spans="1:26" ht="14.25" customHeight="1">
      <c r="A285" s="11"/>
      <c r="B285" s="11"/>
      <c r="C285" s="11"/>
      <c r="D285" s="11"/>
      <c r="E285" s="11"/>
      <c r="F285" s="11"/>
      <c r="G285" s="11"/>
      <c r="H285" s="11"/>
      <c r="I285" s="46"/>
      <c r="J285" s="11"/>
      <c r="K285" s="11"/>
      <c r="L285" s="11"/>
      <c r="M285" s="11"/>
      <c r="N285" s="46"/>
      <c r="O285" s="11"/>
      <c r="P285" s="11"/>
      <c r="Q285" s="11"/>
      <c r="R285" s="11"/>
      <c r="S285" s="11"/>
      <c r="T285" s="11"/>
      <c r="U285" s="11"/>
      <c r="V285" s="11"/>
      <c r="W285" s="11"/>
      <c r="X285" s="11"/>
      <c r="Y285" s="11"/>
      <c r="Z285" s="11"/>
    </row>
    <row r="286" spans="1:26" ht="14.25" customHeight="1">
      <c r="A286" s="11"/>
      <c r="B286" s="11"/>
      <c r="C286" s="11"/>
      <c r="D286" s="11"/>
      <c r="E286" s="11"/>
      <c r="F286" s="11"/>
      <c r="G286" s="11"/>
      <c r="H286" s="11"/>
      <c r="I286" s="46"/>
      <c r="J286" s="11"/>
      <c r="K286" s="11"/>
      <c r="L286" s="11"/>
      <c r="M286" s="11"/>
      <c r="N286" s="46"/>
      <c r="O286" s="11"/>
      <c r="P286" s="11"/>
      <c r="Q286" s="11"/>
      <c r="R286" s="11"/>
      <c r="S286" s="11"/>
      <c r="T286" s="11"/>
      <c r="U286" s="11"/>
      <c r="V286" s="11"/>
      <c r="W286" s="11"/>
      <c r="X286" s="11"/>
      <c r="Y286" s="11"/>
      <c r="Z286" s="11"/>
    </row>
    <row r="287" spans="1:26" ht="14.25" customHeight="1">
      <c r="A287" s="11"/>
      <c r="B287" s="11"/>
      <c r="C287" s="11"/>
      <c r="D287" s="11"/>
      <c r="E287" s="11"/>
      <c r="F287" s="11"/>
      <c r="G287" s="11"/>
      <c r="H287" s="11"/>
      <c r="I287" s="46"/>
      <c r="J287" s="11"/>
      <c r="K287" s="11"/>
      <c r="L287" s="11"/>
      <c r="M287" s="11"/>
      <c r="N287" s="46"/>
      <c r="O287" s="11"/>
      <c r="P287" s="11"/>
      <c r="Q287" s="11"/>
      <c r="R287" s="11"/>
      <c r="S287" s="11"/>
      <c r="T287" s="11"/>
      <c r="U287" s="11"/>
      <c r="V287" s="11"/>
      <c r="W287" s="11"/>
      <c r="X287" s="11"/>
      <c r="Y287" s="11"/>
      <c r="Z287" s="11"/>
    </row>
    <row r="288" spans="1:26" ht="14.25" customHeight="1">
      <c r="A288" s="11"/>
      <c r="B288" s="11"/>
      <c r="C288" s="11"/>
      <c r="D288" s="11"/>
      <c r="E288" s="11"/>
      <c r="F288" s="11"/>
      <c r="G288" s="11"/>
      <c r="H288" s="11"/>
      <c r="I288" s="46"/>
      <c r="J288" s="11"/>
      <c r="K288" s="11"/>
      <c r="L288" s="11"/>
      <c r="M288" s="11"/>
      <c r="N288" s="46"/>
      <c r="O288" s="11"/>
      <c r="P288" s="11"/>
      <c r="Q288" s="11"/>
      <c r="R288" s="11"/>
      <c r="S288" s="11"/>
      <c r="T288" s="11"/>
      <c r="U288" s="11"/>
      <c r="V288" s="11"/>
      <c r="W288" s="11"/>
      <c r="X288" s="11"/>
      <c r="Y288" s="11"/>
      <c r="Z288" s="11"/>
    </row>
    <row r="289" spans="1:26" ht="14.25" customHeight="1">
      <c r="A289" s="11"/>
      <c r="B289" s="11"/>
      <c r="C289" s="11"/>
      <c r="D289" s="11"/>
      <c r="E289" s="11"/>
      <c r="F289" s="11"/>
      <c r="G289" s="11"/>
      <c r="H289" s="11"/>
      <c r="I289" s="46"/>
      <c r="J289" s="11"/>
      <c r="K289" s="11"/>
      <c r="L289" s="11"/>
      <c r="M289" s="11"/>
      <c r="N289" s="46"/>
      <c r="O289" s="11"/>
      <c r="P289" s="11"/>
      <c r="Q289" s="11"/>
      <c r="R289" s="11"/>
      <c r="S289" s="11"/>
      <c r="T289" s="11"/>
      <c r="U289" s="11"/>
      <c r="V289" s="11"/>
      <c r="W289" s="11"/>
      <c r="X289" s="11"/>
      <c r="Y289" s="11"/>
      <c r="Z289" s="11"/>
    </row>
    <row r="290" spans="1:26" ht="14.25" customHeight="1">
      <c r="A290" s="11"/>
      <c r="B290" s="11"/>
      <c r="C290" s="11"/>
      <c r="D290" s="11"/>
      <c r="E290" s="11"/>
      <c r="F290" s="11"/>
      <c r="G290" s="11"/>
      <c r="H290" s="11"/>
      <c r="I290" s="46"/>
      <c r="J290" s="11"/>
      <c r="K290" s="11"/>
      <c r="L290" s="11"/>
      <c r="M290" s="11"/>
      <c r="N290" s="46"/>
      <c r="O290" s="11"/>
      <c r="P290" s="11"/>
      <c r="Q290" s="11"/>
      <c r="R290" s="11"/>
      <c r="S290" s="11"/>
      <c r="T290" s="11"/>
      <c r="U290" s="11"/>
      <c r="V290" s="11"/>
      <c r="W290" s="11"/>
      <c r="X290" s="11"/>
      <c r="Y290" s="11"/>
      <c r="Z290" s="11"/>
    </row>
    <row r="291" spans="1:26" ht="14.25" customHeight="1">
      <c r="A291" s="11"/>
      <c r="B291" s="11"/>
      <c r="C291" s="11"/>
      <c r="D291" s="11"/>
      <c r="E291" s="11"/>
      <c r="F291" s="11"/>
      <c r="G291" s="11"/>
      <c r="H291" s="11"/>
      <c r="I291" s="46"/>
      <c r="J291" s="11"/>
      <c r="K291" s="11"/>
      <c r="L291" s="11"/>
      <c r="M291" s="11"/>
      <c r="N291" s="46"/>
      <c r="O291" s="11"/>
      <c r="P291" s="11"/>
      <c r="Q291" s="11"/>
      <c r="R291" s="11"/>
      <c r="S291" s="11"/>
      <c r="T291" s="11"/>
      <c r="U291" s="11"/>
      <c r="V291" s="11"/>
      <c r="W291" s="11"/>
      <c r="X291" s="11"/>
      <c r="Y291" s="11"/>
      <c r="Z291" s="11"/>
    </row>
    <row r="292" spans="1:26" ht="14.25" customHeight="1">
      <c r="A292" s="11"/>
      <c r="B292" s="11"/>
      <c r="C292" s="11"/>
      <c r="D292" s="11"/>
      <c r="E292" s="11"/>
      <c r="F292" s="11"/>
      <c r="G292" s="11"/>
      <c r="H292" s="11"/>
      <c r="I292" s="46"/>
      <c r="J292" s="11"/>
      <c r="K292" s="11"/>
      <c r="L292" s="11"/>
      <c r="M292" s="11"/>
      <c r="N292" s="46"/>
      <c r="O292" s="11"/>
      <c r="P292" s="11"/>
      <c r="Q292" s="11"/>
      <c r="R292" s="11"/>
      <c r="S292" s="11"/>
      <c r="T292" s="11"/>
      <c r="U292" s="11"/>
      <c r="V292" s="11"/>
      <c r="W292" s="11"/>
      <c r="X292" s="11"/>
      <c r="Y292" s="11"/>
      <c r="Z292" s="11"/>
    </row>
    <row r="293" spans="1:26" ht="14.25" customHeight="1">
      <c r="A293" s="11"/>
      <c r="B293" s="11"/>
      <c r="C293" s="11"/>
      <c r="D293" s="11"/>
      <c r="E293" s="11"/>
      <c r="F293" s="11"/>
      <c r="G293" s="11"/>
      <c r="H293" s="11"/>
      <c r="I293" s="46"/>
      <c r="J293" s="11"/>
      <c r="K293" s="11"/>
      <c r="L293" s="11"/>
      <c r="M293" s="11"/>
      <c r="N293" s="46"/>
      <c r="O293" s="11"/>
      <c r="P293" s="11"/>
      <c r="Q293" s="11"/>
      <c r="R293" s="11"/>
      <c r="S293" s="11"/>
      <c r="T293" s="11"/>
      <c r="U293" s="11"/>
      <c r="V293" s="11"/>
      <c r="W293" s="11"/>
      <c r="X293" s="11"/>
      <c r="Y293" s="11"/>
      <c r="Z293" s="11"/>
    </row>
    <row r="294" spans="1:26" ht="14.25" customHeight="1">
      <c r="A294" s="11"/>
      <c r="B294" s="11"/>
      <c r="C294" s="11"/>
      <c r="D294" s="11"/>
      <c r="E294" s="11"/>
      <c r="F294" s="11"/>
      <c r="G294" s="11"/>
      <c r="H294" s="11"/>
      <c r="I294" s="46"/>
      <c r="J294" s="11"/>
      <c r="K294" s="11"/>
      <c r="L294" s="11"/>
      <c r="M294" s="11"/>
      <c r="N294" s="46"/>
      <c r="O294" s="11"/>
      <c r="P294" s="11"/>
      <c r="Q294" s="11"/>
      <c r="R294" s="11"/>
      <c r="S294" s="11"/>
      <c r="T294" s="11"/>
      <c r="U294" s="11"/>
      <c r="V294" s="11"/>
      <c r="W294" s="11"/>
      <c r="X294" s="11"/>
      <c r="Y294" s="11"/>
      <c r="Z294" s="11"/>
    </row>
    <row r="295" spans="1:26" ht="14.25" customHeight="1">
      <c r="A295" s="11"/>
      <c r="B295" s="11"/>
      <c r="C295" s="11"/>
      <c r="D295" s="11"/>
      <c r="E295" s="11"/>
      <c r="F295" s="11"/>
      <c r="G295" s="11"/>
      <c r="H295" s="11"/>
      <c r="I295" s="46"/>
      <c r="J295" s="11"/>
      <c r="K295" s="11"/>
      <c r="L295" s="11"/>
      <c r="M295" s="11"/>
      <c r="N295" s="46"/>
      <c r="O295" s="11"/>
      <c r="P295" s="11"/>
      <c r="Q295" s="11"/>
      <c r="R295" s="11"/>
      <c r="S295" s="11"/>
      <c r="T295" s="11"/>
      <c r="U295" s="11"/>
      <c r="V295" s="11"/>
      <c r="W295" s="11"/>
      <c r="X295" s="11"/>
      <c r="Y295" s="11"/>
      <c r="Z295" s="11"/>
    </row>
    <row r="296" spans="1:26" ht="14.25" customHeight="1">
      <c r="A296" s="11"/>
      <c r="B296" s="11"/>
      <c r="C296" s="11"/>
      <c r="D296" s="11"/>
      <c r="E296" s="11"/>
      <c r="F296" s="11"/>
      <c r="G296" s="11"/>
      <c r="H296" s="11"/>
      <c r="I296" s="46"/>
      <c r="J296" s="11"/>
      <c r="K296" s="11"/>
      <c r="L296" s="11"/>
      <c r="M296" s="11"/>
      <c r="N296" s="46"/>
      <c r="O296" s="11"/>
      <c r="P296" s="11"/>
      <c r="Q296" s="11"/>
      <c r="R296" s="11"/>
      <c r="S296" s="11"/>
      <c r="T296" s="11"/>
      <c r="U296" s="11"/>
      <c r="V296" s="11"/>
      <c r="W296" s="11"/>
      <c r="X296" s="11"/>
      <c r="Y296" s="11"/>
      <c r="Z296" s="11"/>
    </row>
    <row r="297" spans="1:26" ht="14.25" customHeight="1">
      <c r="A297" s="11"/>
      <c r="B297" s="11"/>
      <c r="C297" s="11"/>
      <c r="D297" s="11"/>
      <c r="E297" s="11"/>
      <c r="F297" s="11"/>
      <c r="G297" s="11"/>
      <c r="H297" s="11"/>
      <c r="I297" s="46"/>
      <c r="J297" s="11"/>
      <c r="K297" s="11"/>
      <c r="L297" s="11"/>
      <c r="M297" s="11"/>
      <c r="N297" s="46"/>
      <c r="O297" s="11"/>
      <c r="P297" s="11"/>
      <c r="Q297" s="11"/>
      <c r="R297" s="11"/>
      <c r="S297" s="11"/>
      <c r="T297" s="11"/>
      <c r="U297" s="11"/>
      <c r="V297" s="11"/>
      <c r="W297" s="11"/>
      <c r="X297" s="11"/>
      <c r="Y297" s="11"/>
      <c r="Z297" s="11"/>
    </row>
    <row r="298" spans="1:26" ht="14.25" customHeight="1">
      <c r="A298" s="11"/>
      <c r="B298" s="11"/>
      <c r="C298" s="11"/>
      <c r="D298" s="11"/>
      <c r="E298" s="11"/>
      <c r="F298" s="11"/>
      <c r="G298" s="11"/>
      <c r="H298" s="11"/>
      <c r="I298" s="46"/>
      <c r="J298" s="11"/>
      <c r="K298" s="11"/>
      <c r="L298" s="11"/>
      <c r="M298" s="11"/>
      <c r="N298" s="46"/>
      <c r="O298" s="11"/>
      <c r="P298" s="11"/>
      <c r="Q298" s="11"/>
      <c r="R298" s="11"/>
      <c r="S298" s="11"/>
      <c r="T298" s="11"/>
      <c r="U298" s="11"/>
      <c r="V298" s="11"/>
      <c r="W298" s="11"/>
      <c r="X298" s="11"/>
      <c r="Y298" s="11"/>
      <c r="Z298" s="11"/>
    </row>
    <row r="299" spans="1:26" ht="14.25" customHeight="1">
      <c r="A299" s="11"/>
      <c r="B299" s="11"/>
      <c r="C299" s="11"/>
      <c r="D299" s="11"/>
      <c r="E299" s="11"/>
      <c r="F299" s="11"/>
      <c r="G299" s="11"/>
      <c r="H299" s="11"/>
      <c r="I299" s="46"/>
      <c r="J299" s="11"/>
      <c r="K299" s="11"/>
      <c r="L299" s="11"/>
      <c r="M299" s="11"/>
      <c r="N299" s="46"/>
      <c r="O299" s="11"/>
      <c r="P299" s="11"/>
      <c r="Q299" s="11"/>
      <c r="R299" s="11"/>
      <c r="S299" s="11"/>
      <c r="T299" s="11"/>
      <c r="U299" s="11"/>
      <c r="V299" s="11"/>
      <c r="W299" s="11"/>
      <c r="X299" s="11"/>
      <c r="Y299" s="11"/>
      <c r="Z299" s="11"/>
    </row>
    <row r="300" spans="1:26" ht="14.25" customHeight="1">
      <c r="A300" s="11"/>
      <c r="B300" s="11"/>
      <c r="C300" s="11"/>
      <c r="D300" s="11"/>
      <c r="E300" s="11"/>
      <c r="F300" s="11"/>
      <c r="G300" s="11"/>
      <c r="H300" s="11"/>
      <c r="I300" s="46"/>
      <c r="J300" s="11"/>
      <c r="K300" s="11"/>
      <c r="L300" s="11"/>
      <c r="M300" s="11"/>
      <c r="N300" s="46"/>
      <c r="O300" s="11"/>
      <c r="P300" s="11"/>
      <c r="Q300" s="11"/>
      <c r="R300" s="11"/>
      <c r="S300" s="11"/>
      <c r="T300" s="11"/>
      <c r="U300" s="11"/>
      <c r="V300" s="11"/>
      <c r="W300" s="11"/>
      <c r="X300" s="11"/>
      <c r="Y300" s="11"/>
      <c r="Z300" s="11"/>
    </row>
    <row r="301" spans="1:26" ht="14.25" customHeight="1">
      <c r="A301" s="11"/>
      <c r="B301" s="11"/>
      <c r="C301" s="11"/>
      <c r="D301" s="11"/>
      <c r="E301" s="11"/>
      <c r="F301" s="11"/>
      <c r="G301" s="11"/>
      <c r="H301" s="11"/>
      <c r="I301" s="46"/>
      <c r="J301" s="11"/>
      <c r="K301" s="11"/>
      <c r="L301" s="11"/>
      <c r="M301" s="11"/>
      <c r="N301" s="46"/>
      <c r="O301" s="11"/>
      <c r="P301" s="11"/>
      <c r="Q301" s="11"/>
      <c r="R301" s="11"/>
      <c r="S301" s="11"/>
      <c r="T301" s="11"/>
      <c r="U301" s="11"/>
      <c r="V301" s="11"/>
      <c r="W301" s="11"/>
      <c r="X301" s="11"/>
      <c r="Y301" s="11"/>
      <c r="Z301" s="11"/>
    </row>
    <row r="302" spans="1:26" ht="14.25" customHeight="1">
      <c r="A302" s="11"/>
      <c r="B302" s="11"/>
      <c r="C302" s="11"/>
      <c r="D302" s="11"/>
      <c r="E302" s="11"/>
      <c r="F302" s="11"/>
      <c r="G302" s="11"/>
      <c r="H302" s="11"/>
      <c r="I302" s="46"/>
      <c r="J302" s="11"/>
      <c r="K302" s="11"/>
      <c r="L302" s="11"/>
      <c r="M302" s="11"/>
      <c r="N302" s="46"/>
      <c r="O302" s="11"/>
      <c r="P302" s="11"/>
      <c r="Q302" s="11"/>
      <c r="R302" s="11"/>
      <c r="S302" s="11"/>
      <c r="T302" s="11"/>
      <c r="U302" s="11"/>
      <c r="V302" s="11"/>
      <c r="W302" s="11"/>
      <c r="X302" s="11"/>
      <c r="Y302" s="11"/>
      <c r="Z302" s="11"/>
    </row>
    <row r="303" spans="1:26" ht="14.25" customHeight="1">
      <c r="A303" s="11"/>
      <c r="B303" s="11"/>
      <c r="C303" s="11"/>
      <c r="D303" s="11"/>
      <c r="E303" s="11"/>
      <c r="F303" s="11"/>
      <c r="G303" s="11"/>
      <c r="H303" s="11"/>
      <c r="I303" s="46"/>
      <c r="J303" s="11"/>
      <c r="K303" s="11"/>
      <c r="L303" s="11"/>
      <c r="M303" s="11"/>
      <c r="N303" s="46"/>
      <c r="O303" s="11"/>
      <c r="P303" s="11"/>
      <c r="Q303" s="11"/>
      <c r="R303" s="11"/>
      <c r="S303" s="11"/>
      <c r="T303" s="11"/>
      <c r="U303" s="11"/>
      <c r="V303" s="11"/>
      <c r="W303" s="11"/>
      <c r="X303" s="11"/>
      <c r="Y303" s="11"/>
      <c r="Z303" s="11"/>
    </row>
    <row r="304" spans="1:26" ht="14.25" customHeight="1">
      <c r="A304" s="11"/>
      <c r="B304" s="11"/>
      <c r="C304" s="11"/>
      <c r="D304" s="11"/>
      <c r="E304" s="11"/>
      <c r="F304" s="11"/>
      <c r="G304" s="11"/>
      <c r="H304" s="11"/>
      <c r="I304" s="46"/>
      <c r="J304" s="11"/>
      <c r="K304" s="11"/>
      <c r="L304" s="11"/>
      <c r="M304" s="11"/>
      <c r="N304" s="46"/>
      <c r="O304" s="11"/>
      <c r="P304" s="11"/>
      <c r="Q304" s="11"/>
      <c r="R304" s="11"/>
      <c r="S304" s="11"/>
      <c r="T304" s="11"/>
      <c r="U304" s="11"/>
      <c r="V304" s="11"/>
      <c r="W304" s="11"/>
      <c r="X304" s="11"/>
      <c r="Y304" s="11"/>
      <c r="Z304" s="11"/>
    </row>
    <row r="305" spans="1:26" ht="14.25" customHeight="1">
      <c r="A305" s="11"/>
      <c r="B305" s="11"/>
      <c r="C305" s="11"/>
      <c r="D305" s="11"/>
      <c r="E305" s="11"/>
      <c r="F305" s="11"/>
      <c r="G305" s="11"/>
      <c r="H305" s="11"/>
      <c r="I305" s="46"/>
      <c r="J305" s="11"/>
      <c r="K305" s="11"/>
      <c r="L305" s="11"/>
      <c r="M305" s="11"/>
      <c r="N305" s="46"/>
      <c r="O305" s="11"/>
      <c r="P305" s="11"/>
      <c r="Q305" s="11"/>
      <c r="R305" s="11"/>
      <c r="S305" s="11"/>
      <c r="T305" s="11"/>
      <c r="U305" s="11"/>
      <c r="V305" s="11"/>
      <c r="W305" s="11"/>
      <c r="X305" s="11"/>
      <c r="Y305" s="11"/>
      <c r="Z305" s="11"/>
    </row>
    <row r="306" spans="1:26" ht="14.25" customHeight="1">
      <c r="A306" s="11"/>
      <c r="B306" s="11"/>
      <c r="C306" s="11"/>
      <c r="D306" s="11"/>
      <c r="E306" s="11"/>
      <c r="F306" s="11"/>
      <c r="G306" s="11"/>
      <c r="H306" s="11"/>
      <c r="I306" s="46"/>
      <c r="J306" s="11"/>
      <c r="K306" s="11"/>
      <c r="L306" s="11"/>
      <c r="M306" s="11"/>
      <c r="N306" s="46"/>
      <c r="O306" s="11"/>
      <c r="P306" s="11"/>
      <c r="Q306" s="11"/>
      <c r="R306" s="11"/>
      <c r="S306" s="11"/>
      <c r="T306" s="11"/>
      <c r="U306" s="11"/>
      <c r="V306" s="11"/>
      <c r="W306" s="11"/>
      <c r="X306" s="11"/>
      <c r="Y306" s="11"/>
      <c r="Z306" s="11"/>
    </row>
    <row r="307" spans="1:26" ht="14.25" customHeight="1">
      <c r="A307" s="11"/>
      <c r="B307" s="11"/>
      <c r="C307" s="11"/>
      <c r="D307" s="11"/>
      <c r="E307" s="11"/>
      <c r="F307" s="11"/>
      <c r="G307" s="11"/>
      <c r="H307" s="11"/>
      <c r="I307" s="46"/>
      <c r="J307" s="11"/>
      <c r="K307" s="11"/>
      <c r="L307" s="11"/>
      <c r="M307" s="11"/>
      <c r="N307" s="46"/>
      <c r="O307" s="11"/>
      <c r="P307" s="11"/>
      <c r="Q307" s="11"/>
      <c r="R307" s="11"/>
      <c r="S307" s="11"/>
      <c r="T307" s="11"/>
      <c r="U307" s="11"/>
      <c r="V307" s="11"/>
      <c r="W307" s="11"/>
      <c r="X307" s="11"/>
      <c r="Y307" s="11"/>
      <c r="Z307" s="11"/>
    </row>
    <row r="308" spans="1:26" ht="14.25" customHeight="1">
      <c r="A308" s="11"/>
      <c r="B308" s="11"/>
      <c r="C308" s="11"/>
      <c r="D308" s="11"/>
      <c r="E308" s="11"/>
      <c r="F308" s="11"/>
      <c r="G308" s="11"/>
      <c r="H308" s="11"/>
      <c r="I308" s="46"/>
      <c r="J308" s="11"/>
      <c r="K308" s="11"/>
      <c r="L308" s="11"/>
      <c r="M308" s="11"/>
      <c r="N308" s="46"/>
      <c r="O308" s="11"/>
      <c r="P308" s="11"/>
      <c r="Q308" s="11"/>
      <c r="R308" s="11"/>
      <c r="S308" s="11"/>
      <c r="T308" s="11"/>
      <c r="U308" s="11"/>
      <c r="V308" s="11"/>
      <c r="W308" s="11"/>
      <c r="X308" s="11"/>
      <c r="Y308" s="11"/>
      <c r="Z308" s="11"/>
    </row>
    <row r="309" spans="1:26" ht="14.25" customHeight="1">
      <c r="A309" s="11"/>
      <c r="B309" s="11"/>
      <c r="C309" s="11"/>
      <c r="D309" s="11"/>
      <c r="E309" s="11"/>
      <c r="F309" s="11"/>
      <c r="G309" s="11"/>
      <c r="H309" s="11"/>
      <c r="I309" s="46"/>
      <c r="J309" s="11"/>
      <c r="K309" s="11"/>
      <c r="L309" s="11"/>
      <c r="M309" s="11"/>
      <c r="N309" s="46"/>
      <c r="O309" s="11"/>
      <c r="P309" s="11"/>
      <c r="Q309" s="11"/>
      <c r="R309" s="11"/>
      <c r="S309" s="11"/>
      <c r="T309" s="11"/>
      <c r="U309" s="11"/>
      <c r="V309" s="11"/>
      <c r="W309" s="11"/>
      <c r="X309" s="11"/>
      <c r="Y309" s="11"/>
      <c r="Z309" s="11"/>
    </row>
    <row r="310" spans="1:26" ht="14.25" customHeight="1">
      <c r="A310" s="11"/>
      <c r="B310" s="11"/>
      <c r="C310" s="11"/>
      <c r="D310" s="11"/>
      <c r="E310" s="11"/>
      <c r="F310" s="11"/>
      <c r="G310" s="11"/>
      <c r="H310" s="11"/>
      <c r="I310" s="46"/>
      <c r="J310" s="11"/>
      <c r="K310" s="11"/>
      <c r="L310" s="11"/>
      <c r="M310" s="11"/>
      <c r="N310" s="46"/>
      <c r="O310" s="11"/>
      <c r="P310" s="11"/>
      <c r="Q310" s="11"/>
      <c r="R310" s="11"/>
      <c r="S310" s="11"/>
      <c r="T310" s="11"/>
      <c r="U310" s="11"/>
      <c r="V310" s="11"/>
      <c r="W310" s="11"/>
      <c r="X310" s="11"/>
      <c r="Y310" s="11"/>
      <c r="Z310" s="11"/>
    </row>
    <row r="311" spans="1:26" ht="14.25" customHeight="1">
      <c r="A311" s="11"/>
      <c r="B311" s="11"/>
      <c r="C311" s="11"/>
      <c r="D311" s="11"/>
      <c r="E311" s="11"/>
      <c r="F311" s="11"/>
      <c r="G311" s="11"/>
      <c r="H311" s="11"/>
      <c r="I311" s="46"/>
      <c r="J311" s="11"/>
      <c r="K311" s="11"/>
      <c r="L311" s="11"/>
      <c r="M311" s="11"/>
      <c r="N311" s="46"/>
      <c r="O311" s="11"/>
      <c r="P311" s="11"/>
      <c r="Q311" s="11"/>
      <c r="R311" s="11"/>
      <c r="S311" s="11"/>
      <c r="T311" s="11"/>
      <c r="U311" s="11"/>
      <c r="V311" s="11"/>
      <c r="W311" s="11"/>
      <c r="X311" s="11"/>
      <c r="Y311" s="11"/>
      <c r="Z311" s="11"/>
    </row>
    <row r="312" spans="1:26" ht="14.25" customHeight="1">
      <c r="A312" s="11"/>
      <c r="B312" s="11"/>
      <c r="C312" s="11"/>
      <c r="D312" s="11"/>
      <c r="E312" s="11"/>
      <c r="F312" s="11"/>
      <c r="G312" s="11"/>
      <c r="H312" s="11"/>
      <c r="I312" s="46"/>
      <c r="J312" s="11"/>
      <c r="K312" s="11"/>
      <c r="L312" s="11"/>
      <c r="M312" s="11"/>
      <c r="N312" s="46"/>
      <c r="O312" s="11"/>
      <c r="P312" s="11"/>
      <c r="Q312" s="11"/>
      <c r="R312" s="11"/>
      <c r="S312" s="11"/>
      <c r="T312" s="11"/>
      <c r="U312" s="11"/>
      <c r="V312" s="11"/>
      <c r="W312" s="11"/>
      <c r="X312" s="11"/>
      <c r="Y312" s="11"/>
      <c r="Z312" s="11"/>
    </row>
    <row r="313" spans="1:26" ht="14.25" customHeight="1">
      <c r="A313" s="11"/>
      <c r="B313" s="11"/>
      <c r="C313" s="11"/>
      <c r="D313" s="11"/>
      <c r="E313" s="11"/>
      <c r="F313" s="11"/>
      <c r="G313" s="11"/>
      <c r="H313" s="11"/>
      <c r="I313" s="46"/>
      <c r="J313" s="11"/>
      <c r="K313" s="11"/>
      <c r="L313" s="11"/>
      <c r="M313" s="11"/>
      <c r="N313" s="46"/>
      <c r="O313" s="11"/>
      <c r="P313" s="11"/>
      <c r="Q313" s="11"/>
      <c r="R313" s="11"/>
      <c r="S313" s="11"/>
      <c r="T313" s="11"/>
      <c r="U313" s="11"/>
      <c r="V313" s="11"/>
      <c r="W313" s="11"/>
      <c r="X313" s="11"/>
      <c r="Y313" s="11"/>
      <c r="Z313" s="11"/>
    </row>
    <row r="314" spans="1:26" ht="14.25" customHeight="1">
      <c r="A314" s="11"/>
      <c r="B314" s="11"/>
      <c r="C314" s="11"/>
      <c r="D314" s="11"/>
      <c r="E314" s="11"/>
      <c r="F314" s="11"/>
      <c r="G314" s="11"/>
      <c r="H314" s="11"/>
      <c r="I314" s="46"/>
      <c r="J314" s="11"/>
      <c r="K314" s="11"/>
      <c r="L314" s="11"/>
      <c r="M314" s="11"/>
      <c r="N314" s="46"/>
      <c r="O314" s="11"/>
      <c r="P314" s="11"/>
      <c r="Q314" s="11"/>
      <c r="R314" s="11"/>
      <c r="S314" s="11"/>
      <c r="T314" s="11"/>
      <c r="U314" s="11"/>
      <c r="V314" s="11"/>
      <c r="W314" s="11"/>
      <c r="X314" s="11"/>
      <c r="Y314" s="11"/>
      <c r="Z314" s="11"/>
    </row>
    <row r="315" spans="1:26" ht="14.25" customHeight="1">
      <c r="A315" s="11"/>
      <c r="B315" s="11"/>
      <c r="C315" s="11"/>
      <c r="D315" s="11"/>
      <c r="E315" s="11"/>
      <c r="F315" s="11"/>
      <c r="G315" s="11"/>
      <c r="H315" s="11"/>
      <c r="I315" s="46"/>
      <c r="J315" s="11"/>
      <c r="K315" s="11"/>
      <c r="L315" s="11"/>
      <c r="M315" s="11"/>
      <c r="N315" s="46"/>
      <c r="O315" s="11"/>
      <c r="P315" s="11"/>
      <c r="Q315" s="11"/>
      <c r="R315" s="11"/>
      <c r="S315" s="11"/>
      <c r="T315" s="11"/>
      <c r="U315" s="11"/>
      <c r="V315" s="11"/>
      <c r="W315" s="11"/>
      <c r="X315" s="11"/>
      <c r="Y315" s="11"/>
      <c r="Z315" s="11"/>
    </row>
    <row r="316" spans="1:26" ht="14.25" customHeight="1">
      <c r="A316" s="11"/>
      <c r="B316" s="11"/>
      <c r="C316" s="11"/>
      <c r="D316" s="11"/>
      <c r="E316" s="11"/>
      <c r="F316" s="11"/>
      <c r="G316" s="11"/>
      <c r="H316" s="11"/>
      <c r="I316" s="46"/>
      <c r="J316" s="11"/>
      <c r="K316" s="11"/>
      <c r="L316" s="11"/>
      <c r="M316" s="11"/>
      <c r="N316" s="46"/>
      <c r="O316" s="11"/>
      <c r="P316" s="11"/>
      <c r="Q316" s="11"/>
      <c r="R316" s="11"/>
      <c r="S316" s="11"/>
      <c r="T316" s="11"/>
      <c r="U316" s="11"/>
      <c r="V316" s="11"/>
      <c r="W316" s="11"/>
      <c r="X316" s="11"/>
      <c r="Y316" s="11"/>
      <c r="Z316" s="11"/>
    </row>
    <row r="317" spans="1:26" ht="14.25" customHeight="1">
      <c r="A317" s="11"/>
      <c r="B317" s="11"/>
      <c r="C317" s="11"/>
      <c r="D317" s="11"/>
      <c r="E317" s="11"/>
      <c r="F317" s="11"/>
      <c r="G317" s="11"/>
      <c r="H317" s="11"/>
      <c r="I317" s="46"/>
      <c r="J317" s="11"/>
      <c r="K317" s="11"/>
      <c r="L317" s="11"/>
      <c r="M317" s="11"/>
      <c r="N317" s="46"/>
      <c r="O317" s="11"/>
      <c r="P317" s="11"/>
      <c r="Q317" s="11"/>
      <c r="R317" s="11"/>
      <c r="S317" s="11"/>
      <c r="T317" s="11"/>
      <c r="U317" s="11"/>
      <c r="V317" s="11"/>
      <c r="W317" s="11"/>
      <c r="X317" s="11"/>
      <c r="Y317" s="11"/>
      <c r="Z317" s="11"/>
    </row>
    <row r="318" spans="1:26" ht="14.25" customHeight="1">
      <c r="A318" s="11"/>
      <c r="B318" s="11"/>
      <c r="C318" s="11"/>
      <c r="D318" s="11"/>
      <c r="E318" s="11"/>
      <c r="F318" s="11"/>
      <c r="G318" s="11"/>
      <c r="H318" s="11"/>
      <c r="I318" s="46"/>
      <c r="J318" s="11"/>
      <c r="K318" s="11"/>
      <c r="L318" s="11"/>
      <c r="M318" s="11"/>
      <c r="N318" s="46"/>
      <c r="O318" s="11"/>
      <c r="P318" s="11"/>
      <c r="Q318" s="11"/>
      <c r="R318" s="11"/>
      <c r="S318" s="11"/>
      <c r="T318" s="11"/>
      <c r="U318" s="11"/>
      <c r="V318" s="11"/>
      <c r="W318" s="11"/>
      <c r="X318" s="11"/>
      <c r="Y318" s="11"/>
      <c r="Z318" s="11"/>
    </row>
    <row r="319" spans="1:26" ht="14.25" customHeight="1">
      <c r="A319" s="11"/>
      <c r="B319" s="11"/>
      <c r="C319" s="11"/>
      <c r="D319" s="11"/>
      <c r="E319" s="11"/>
      <c r="F319" s="11"/>
      <c r="G319" s="11"/>
      <c r="H319" s="11"/>
      <c r="I319" s="46"/>
      <c r="J319" s="11"/>
      <c r="K319" s="11"/>
      <c r="L319" s="11"/>
      <c r="M319" s="11"/>
      <c r="N319" s="46"/>
      <c r="O319" s="11"/>
      <c r="P319" s="11"/>
      <c r="Q319" s="11"/>
      <c r="R319" s="11"/>
      <c r="S319" s="11"/>
      <c r="T319" s="11"/>
      <c r="U319" s="11"/>
      <c r="V319" s="11"/>
      <c r="W319" s="11"/>
      <c r="X319" s="11"/>
      <c r="Y319" s="11"/>
      <c r="Z319" s="11"/>
    </row>
    <row r="320" spans="1:26" ht="14.25" customHeight="1">
      <c r="A320" s="11"/>
      <c r="B320" s="11"/>
      <c r="C320" s="11"/>
      <c r="D320" s="11"/>
      <c r="E320" s="11"/>
      <c r="F320" s="11"/>
      <c r="G320" s="11"/>
      <c r="H320" s="11"/>
      <c r="I320" s="46"/>
      <c r="J320" s="11"/>
      <c r="K320" s="11"/>
      <c r="L320" s="11"/>
      <c r="M320" s="11"/>
      <c r="N320" s="46"/>
      <c r="O320" s="11"/>
      <c r="P320" s="11"/>
      <c r="Q320" s="11"/>
      <c r="R320" s="11"/>
      <c r="S320" s="11"/>
      <c r="T320" s="11"/>
      <c r="U320" s="11"/>
      <c r="V320" s="11"/>
      <c r="W320" s="11"/>
      <c r="X320" s="11"/>
      <c r="Y320" s="11"/>
      <c r="Z320" s="11"/>
    </row>
    <row r="321" spans="1:26" ht="14.25" customHeight="1">
      <c r="A321" s="11"/>
      <c r="B321" s="11"/>
      <c r="C321" s="11"/>
      <c r="D321" s="11"/>
      <c r="E321" s="11"/>
      <c r="F321" s="11"/>
      <c r="G321" s="11"/>
      <c r="H321" s="11"/>
      <c r="I321" s="46"/>
      <c r="J321" s="11"/>
      <c r="K321" s="11"/>
      <c r="L321" s="11"/>
      <c r="M321" s="11"/>
      <c r="N321" s="46"/>
      <c r="O321" s="11"/>
      <c r="P321" s="11"/>
      <c r="Q321" s="11"/>
      <c r="R321" s="11"/>
      <c r="S321" s="11"/>
      <c r="T321" s="11"/>
      <c r="U321" s="11"/>
      <c r="V321" s="11"/>
      <c r="W321" s="11"/>
      <c r="X321" s="11"/>
      <c r="Y321" s="11"/>
      <c r="Z321" s="11"/>
    </row>
    <row r="322" spans="1:26" ht="14.25" customHeight="1">
      <c r="A322" s="11"/>
      <c r="B322" s="11"/>
      <c r="C322" s="11"/>
      <c r="D322" s="11"/>
      <c r="E322" s="11"/>
      <c r="F322" s="11"/>
      <c r="G322" s="11"/>
      <c r="H322" s="11"/>
      <c r="I322" s="46"/>
      <c r="J322" s="11"/>
      <c r="K322" s="11"/>
      <c r="L322" s="11"/>
      <c r="M322" s="11"/>
      <c r="N322" s="46"/>
      <c r="O322" s="11"/>
      <c r="P322" s="11"/>
      <c r="Q322" s="11"/>
      <c r="R322" s="11"/>
      <c r="S322" s="11"/>
      <c r="T322" s="11"/>
      <c r="U322" s="11"/>
      <c r="V322" s="11"/>
      <c r="W322" s="11"/>
      <c r="X322" s="11"/>
      <c r="Y322" s="11"/>
      <c r="Z322" s="11"/>
    </row>
    <row r="323" spans="1:26" ht="14.25" customHeight="1">
      <c r="A323" s="11"/>
      <c r="B323" s="11"/>
      <c r="C323" s="11"/>
      <c r="D323" s="11"/>
      <c r="E323" s="11"/>
      <c r="F323" s="11"/>
      <c r="G323" s="11"/>
      <c r="H323" s="11"/>
      <c r="I323" s="46"/>
      <c r="J323" s="11"/>
      <c r="K323" s="11"/>
      <c r="L323" s="11"/>
      <c r="M323" s="11"/>
      <c r="N323" s="46"/>
      <c r="O323" s="11"/>
      <c r="P323" s="11"/>
      <c r="Q323" s="11"/>
      <c r="R323" s="11"/>
      <c r="S323" s="11"/>
      <c r="T323" s="11"/>
      <c r="U323" s="11"/>
      <c r="V323" s="11"/>
      <c r="W323" s="11"/>
      <c r="X323" s="11"/>
      <c r="Y323" s="11"/>
      <c r="Z323" s="11"/>
    </row>
    <row r="324" spans="1:26" ht="14.25" customHeight="1">
      <c r="A324" s="11"/>
      <c r="B324" s="11"/>
      <c r="C324" s="11"/>
      <c r="D324" s="11"/>
      <c r="E324" s="11"/>
      <c r="F324" s="11"/>
      <c r="G324" s="11"/>
      <c r="H324" s="11"/>
      <c r="I324" s="46"/>
      <c r="J324" s="11"/>
      <c r="K324" s="11"/>
      <c r="L324" s="11"/>
      <c r="M324" s="11"/>
      <c r="N324" s="46"/>
      <c r="O324" s="11"/>
      <c r="P324" s="11"/>
      <c r="Q324" s="11"/>
      <c r="R324" s="11"/>
      <c r="S324" s="11"/>
      <c r="T324" s="11"/>
      <c r="U324" s="11"/>
      <c r="V324" s="11"/>
      <c r="W324" s="11"/>
      <c r="X324" s="11"/>
      <c r="Y324" s="11"/>
      <c r="Z324" s="11"/>
    </row>
    <row r="325" spans="1:26" ht="14.25" customHeight="1">
      <c r="A325" s="11"/>
      <c r="B325" s="11"/>
      <c r="C325" s="11"/>
      <c r="D325" s="11"/>
      <c r="E325" s="11"/>
      <c r="F325" s="11"/>
      <c r="G325" s="11"/>
      <c r="H325" s="11"/>
      <c r="I325" s="46"/>
      <c r="J325" s="11"/>
      <c r="K325" s="11"/>
      <c r="L325" s="11"/>
      <c r="M325" s="11"/>
      <c r="N325" s="46"/>
      <c r="O325" s="11"/>
      <c r="P325" s="11"/>
      <c r="Q325" s="11"/>
      <c r="R325" s="11"/>
      <c r="S325" s="11"/>
      <c r="T325" s="11"/>
      <c r="U325" s="11"/>
      <c r="V325" s="11"/>
      <c r="W325" s="11"/>
      <c r="X325" s="11"/>
      <c r="Y325" s="11"/>
      <c r="Z325" s="11"/>
    </row>
    <row r="326" spans="1:26" ht="14.25" customHeight="1">
      <c r="A326" s="11"/>
      <c r="B326" s="11"/>
      <c r="C326" s="11"/>
      <c r="D326" s="11"/>
      <c r="E326" s="11"/>
      <c r="F326" s="11"/>
      <c r="G326" s="11"/>
      <c r="H326" s="11"/>
      <c r="I326" s="46"/>
      <c r="J326" s="11"/>
      <c r="K326" s="11"/>
      <c r="L326" s="11"/>
      <c r="M326" s="11"/>
      <c r="N326" s="46"/>
      <c r="O326" s="11"/>
      <c r="P326" s="11"/>
      <c r="Q326" s="11"/>
      <c r="R326" s="11"/>
      <c r="S326" s="11"/>
      <c r="T326" s="11"/>
      <c r="U326" s="11"/>
      <c r="V326" s="11"/>
      <c r="W326" s="11"/>
      <c r="X326" s="11"/>
      <c r="Y326" s="11"/>
      <c r="Z326" s="11"/>
    </row>
    <row r="327" spans="1:26" ht="14.25" customHeight="1">
      <c r="A327" s="11"/>
      <c r="B327" s="11"/>
      <c r="C327" s="11"/>
      <c r="D327" s="11"/>
      <c r="E327" s="11"/>
      <c r="F327" s="11"/>
      <c r="G327" s="11"/>
      <c r="H327" s="11"/>
      <c r="I327" s="46"/>
      <c r="J327" s="11"/>
      <c r="K327" s="11"/>
      <c r="L327" s="11"/>
      <c r="M327" s="11"/>
      <c r="N327" s="46"/>
      <c r="O327" s="11"/>
      <c r="P327" s="11"/>
      <c r="Q327" s="11"/>
      <c r="R327" s="11"/>
      <c r="S327" s="11"/>
      <c r="T327" s="11"/>
      <c r="U327" s="11"/>
      <c r="V327" s="11"/>
      <c r="W327" s="11"/>
      <c r="X327" s="11"/>
      <c r="Y327" s="11"/>
      <c r="Z327" s="11"/>
    </row>
    <row r="328" spans="1:26" ht="14.25" customHeight="1">
      <c r="A328" s="11"/>
      <c r="B328" s="11"/>
      <c r="C328" s="11"/>
      <c r="D328" s="11"/>
      <c r="E328" s="11"/>
      <c r="F328" s="11"/>
      <c r="G328" s="11"/>
      <c r="H328" s="11"/>
      <c r="I328" s="46"/>
      <c r="J328" s="11"/>
      <c r="K328" s="11"/>
      <c r="L328" s="11"/>
      <c r="M328" s="11"/>
      <c r="N328" s="46"/>
      <c r="O328" s="11"/>
      <c r="P328" s="11"/>
      <c r="Q328" s="11"/>
      <c r="R328" s="11"/>
      <c r="S328" s="11"/>
      <c r="T328" s="11"/>
      <c r="U328" s="11"/>
      <c r="V328" s="11"/>
      <c r="W328" s="11"/>
      <c r="X328" s="11"/>
      <c r="Y328" s="11"/>
      <c r="Z328" s="11"/>
    </row>
    <row r="329" spans="1:26" ht="14.25" customHeight="1">
      <c r="A329" s="11"/>
      <c r="B329" s="11"/>
      <c r="C329" s="11"/>
      <c r="D329" s="11"/>
      <c r="E329" s="11"/>
      <c r="F329" s="11"/>
      <c r="G329" s="11"/>
      <c r="H329" s="11"/>
      <c r="I329" s="46"/>
      <c r="J329" s="11"/>
      <c r="K329" s="11"/>
      <c r="L329" s="11"/>
      <c r="M329" s="11"/>
      <c r="N329" s="46"/>
      <c r="O329" s="11"/>
      <c r="P329" s="11"/>
      <c r="Q329" s="11"/>
      <c r="R329" s="11"/>
      <c r="S329" s="11"/>
      <c r="T329" s="11"/>
      <c r="U329" s="11"/>
      <c r="V329" s="11"/>
      <c r="W329" s="11"/>
      <c r="X329" s="11"/>
      <c r="Y329" s="11"/>
      <c r="Z329" s="11"/>
    </row>
    <row r="330" spans="1:26" ht="14.25" customHeight="1">
      <c r="A330" s="11"/>
      <c r="B330" s="11"/>
      <c r="C330" s="11"/>
      <c r="D330" s="11"/>
      <c r="E330" s="11"/>
      <c r="F330" s="11"/>
      <c r="G330" s="11"/>
      <c r="H330" s="11"/>
      <c r="I330" s="46"/>
      <c r="J330" s="11"/>
      <c r="K330" s="11"/>
      <c r="L330" s="11"/>
      <c r="M330" s="11"/>
      <c r="N330" s="46"/>
      <c r="O330" s="11"/>
      <c r="P330" s="11"/>
      <c r="Q330" s="11"/>
      <c r="R330" s="11"/>
      <c r="S330" s="11"/>
      <c r="T330" s="11"/>
      <c r="U330" s="11"/>
      <c r="V330" s="11"/>
      <c r="W330" s="11"/>
      <c r="X330" s="11"/>
      <c r="Y330" s="11"/>
      <c r="Z330" s="11"/>
    </row>
    <row r="331" spans="1:26" ht="14.25" customHeight="1">
      <c r="A331" s="11"/>
      <c r="B331" s="11"/>
      <c r="C331" s="11"/>
      <c r="D331" s="11"/>
      <c r="E331" s="11"/>
      <c r="F331" s="11"/>
      <c r="G331" s="11"/>
      <c r="H331" s="11"/>
      <c r="I331" s="46"/>
      <c r="J331" s="11"/>
      <c r="K331" s="11"/>
      <c r="L331" s="11"/>
      <c r="M331" s="11"/>
      <c r="N331" s="46"/>
      <c r="O331" s="11"/>
      <c r="P331" s="11"/>
      <c r="Q331" s="11"/>
      <c r="R331" s="11"/>
      <c r="S331" s="11"/>
      <c r="T331" s="11"/>
      <c r="U331" s="11"/>
      <c r="V331" s="11"/>
      <c r="W331" s="11"/>
      <c r="X331" s="11"/>
      <c r="Y331" s="11"/>
      <c r="Z331" s="11"/>
    </row>
    <row r="332" spans="1:26" ht="14.25" customHeight="1">
      <c r="A332" s="11"/>
      <c r="B332" s="11"/>
      <c r="C332" s="11"/>
      <c r="D332" s="11"/>
      <c r="E332" s="11"/>
      <c r="F332" s="11"/>
      <c r="G332" s="11"/>
      <c r="H332" s="11"/>
      <c r="I332" s="46"/>
      <c r="J332" s="11"/>
      <c r="K332" s="11"/>
      <c r="L332" s="11"/>
      <c r="M332" s="11"/>
      <c r="N332" s="46"/>
      <c r="O332" s="11"/>
      <c r="P332" s="11"/>
      <c r="Q332" s="11"/>
      <c r="R332" s="11"/>
      <c r="S332" s="11"/>
      <c r="T332" s="11"/>
      <c r="U332" s="11"/>
      <c r="V332" s="11"/>
      <c r="W332" s="11"/>
      <c r="X332" s="11"/>
      <c r="Y332" s="11"/>
      <c r="Z332" s="11"/>
    </row>
    <row r="333" spans="1:26" ht="14.25" customHeight="1">
      <c r="A333" s="11"/>
      <c r="B333" s="11"/>
      <c r="C333" s="11"/>
      <c r="D333" s="11"/>
      <c r="E333" s="11"/>
      <c r="F333" s="11"/>
      <c r="G333" s="11"/>
      <c r="H333" s="11"/>
      <c r="I333" s="46"/>
      <c r="J333" s="11"/>
      <c r="K333" s="11"/>
      <c r="L333" s="11"/>
      <c r="M333" s="11"/>
      <c r="N333" s="46"/>
      <c r="O333" s="11"/>
      <c r="P333" s="11"/>
      <c r="Q333" s="11"/>
      <c r="R333" s="11"/>
      <c r="S333" s="11"/>
      <c r="T333" s="11"/>
      <c r="U333" s="11"/>
      <c r="V333" s="11"/>
      <c r="W333" s="11"/>
      <c r="X333" s="11"/>
      <c r="Y333" s="11"/>
      <c r="Z333" s="11"/>
    </row>
    <row r="334" spans="1:26" ht="14.25" customHeight="1">
      <c r="A334" s="11"/>
      <c r="B334" s="11"/>
      <c r="C334" s="11"/>
      <c r="D334" s="11"/>
      <c r="E334" s="11"/>
      <c r="F334" s="11"/>
      <c r="G334" s="11"/>
      <c r="H334" s="11"/>
      <c r="I334" s="46"/>
      <c r="J334" s="11"/>
      <c r="K334" s="11"/>
      <c r="L334" s="11"/>
      <c r="M334" s="11"/>
      <c r="N334" s="46"/>
      <c r="O334" s="11"/>
      <c r="P334" s="11"/>
      <c r="Q334" s="11"/>
      <c r="R334" s="11"/>
      <c r="S334" s="11"/>
      <c r="T334" s="11"/>
      <c r="U334" s="11"/>
      <c r="V334" s="11"/>
      <c r="W334" s="11"/>
      <c r="X334" s="11"/>
      <c r="Y334" s="11"/>
      <c r="Z334" s="11"/>
    </row>
    <row r="335" spans="1:26" ht="14.25" customHeight="1">
      <c r="A335" s="11"/>
      <c r="B335" s="11"/>
      <c r="C335" s="11"/>
      <c r="D335" s="11"/>
      <c r="E335" s="11"/>
      <c r="F335" s="11"/>
      <c r="G335" s="11"/>
      <c r="H335" s="11"/>
      <c r="I335" s="46"/>
      <c r="J335" s="11"/>
      <c r="K335" s="11"/>
      <c r="L335" s="11"/>
      <c r="M335" s="11"/>
      <c r="N335" s="46"/>
      <c r="O335" s="11"/>
      <c r="P335" s="11"/>
      <c r="Q335" s="11"/>
      <c r="R335" s="11"/>
      <c r="S335" s="11"/>
      <c r="T335" s="11"/>
      <c r="U335" s="11"/>
      <c r="V335" s="11"/>
      <c r="W335" s="11"/>
      <c r="X335" s="11"/>
      <c r="Y335" s="11"/>
      <c r="Z335" s="11"/>
    </row>
    <row r="336" spans="1:26" ht="14.25" customHeight="1">
      <c r="A336" s="11"/>
      <c r="B336" s="11"/>
      <c r="C336" s="11"/>
      <c r="D336" s="11"/>
      <c r="E336" s="11"/>
      <c r="F336" s="11"/>
      <c r="G336" s="11"/>
      <c r="H336" s="11"/>
      <c r="I336" s="46"/>
      <c r="J336" s="11"/>
      <c r="K336" s="11"/>
      <c r="L336" s="11"/>
      <c r="M336" s="11"/>
      <c r="N336" s="46"/>
      <c r="O336" s="11"/>
      <c r="P336" s="11"/>
      <c r="Q336" s="11"/>
      <c r="R336" s="11"/>
      <c r="S336" s="11"/>
      <c r="T336" s="11"/>
      <c r="U336" s="11"/>
      <c r="V336" s="11"/>
      <c r="W336" s="11"/>
      <c r="X336" s="11"/>
      <c r="Y336" s="11"/>
      <c r="Z336" s="11"/>
    </row>
    <row r="337" spans="1:26" ht="14.25" customHeight="1">
      <c r="A337" s="11"/>
      <c r="B337" s="11"/>
      <c r="C337" s="11"/>
      <c r="D337" s="11"/>
      <c r="E337" s="11"/>
      <c r="F337" s="11"/>
      <c r="G337" s="11"/>
      <c r="H337" s="11"/>
      <c r="I337" s="46"/>
      <c r="J337" s="11"/>
      <c r="K337" s="11"/>
      <c r="L337" s="11"/>
      <c r="M337" s="11"/>
      <c r="N337" s="46"/>
      <c r="O337" s="11"/>
      <c r="P337" s="11"/>
      <c r="Q337" s="11"/>
      <c r="R337" s="11"/>
      <c r="S337" s="11"/>
      <c r="T337" s="11"/>
      <c r="U337" s="11"/>
      <c r="V337" s="11"/>
      <c r="W337" s="11"/>
      <c r="X337" s="11"/>
      <c r="Y337" s="11"/>
      <c r="Z337" s="11"/>
    </row>
    <row r="338" spans="1:26" ht="14.25" customHeight="1">
      <c r="A338" s="11"/>
      <c r="B338" s="11"/>
      <c r="C338" s="11"/>
      <c r="D338" s="11"/>
      <c r="E338" s="11"/>
      <c r="F338" s="11"/>
      <c r="G338" s="11"/>
      <c r="H338" s="11"/>
      <c r="I338" s="46"/>
      <c r="J338" s="11"/>
      <c r="K338" s="11"/>
      <c r="L338" s="11"/>
      <c r="M338" s="11"/>
      <c r="N338" s="46"/>
      <c r="O338" s="11"/>
      <c r="P338" s="11"/>
      <c r="Q338" s="11"/>
      <c r="R338" s="11"/>
      <c r="S338" s="11"/>
      <c r="T338" s="11"/>
      <c r="U338" s="11"/>
      <c r="V338" s="11"/>
      <c r="W338" s="11"/>
      <c r="X338" s="11"/>
      <c r="Y338" s="11"/>
      <c r="Z338" s="11"/>
    </row>
    <row r="339" spans="1:26" ht="14.25" customHeight="1">
      <c r="A339" s="11"/>
      <c r="B339" s="11"/>
      <c r="C339" s="11"/>
      <c r="D339" s="11"/>
      <c r="E339" s="11"/>
      <c r="F339" s="11"/>
      <c r="G339" s="11"/>
      <c r="H339" s="11"/>
      <c r="I339" s="46"/>
      <c r="J339" s="11"/>
      <c r="K339" s="11"/>
      <c r="L339" s="11"/>
      <c r="M339" s="11"/>
      <c r="N339" s="46"/>
      <c r="O339" s="11"/>
      <c r="P339" s="11"/>
      <c r="Q339" s="11"/>
      <c r="R339" s="11"/>
      <c r="S339" s="11"/>
      <c r="T339" s="11"/>
      <c r="U339" s="11"/>
      <c r="V339" s="11"/>
      <c r="W339" s="11"/>
      <c r="X339" s="11"/>
      <c r="Y339" s="11"/>
      <c r="Z339" s="11"/>
    </row>
    <row r="340" spans="1:26" ht="14.25" customHeight="1">
      <c r="A340" s="11"/>
      <c r="B340" s="11"/>
      <c r="C340" s="11"/>
      <c r="D340" s="11"/>
      <c r="E340" s="11"/>
      <c r="F340" s="11"/>
      <c r="G340" s="11"/>
      <c r="H340" s="11"/>
      <c r="I340" s="46"/>
      <c r="J340" s="11"/>
      <c r="K340" s="11"/>
      <c r="L340" s="11"/>
      <c r="M340" s="11"/>
      <c r="N340" s="46"/>
      <c r="O340" s="11"/>
      <c r="P340" s="11"/>
      <c r="Q340" s="11"/>
      <c r="R340" s="11"/>
      <c r="S340" s="11"/>
      <c r="T340" s="11"/>
      <c r="U340" s="11"/>
      <c r="V340" s="11"/>
      <c r="W340" s="11"/>
      <c r="X340" s="11"/>
      <c r="Y340" s="11"/>
      <c r="Z340" s="11"/>
    </row>
    <row r="341" spans="1:26" ht="14.25" customHeight="1">
      <c r="A341" s="11"/>
      <c r="B341" s="11"/>
      <c r="C341" s="11"/>
      <c r="D341" s="11"/>
      <c r="E341" s="11"/>
      <c r="F341" s="11"/>
      <c r="G341" s="11"/>
      <c r="H341" s="11"/>
      <c r="I341" s="46"/>
      <c r="J341" s="11"/>
      <c r="K341" s="11"/>
      <c r="L341" s="11"/>
      <c r="M341" s="11"/>
      <c r="N341" s="46"/>
      <c r="O341" s="11"/>
      <c r="P341" s="11"/>
      <c r="Q341" s="11"/>
      <c r="R341" s="11"/>
      <c r="S341" s="11"/>
      <c r="T341" s="11"/>
      <c r="U341" s="11"/>
      <c r="V341" s="11"/>
      <c r="W341" s="11"/>
      <c r="X341" s="11"/>
      <c r="Y341" s="11"/>
      <c r="Z341" s="11"/>
    </row>
    <row r="342" spans="1:26" ht="14.25" customHeight="1">
      <c r="A342" s="11"/>
      <c r="B342" s="11"/>
      <c r="C342" s="11"/>
      <c r="D342" s="11"/>
      <c r="E342" s="11"/>
      <c r="F342" s="11"/>
      <c r="G342" s="11"/>
      <c r="H342" s="11"/>
      <c r="I342" s="46"/>
      <c r="J342" s="11"/>
      <c r="K342" s="11"/>
      <c r="L342" s="11"/>
      <c r="M342" s="11"/>
      <c r="N342" s="46"/>
      <c r="O342" s="11"/>
      <c r="P342" s="11"/>
      <c r="Q342" s="11"/>
      <c r="R342" s="11"/>
      <c r="S342" s="11"/>
      <c r="T342" s="11"/>
      <c r="U342" s="11"/>
      <c r="V342" s="11"/>
      <c r="W342" s="11"/>
      <c r="X342" s="11"/>
      <c r="Y342" s="11"/>
      <c r="Z342" s="11"/>
    </row>
    <row r="343" spans="1:26" ht="14.25" customHeight="1">
      <c r="A343" s="11"/>
      <c r="B343" s="11"/>
      <c r="C343" s="11"/>
      <c r="D343" s="11"/>
      <c r="E343" s="11"/>
      <c r="F343" s="11"/>
      <c r="G343" s="11"/>
      <c r="H343" s="11"/>
      <c r="I343" s="46"/>
      <c r="J343" s="11"/>
      <c r="K343" s="11"/>
      <c r="L343" s="11"/>
      <c r="M343" s="11"/>
      <c r="N343" s="46"/>
      <c r="O343" s="11"/>
      <c r="P343" s="11"/>
      <c r="Q343" s="11"/>
      <c r="R343" s="11"/>
      <c r="S343" s="11"/>
      <c r="T343" s="11"/>
      <c r="U343" s="11"/>
      <c r="V343" s="11"/>
      <c r="W343" s="11"/>
      <c r="X343" s="11"/>
      <c r="Y343" s="11"/>
      <c r="Z343" s="11"/>
    </row>
    <row r="344" spans="1:26" ht="14.25" customHeight="1">
      <c r="A344" s="11"/>
      <c r="B344" s="11"/>
      <c r="C344" s="11"/>
      <c r="D344" s="11"/>
      <c r="E344" s="11"/>
      <c r="F344" s="11"/>
      <c r="G344" s="11"/>
      <c r="H344" s="11"/>
      <c r="I344" s="46"/>
      <c r="J344" s="11"/>
      <c r="K344" s="11"/>
      <c r="L344" s="11"/>
      <c r="M344" s="11"/>
      <c r="N344" s="46"/>
      <c r="O344" s="11"/>
      <c r="P344" s="11"/>
      <c r="Q344" s="11"/>
      <c r="R344" s="11"/>
      <c r="S344" s="11"/>
      <c r="T344" s="11"/>
      <c r="U344" s="11"/>
      <c r="V344" s="11"/>
      <c r="W344" s="11"/>
      <c r="X344" s="11"/>
      <c r="Y344" s="11"/>
      <c r="Z344" s="11"/>
    </row>
    <row r="345" spans="1:26" ht="14.25" customHeight="1">
      <c r="A345" s="11"/>
      <c r="B345" s="11"/>
      <c r="C345" s="11"/>
      <c r="D345" s="11"/>
      <c r="E345" s="11"/>
      <c r="F345" s="11"/>
      <c r="G345" s="11"/>
      <c r="H345" s="11"/>
      <c r="I345" s="46"/>
      <c r="J345" s="11"/>
      <c r="K345" s="11"/>
      <c r="L345" s="11"/>
      <c r="M345" s="11"/>
      <c r="N345" s="46"/>
      <c r="O345" s="11"/>
      <c r="P345" s="11"/>
      <c r="Q345" s="11"/>
      <c r="R345" s="11"/>
      <c r="S345" s="11"/>
      <c r="T345" s="11"/>
      <c r="U345" s="11"/>
      <c r="V345" s="11"/>
      <c r="W345" s="11"/>
      <c r="X345" s="11"/>
      <c r="Y345" s="11"/>
      <c r="Z345" s="11"/>
    </row>
    <row r="346" spans="1:26" ht="14.25" customHeight="1">
      <c r="A346" s="11"/>
      <c r="B346" s="11"/>
      <c r="C346" s="11"/>
      <c r="D346" s="11"/>
      <c r="E346" s="11"/>
      <c r="F346" s="11"/>
      <c r="G346" s="11"/>
      <c r="H346" s="11"/>
      <c r="I346" s="46"/>
      <c r="J346" s="11"/>
      <c r="K346" s="11"/>
      <c r="L346" s="11"/>
      <c r="M346" s="11"/>
      <c r="N346" s="46"/>
      <c r="O346" s="11"/>
      <c r="P346" s="11"/>
      <c r="Q346" s="11"/>
      <c r="R346" s="11"/>
      <c r="S346" s="11"/>
      <c r="T346" s="11"/>
      <c r="U346" s="11"/>
      <c r="V346" s="11"/>
      <c r="W346" s="11"/>
      <c r="X346" s="11"/>
      <c r="Y346" s="11"/>
      <c r="Z346" s="11"/>
    </row>
    <row r="347" spans="1:26" ht="14.25" customHeight="1">
      <c r="A347" s="11"/>
      <c r="B347" s="11"/>
      <c r="C347" s="11"/>
      <c r="D347" s="11"/>
      <c r="E347" s="11"/>
      <c r="F347" s="11"/>
      <c r="G347" s="11"/>
      <c r="H347" s="11"/>
      <c r="I347" s="46"/>
      <c r="J347" s="11"/>
      <c r="K347" s="11"/>
      <c r="L347" s="11"/>
      <c r="M347" s="11"/>
      <c r="N347" s="46"/>
      <c r="O347" s="11"/>
      <c r="P347" s="11"/>
      <c r="Q347" s="11"/>
      <c r="R347" s="11"/>
      <c r="S347" s="11"/>
      <c r="T347" s="11"/>
      <c r="U347" s="11"/>
      <c r="V347" s="11"/>
      <c r="W347" s="11"/>
      <c r="X347" s="11"/>
      <c r="Y347" s="11"/>
      <c r="Z347" s="11"/>
    </row>
    <row r="348" spans="1:26" ht="14.25" customHeight="1">
      <c r="A348" s="11"/>
      <c r="B348" s="11"/>
      <c r="C348" s="11"/>
      <c r="D348" s="11"/>
      <c r="E348" s="11"/>
      <c r="F348" s="11"/>
      <c r="G348" s="11"/>
      <c r="H348" s="11"/>
      <c r="I348" s="46"/>
      <c r="J348" s="11"/>
      <c r="K348" s="11"/>
      <c r="L348" s="11"/>
      <c r="M348" s="11"/>
      <c r="N348" s="46"/>
      <c r="O348" s="11"/>
      <c r="P348" s="11"/>
      <c r="Q348" s="11"/>
      <c r="R348" s="11"/>
      <c r="S348" s="11"/>
      <c r="T348" s="11"/>
      <c r="U348" s="11"/>
      <c r="V348" s="11"/>
      <c r="W348" s="11"/>
      <c r="X348" s="11"/>
      <c r="Y348" s="11"/>
      <c r="Z348" s="11"/>
    </row>
    <row r="349" spans="1:26" ht="14.25" customHeight="1">
      <c r="A349" s="11"/>
      <c r="B349" s="11"/>
      <c r="C349" s="11"/>
      <c r="D349" s="11"/>
      <c r="E349" s="11"/>
      <c r="F349" s="11"/>
      <c r="G349" s="11"/>
      <c r="H349" s="11"/>
      <c r="I349" s="46"/>
      <c r="J349" s="11"/>
      <c r="K349" s="11"/>
      <c r="L349" s="11"/>
      <c r="M349" s="11"/>
      <c r="N349" s="46"/>
      <c r="O349" s="11"/>
      <c r="P349" s="11"/>
      <c r="Q349" s="11"/>
      <c r="R349" s="11"/>
      <c r="S349" s="11"/>
      <c r="T349" s="11"/>
      <c r="U349" s="11"/>
      <c r="V349" s="11"/>
      <c r="W349" s="11"/>
      <c r="X349" s="11"/>
      <c r="Y349" s="11"/>
      <c r="Z349" s="11"/>
    </row>
    <row r="350" spans="1:26" ht="14.25" customHeight="1">
      <c r="A350" s="11"/>
      <c r="B350" s="11"/>
      <c r="C350" s="11"/>
      <c r="D350" s="11"/>
      <c r="E350" s="11"/>
      <c r="F350" s="11"/>
      <c r="G350" s="11"/>
      <c r="H350" s="11"/>
      <c r="I350" s="46"/>
      <c r="J350" s="11"/>
      <c r="K350" s="11"/>
      <c r="L350" s="11"/>
      <c r="M350" s="11"/>
      <c r="N350" s="46"/>
      <c r="O350" s="11"/>
      <c r="P350" s="11"/>
      <c r="Q350" s="11"/>
      <c r="R350" s="11"/>
      <c r="S350" s="11"/>
      <c r="T350" s="11"/>
      <c r="U350" s="11"/>
      <c r="V350" s="11"/>
      <c r="W350" s="11"/>
      <c r="X350" s="11"/>
      <c r="Y350" s="11"/>
      <c r="Z350" s="11"/>
    </row>
    <row r="351" spans="1:26" ht="14.25" customHeight="1">
      <c r="A351" s="11"/>
      <c r="B351" s="11"/>
      <c r="C351" s="11"/>
      <c r="D351" s="11"/>
      <c r="E351" s="11"/>
      <c r="F351" s="11"/>
      <c r="G351" s="11"/>
      <c r="H351" s="11"/>
      <c r="I351" s="46"/>
      <c r="J351" s="11"/>
      <c r="K351" s="11"/>
      <c r="L351" s="11"/>
      <c r="M351" s="11"/>
      <c r="N351" s="46"/>
      <c r="O351" s="11"/>
      <c r="P351" s="11"/>
      <c r="Q351" s="11"/>
      <c r="R351" s="11"/>
      <c r="S351" s="11"/>
      <c r="T351" s="11"/>
      <c r="U351" s="11"/>
      <c r="V351" s="11"/>
      <c r="W351" s="11"/>
      <c r="X351" s="11"/>
      <c r="Y351" s="11"/>
      <c r="Z351" s="11"/>
    </row>
    <row r="352" spans="1:26" ht="14.25" customHeight="1">
      <c r="A352" s="11"/>
      <c r="B352" s="11"/>
      <c r="C352" s="11"/>
      <c r="D352" s="11"/>
      <c r="E352" s="11"/>
      <c r="F352" s="11"/>
      <c r="G352" s="11"/>
      <c r="H352" s="11"/>
      <c r="I352" s="46"/>
      <c r="J352" s="11"/>
      <c r="K352" s="11"/>
      <c r="L352" s="11"/>
      <c r="M352" s="11"/>
      <c r="N352" s="46"/>
      <c r="O352" s="11"/>
      <c r="P352" s="11"/>
      <c r="Q352" s="11"/>
      <c r="R352" s="11"/>
      <c r="S352" s="11"/>
      <c r="T352" s="11"/>
      <c r="U352" s="11"/>
      <c r="V352" s="11"/>
      <c r="W352" s="11"/>
      <c r="X352" s="11"/>
      <c r="Y352" s="11"/>
      <c r="Z352" s="11"/>
    </row>
    <row r="353" spans="1:26" ht="14.25" customHeight="1">
      <c r="A353" s="11"/>
      <c r="B353" s="11"/>
      <c r="C353" s="11"/>
      <c r="D353" s="11"/>
      <c r="E353" s="11"/>
      <c r="F353" s="11"/>
      <c r="G353" s="11"/>
      <c r="H353" s="11"/>
      <c r="I353" s="46"/>
      <c r="J353" s="11"/>
      <c r="K353" s="11"/>
      <c r="L353" s="11"/>
      <c r="M353" s="11"/>
      <c r="N353" s="46"/>
      <c r="O353" s="11"/>
      <c r="P353" s="11"/>
      <c r="Q353" s="11"/>
      <c r="R353" s="11"/>
      <c r="S353" s="11"/>
      <c r="T353" s="11"/>
      <c r="U353" s="11"/>
      <c r="V353" s="11"/>
      <c r="W353" s="11"/>
      <c r="X353" s="11"/>
      <c r="Y353" s="11"/>
      <c r="Z353" s="11"/>
    </row>
    <row r="354" spans="1:26" ht="14.25" customHeight="1">
      <c r="A354" s="11"/>
      <c r="B354" s="11"/>
      <c r="C354" s="11"/>
      <c r="D354" s="11"/>
      <c r="E354" s="11"/>
      <c r="F354" s="11"/>
      <c r="G354" s="11"/>
      <c r="H354" s="11"/>
      <c r="I354" s="46"/>
      <c r="J354" s="11"/>
      <c r="K354" s="11"/>
      <c r="L354" s="11"/>
      <c r="M354" s="11"/>
      <c r="N354" s="46"/>
      <c r="O354" s="11"/>
      <c r="P354" s="11"/>
      <c r="Q354" s="11"/>
      <c r="R354" s="11"/>
      <c r="S354" s="11"/>
      <c r="T354" s="11"/>
      <c r="U354" s="11"/>
      <c r="V354" s="11"/>
      <c r="W354" s="11"/>
      <c r="X354" s="11"/>
      <c r="Y354" s="11"/>
      <c r="Z354" s="11"/>
    </row>
    <row r="355" spans="1:26" ht="14.25" customHeight="1">
      <c r="A355" s="11"/>
      <c r="B355" s="11"/>
      <c r="C355" s="11"/>
      <c r="D355" s="11"/>
      <c r="E355" s="11"/>
      <c r="F355" s="11"/>
      <c r="G355" s="11"/>
      <c r="H355" s="11"/>
      <c r="I355" s="46"/>
      <c r="J355" s="11"/>
      <c r="K355" s="11"/>
      <c r="L355" s="11"/>
      <c r="M355" s="11"/>
      <c r="N355" s="46"/>
      <c r="O355" s="11"/>
      <c r="P355" s="11"/>
      <c r="Q355" s="11"/>
      <c r="R355" s="11"/>
      <c r="S355" s="11"/>
      <c r="T355" s="11"/>
      <c r="U355" s="11"/>
      <c r="V355" s="11"/>
      <c r="W355" s="11"/>
      <c r="X355" s="11"/>
      <c r="Y355" s="11"/>
      <c r="Z355" s="11"/>
    </row>
    <row r="356" spans="1:26" ht="14.25" customHeight="1">
      <c r="A356" s="11"/>
      <c r="B356" s="11"/>
      <c r="C356" s="11"/>
      <c r="D356" s="11"/>
      <c r="E356" s="11"/>
      <c r="F356" s="11"/>
      <c r="G356" s="11"/>
      <c r="H356" s="11"/>
      <c r="I356" s="46"/>
      <c r="J356" s="11"/>
      <c r="K356" s="11"/>
      <c r="L356" s="11"/>
      <c r="M356" s="11"/>
      <c r="N356" s="46"/>
      <c r="O356" s="11"/>
      <c r="P356" s="11"/>
      <c r="Q356" s="11"/>
      <c r="R356" s="11"/>
      <c r="S356" s="11"/>
      <c r="T356" s="11"/>
      <c r="U356" s="11"/>
      <c r="V356" s="11"/>
      <c r="W356" s="11"/>
      <c r="X356" s="11"/>
      <c r="Y356" s="11"/>
      <c r="Z356" s="11"/>
    </row>
    <row r="357" spans="1:26" ht="14.25" customHeight="1">
      <c r="A357" s="11"/>
      <c r="B357" s="11"/>
      <c r="C357" s="11"/>
      <c r="D357" s="11"/>
      <c r="E357" s="11"/>
      <c r="F357" s="11"/>
      <c r="G357" s="11"/>
      <c r="H357" s="11"/>
      <c r="I357" s="46"/>
      <c r="J357" s="11"/>
      <c r="K357" s="11"/>
      <c r="L357" s="11"/>
      <c r="M357" s="11"/>
      <c r="N357" s="46"/>
      <c r="O357" s="11"/>
      <c r="P357" s="11"/>
      <c r="Q357" s="11"/>
      <c r="R357" s="11"/>
      <c r="S357" s="11"/>
      <c r="T357" s="11"/>
      <c r="U357" s="11"/>
      <c r="V357" s="11"/>
      <c r="W357" s="11"/>
      <c r="X357" s="11"/>
      <c r="Y357" s="11"/>
      <c r="Z357" s="11"/>
    </row>
    <row r="358" spans="1:26" ht="14.25" customHeight="1">
      <c r="A358" s="11"/>
      <c r="B358" s="11"/>
      <c r="C358" s="11"/>
      <c r="D358" s="11"/>
      <c r="E358" s="11"/>
      <c r="F358" s="11"/>
      <c r="G358" s="11"/>
      <c r="H358" s="11"/>
      <c r="I358" s="46"/>
      <c r="J358" s="11"/>
      <c r="K358" s="11"/>
      <c r="L358" s="11"/>
      <c r="M358" s="11"/>
      <c r="N358" s="46"/>
      <c r="O358" s="11"/>
      <c r="P358" s="11"/>
      <c r="Q358" s="11"/>
      <c r="R358" s="11"/>
      <c r="S358" s="11"/>
      <c r="T358" s="11"/>
      <c r="U358" s="11"/>
      <c r="V358" s="11"/>
      <c r="W358" s="11"/>
      <c r="X358" s="11"/>
      <c r="Y358" s="11"/>
      <c r="Z358" s="11"/>
    </row>
    <row r="359" spans="1:26" ht="14.25" customHeight="1">
      <c r="A359" s="11"/>
      <c r="B359" s="11"/>
      <c r="C359" s="11"/>
      <c r="D359" s="11"/>
      <c r="E359" s="11"/>
      <c r="F359" s="11"/>
      <c r="G359" s="11"/>
      <c r="H359" s="11"/>
      <c r="I359" s="46"/>
      <c r="J359" s="11"/>
      <c r="K359" s="11"/>
      <c r="L359" s="11"/>
      <c r="M359" s="11"/>
      <c r="N359" s="46"/>
      <c r="O359" s="11"/>
      <c r="P359" s="11"/>
      <c r="Q359" s="11"/>
      <c r="R359" s="11"/>
      <c r="S359" s="11"/>
      <c r="T359" s="11"/>
      <c r="U359" s="11"/>
      <c r="V359" s="11"/>
      <c r="W359" s="11"/>
      <c r="X359" s="11"/>
      <c r="Y359" s="11"/>
      <c r="Z359" s="11"/>
    </row>
    <row r="360" spans="1:26" ht="14.25" customHeight="1">
      <c r="A360" s="11"/>
      <c r="B360" s="11"/>
      <c r="C360" s="11"/>
      <c r="D360" s="11"/>
      <c r="E360" s="11"/>
      <c r="F360" s="11"/>
      <c r="G360" s="11"/>
      <c r="H360" s="11"/>
      <c r="I360" s="46"/>
      <c r="J360" s="11"/>
      <c r="K360" s="11"/>
      <c r="L360" s="11"/>
      <c r="M360" s="11"/>
      <c r="N360" s="46"/>
      <c r="O360" s="11"/>
      <c r="P360" s="11"/>
      <c r="Q360" s="11"/>
      <c r="R360" s="11"/>
      <c r="S360" s="11"/>
      <c r="T360" s="11"/>
      <c r="U360" s="11"/>
      <c r="V360" s="11"/>
      <c r="W360" s="11"/>
      <c r="X360" s="11"/>
      <c r="Y360" s="11"/>
      <c r="Z360" s="11"/>
    </row>
    <row r="361" spans="1:26" ht="14.25" customHeight="1">
      <c r="A361" s="11"/>
      <c r="B361" s="11"/>
      <c r="C361" s="11"/>
      <c r="D361" s="11"/>
      <c r="E361" s="11"/>
      <c r="F361" s="11"/>
      <c r="G361" s="11"/>
      <c r="H361" s="11"/>
      <c r="I361" s="46"/>
      <c r="J361" s="11"/>
      <c r="K361" s="11"/>
      <c r="L361" s="11"/>
      <c r="M361" s="11"/>
      <c r="N361" s="46"/>
      <c r="O361" s="11"/>
      <c r="P361" s="11"/>
      <c r="Q361" s="11"/>
      <c r="R361" s="11"/>
      <c r="S361" s="11"/>
      <c r="T361" s="11"/>
      <c r="U361" s="11"/>
      <c r="V361" s="11"/>
      <c r="W361" s="11"/>
      <c r="X361" s="11"/>
      <c r="Y361" s="11"/>
      <c r="Z361" s="11"/>
    </row>
    <row r="362" spans="1:26" ht="14.25" customHeight="1">
      <c r="A362" s="11"/>
      <c r="B362" s="11"/>
      <c r="C362" s="11"/>
      <c r="D362" s="11"/>
      <c r="E362" s="11"/>
      <c r="F362" s="11"/>
      <c r="G362" s="11"/>
      <c r="H362" s="11"/>
      <c r="I362" s="46"/>
      <c r="J362" s="11"/>
      <c r="K362" s="11"/>
      <c r="L362" s="11"/>
      <c r="M362" s="11"/>
      <c r="N362" s="46"/>
      <c r="O362" s="11"/>
      <c r="P362" s="11"/>
      <c r="Q362" s="11"/>
      <c r="R362" s="11"/>
      <c r="S362" s="11"/>
      <c r="T362" s="11"/>
      <c r="U362" s="11"/>
      <c r="V362" s="11"/>
      <c r="W362" s="11"/>
      <c r="X362" s="11"/>
      <c r="Y362" s="11"/>
      <c r="Z362" s="11"/>
    </row>
    <row r="363" spans="1:26" ht="14.25" customHeight="1">
      <c r="A363" s="11"/>
      <c r="B363" s="11"/>
      <c r="C363" s="11"/>
      <c r="D363" s="11"/>
      <c r="E363" s="11"/>
      <c r="F363" s="11"/>
      <c r="G363" s="11"/>
      <c r="H363" s="11"/>
      <c r="I363" s="46"/>
      <c r="J363" s="11"/>
      <c r="K363" s="11"/>
      <c r="L363" s="11"/>
      <c r="M363" s="11"/>
      <c r="N363" s="46"/>
      <c r="O363" s="11"/>
      <c r="P363" s="11"/>
      <c r="Q363" s="11"/>
      <c r="R363" s="11"/>
      <c r="S363" s="11"/>
      <c r="T363" s="11"/>
      <c r="U363" s="11"/>
      <c r="V363" s="11"/>
      <c r="W363" s="11"/>
      <c r="X363" s="11"/>
      <c r="Y363" s="11"/>
      <c r="Z363" s="11"/>
    </row>
    <row r="364" spans="1:26" ht="14.25" customHeight="1">
      <c r="A364" s="11"/>
      <c r="B364" s="11"/>
      <c r="C364" s="11"/>
      <c r="D364" s="11"/>
      <c r="E364" s="11"/>
      <c r="F364" s="11"/>
      <c r="G364" s="11"/>
      <c r="H364" s="11"/>
      <c r="I364" s="46"/>
      <c r="J364" s="11"/>
      <c r="K364" s="11"/>
      <c r="L364" s="11"/>
      <c r="M364" s="11"/>
      <c r="N364" s="46"/>
      <c r="O364" s="11"/>
      <c r="P364" s="11"/>
      <c r="Q364" s="11"/>
      <c r="R364" s="11"/>
      <c r="S364" s="11"/>
      <c r="T364" s="11"/>
      <c r="U364" s="11"/>
      <c r="V364" s="11"/>
      <c r="W364" s="11"/>
      <c r="X364" s="11"/>
      <c r="Y364" s="11"/>
      <c r="Z364" s="11"/>
    </row>
    <row r="365" spans="1:26" ht="14.25" customHeight="1">
      <c r="A365" s="11"/>
      <c r="B365" s="11"/>
      <c r="C365" s="11"/>
      <c r="D365" s="11"/>
      <c r="E365" s="11"/>
      <c r="F365" s="11"/>
      <c r="G365" s="11"/>
      <c r="H365" s="11"/>
      <c r="I365" s="46"/>
      <c r="J365" s="11"/>
      <c r="K365" s="11"/>
      <c r="L365" s="11"/>
      <c r="M365" s="11"/>
      <c r="N365" s="46"/>
      <c r="O365" s="11"/>
      <c r="P365" s="11"/>
      <c r="Q365" s="11"/>
      <c r="R365" s="11"/>
      <c r="S365" s="11"/>
      <c r="T365" s="11"/>
      <c r="U365" s="11"/>
      <c r="V365" s="11"/>
      <c r="W365" s="11"/>
      <c r="X365" s="11"/>
      <c r="Y365" s="11"/>
      <c r="Z365" s="11"/>
    </row>
    <row r="366" spans="1:26" ht="14.25" customHeight="1">
      <c r="A366" s="11"/>
      <c r="B366" s="11"/>
      <c r="C366" s="11"/>
      <c r="D366" s="11"/>
      <c r="E366" s="11"/>
      <c r="F366" s="11"/>
      <c r="G366" s="11"/>
      <c r="H366" s="11"/>
      <c r="I366" s="46"/>
      <c r="J366" s="11"/>
      <c r="K366" s="11"/>
      <c r="L366" s="11"/>
      <c r="M366" s="11"/>
      <c r="N366" s="46"/>
      <c r="O366" s="11"/>
      <c r="P366" s="11"/>
      <c r="Q366" s="11"/>
      <c r="R366" s="11"/>
      <c r="S366" s="11"/>
      <c r="T366" s="11"/>
      <c r="U366" s="11"/>
      <c r="V366" s="11"/>
      <c r="W366" s="11"/>
      <c r="X366" s="11"/>
      <c r="Y366" s="11"/>
      <c r="Z366" s="11"/>
    </row>
    <row r="367" spans="1:26" ht="14.25" customHeight="1">
      <c r="A367" s="11"/>
      <c r="B367" s="11"/>
      <c r="C367" s="11"/>
      <c r="D367" s="11"/>
      <c r="E367" s="11"/>
      <c r="F367" s="11"/>
      <c r="G367" s="11"/>
      <c r="H367" s="11"/>
      <c r="I367" s="46"/>
      <c r="J367" s="11"/>
      <c r="K367" s="11"/>
      <c r="L367" s="11"/>
      <c r="M367" s="11"/>
      <c r="N367" s="46"/>
      <c r="O367" s="11"/>
      <c r="P367" s="11"/>
      <c r="Q367" s="11"/>
      <c r="R367" s="11"/>
      <c r="S367" s="11"/>
      <c r="T367" s="11"/>
      <c r="U367" s="11"/>
      <c r="V367" s="11"/>
      <c r="W367" s="11"/>
      <c r="X367" s="11"/>
      <c r="Y367" s="11"/>
      <c r="Z367" s="11"/>
    </row>
    <row r="368" spans="1:26" ht="14.25" customHeight="1">
      <c r="A368" s="11"/>
      <c r="B368" s="11"/>
      <c r="C368" s="11"/>
      <c r="D368" s="11"/>
      <c r="E368" s="11"/>
      <c r="F368" s="11"/>
      <c r="G368" s="11"/>
      <c r="H368" s="11"/>
      <c r="I368" s="46"/>
      <c r="J368" s="11"/>
      <c r="K368" s="11"/>
      <c r="L368" s="11"/>
      <c r="M368" s="11"/>
      <c r="N368" s="46"/>
      <c r="O368" s="11"/>
      <c r="P368" s="11"/>
      <c r="Q368" s="11"/>
      <c r="R368" s="11"/>
      <c r="S368" s="11"/>
      <c r="T368" s="11"/>
      <c r="U368" s="11"/>
      <c r="V368" s="11"/>
      <c r="W368" s="11"/>
      <c r="X368" s="11"/>
      <c r="Y368" s="11"/>
      <c r="Z368" s="11"/>
    </row>
    <row r="369" spans="1:26" ht="14.25" customHeight="1">
      <c r="A369" s="11"/>
      <c r="B369" s="11"/>
      <c r="C369" s="11"/>
      <c r="D369" s="11"/>
      <c r="E369" s="11"/>
      <c r="F369" s="11"/>
      <c r="G369" s="11"/>
      <c r="H369" s="11"/>
      <c r="I369" s="46"/>
      <c r="J369" s="11"/>
      <c r="K369" s="11"/>
      <c r="L369" s="11"/>
      <c r="M369" s="11"/>
      <c r="N369" s="46"/>
      <c r="O369" s="11"/>
      <c r="P369" s="11"/>
      <c r="Q369" s="11"/>
      <c r="R369" s="11"/>
      <c r="S369" s="11"/>
      <c r="T369" s="11"/>
      <c r="U369" s="11"/>
      <c r="V369" s="11"/>
      <c r="W369" s="11"/>
      <c r="X369" s="11"/>
      <c r="Y369" s="11"/>
      <c r="Z369" s="11"/>
    </row>
    <row r="370" spans="1:26" ht="14.25" customHeight="1">
      <c r="A370" s="11"/>
      <c r="B370" s="11"/>
      <c r="C370" s="11"/>
      <c r="D370" s="11"/>
      <c r="E370" s="11"/>
      <c r="F370" s="11"/>
      <c r="G370" s="11"/>
      <c r="H370" s="11"/>
      <c r="I370" s="46"/>
      <c r="J370" s="11"/>
      <c r="K370" s="11"/>
      <c r="L370" s="11"/>
      <c r="M370" s="11"/>
      <c r="N370" s="46"/>
      <c r="O370" s="11"/>
      <c r="P370" s="11"/>
      <c r="Q370" s="11"/>
      <c r="R370" s="11"/>
      <c r="S370" s="11"/>
      <c r="T370" s="11"/>
      <c r="U370" s="11"/>
      <c r="V370" s="11"/>
      <c r="W370" s="11"/>
      <c r="X370" s="11"/>
      <c r="Y370" s="11"/>
      <c r="Z370" s="11"/>
    </row>
    <row r="371" spans="1:26" ht="14.25" customHeight="1">
      <c r="A371" s="11"/>
      <c r="B371" s="11"/>
      <c r="C371" s="11"/>
      <c r="D371" s="11"/>
      <c r="E371" s="11"/>
      <c r="F371" s="11"/>
      <c r="G371" s="11"/>
      <c r="H371" s="11"/>
      <c r="I371" s="46"/>
      <c r="J371" s="11"/>
      <c r="K371" s="11"/>
      <c r="L371" s="11"/>
      <c r="M371" s="11"/>
      <c r="N371" s="46"/>
      <c r="O371" s="11"/>
      <c r="P371" s="11"/>
      <c r="Q371" s="11"/>
      <c r="R371" s="11"/>
      <c r="S371" s="11"/>
      <c r="T371" s="11"/>
      <c r="U371" s="11"/>
      <c r="V371" s="11"/>
      <c r="W371" s="11"/>
      <c r="X371" s="11"/>
      <c r="Y371" s="11"/>
      <c r="Z371" s="11"/>
    </row>
    <row r="372" spans="1:26" ht="14.25" customHeight="1">
      <c r="A372" s="11"/>
      <c r="B372" s="11"/>
      <c r="C372" s="11"/>
      <c r="D372" s="11"/>
      <c r="E372" s="11"/>
      <c r="F372" s="11"/>
      <c r="G372" s="11"/>
      <c r="H372" s="11"/>
      <c r="I372" s="46"/>
      <c r="J372" s="11"/>
      <c r="K372" s="11"/>
      <c r="L372" s="11"/>
      <c r="M372" s="11"/>
      <c r="N372" s="46"/>
      <c r="O372" s="11"/>
      <c r="P372" s="11"/>
      <c r="Q372" s="11"/>
      <c r="R372" s="11"/>
      <c r="S372" s="11"/>
      <c r="T372" s="11"/>
      <c r="U372" s="11"/>
      <c r="V372" s="11"/>
      <c r="W372" s="11"/>
      <c r="X372" s="11"/>
      <c r="Y372" s="11"/>
      <c r="Z372" s="11"/>
    </row>
    <row r="373" spans="1:26" ht="14.25" customHeight="1">
      <c r="A373" s="11"/>
      <c r="B373" s="11"/>
      <c r="C373" s="11"/>
      <c r="D373" s="11"/>
      <c r="E373" s="11"/>
      <c r="F373" s="11"/>
      <c r="G373" s="11"/>
      <c r="H373" s="11"/>
      <c r="I373" s="46"/>
      <c r="J373" s="11"/>
      <c r="K373" s="11"/>
      <c r="L373" s="11"/>
      <c r="M373" s="11"/>
      <c r="N373" s="46"/>
      <c r="O373" s="11"/>
      <c r="P373" s="11"/>
      <c r="Q373" s="11"/>
      <c r="R373" s="11"/>
      <c r="S373" s="11"/>
      <c r="T373" s="11"/>
      <c r="U373" s="11"/>
      <c r="V373" s="11"/>
      <c r="W373" s="11"/>
      <c r="X373" s="11"/>
      <c r="Y373" s="11"/>
      <c r="Z373" s="11"/>
    </row>
    <row r="374" spans="1:26" ht="14.25" customHeight="1">
      <c r="A374" s="11"/>
      <c r="B374" s="11"/>
      <c r="C374" s="11"/>
      <c r="D374" s="11"/>
      <c r="E374" s="11"/>
      <c r="F374" s="11"/>
      <c r="G374" s="11"/>
      <c r="H374" s="11"/>
      <c r="I374" s="46"/>
      <c r="J374" s="11"/>
      <c r="K374" s="11"/>
      <c r="L374" s="11"/>
      <c r="M374" s="11"/>
      <c r="N374" s="46"/>
      <c r="O374" s="11"/>
      <c r="P374" s="11"/>
      <c r="Q374" s="11"/>
      <c r="R374" s="11"/>
      <c r="S374" s="11"/>
      <c r="T374" s="11"/>
      <c r="U374" s="11"/>
      <c r="V374" s="11"/>
      <c r="W374" s="11"/>
      <c r="X374" s="11"/>
      <c r="Y374" s="11"/>
      <c r="Z374" s="11"/>
    </row>
    <row r="375" spans="1:26" ht="14.25" customHeight="1">
      <c r="A375" s="11"/>
      <c r="B375" s="11"/>
      <c r="C375" s="11"/>
      <c r="D375" s="11"/>
      <c r="E375" s="11"/>
      <c r="F375" s="11"/>
      <c r="G375" s="11"/>
      <c r="H375" s="11"/>
      <c r="I375" s="46"/>
      <c r="J375" s="11"/>
      <c r="K375" s="11"/>
      <c r="L375" s="11"/>
      <c r="M375" s="11"/>
      <c r="N375" s="46"/>
      <c r="O375" s="11"/>
      <c r="P375" s="11"/>
      <c r="Q375" s="11"/>
      <c r="R375" s="11"/>
      <c r="S375" s="11"/>
      <c r="T375" s="11"/>
      <c r="U375" s="11"/>
      <c r="V375" s="11"/>
      <c r="W375" s="11"/>
      <c r="X375" s="11"/>
      <c r="Y375" s="11"/>
      <c r="Z375" s="11"/>
    </row>
    <row r="376" spans="1:26" ht="14.25" customHeight="1">
      <c r="A376" s="11"/>
      <c r="B376" s="11"/>
      <c r="C376" s="11"/>
      <c r="D376" s="11"/>
      <c r="E376" s="11"/>
      <c r="F376" s="11"/>
      <c r="G376" s="11"/>
      <c r="H376" s="11"/>
      <c r="I376" s="46"/>
      <c r="J376" s="11"/>
      <c r="K376" s="11"/>
      <c r="L376" s="11"/>
      <c r="M376" s="11"/>
      <c r="N376" s="46"/>
      <c r="O376" s="11"/>
      <c r="P376" s="11"/>
      <c r="Q376" s="11"/>
      <c r="R376" s="11"/>
      <c r="S376" s="11"/>
      <c r="T376" s="11"/>
      <c r="U376" s="11"/>
      <c r="V376" s="11"/>
      <c r="W376" s="11"/>
      <c r="X376" s="11"/>
      <c r="Y376" s="11"/>
      <c r="Z376" s="11"/>
    </row>
    <row r="377" spans="1:26" ht="14.25" customHeight="1">
      <c r="A377" s="11"/>
      <c r="B377" s="11"/>
      <c r="C377" s="11"/>
      <c r="D377" s="11"/>
      <c r="E377" s="11"/>
      <c r="F377" s="11"/>
      <c r="G377" s="11"/>
      <c r="H377" s="11"/>
      <c r="I377" s="46"/>
      <c r="J377" s="11"/>
      <c r="K377" s="11"/>
      <c r="L377" s="11"/>
      <c r="M377" s="11"/>
      <c r="N377" s="46"/>
      <c r="O377" s="11"/>
      <c r="P377" s="11"/>
      <c r="Q377" s="11"/>
      <c r="R377" s="11"/>
      <c r="S377" s="11"/>
      <c r="T377" s="11"/>
      <c r="U377" s="11"/>
      <c r="V377" s="11"/>
      <c r="W377" s="11"/>
      <c r="X377" s="11"/>
      <c r="Y377" s="11"/>
      <c r="Z377" s="11"/>
    </row>
    <row r="378" spans="1:26" ht="14.25" customHeight="1">
      <c r="A378" s="11"/>
      <c r="B378" s="11"/>
      <c r="C378" s="11"/>
      <c r="D378" s="11"/>
      <c r="E378" s="11"/>
      <c r="F378" s="11"/>
      <c r="G378" s="11"/>
      <c r="H378" s="11"/>
      <c r="I378" s="46"/>
      <c r="J378" s="11"/>
      <c r="K378" s="11"/>
      <c r="L378" s="11"/>
      <c r="M378" s="11"/>
      <c r="N378" s="46"/>
      <c r="O378" s="11"/>
      <c r="P378" s="11"/>
      <c r="Q378" s="11"/>
      <c r="R378" s="11"/>
      <c r="S378" s="11"/>
      <c r="T378" s="11"/>
      <c r="U378" s="11"/>
      <c r="V378" s="11"/>
      <c r="W378" s="11"/>
      <c r="X378" s="11"/>
      <c r="Y378" s="11"/>
      <c r="Z378" s="11"/>
    </row>
    <row r="379" spans="1:26" ht="14.25" customHeight="1">
      <c r="A379" s="11"/>
      <c r="B379" s="11"/>
      <c r="C379" s="11"/>
      <c r="D379" s="11"/>
      <c r="E379" s="11"/>
      <c r="F379" s="11"/>
      <c r="G379" s="11"/>
      <c r="H379" s="11"/>
      <c r="I379" s="46"/>
      <c r="J379" s="11"/>
      <c r="K379" s="11"/>
      <c r="L379" s="11"/>
      <c r="M379" s="11"/>
      <c r="N379" s="46"/>
      <c r="O379" s="11"/>
      <c r="P379" s="11"/>
      <c r="Q379" s="11"/>
      <c r="R379" s="11"/>
      <c r="S379" s="11"/>
      <c r="T379" s="11"/>
      <c r="U379" s="11"/>
      <c r="V379" s="11"/>
      <c r="W379" s="11"/>
      <c r="X379" s="11"/>
      <c r="Y379" s="11"/>
      <c r="Z379" s="11"/>
    </row>
    <row r="380" spans="1:26" ht="14.25" customHeight="1">
      <c r="A380" s="11"/>
      <c r="B380" s="11"/>
      <c r="C380" s="11"/>
      <c r="D380" s="11"/>
      <c r="E380" s="11"/>
      <c r="F380" s="11"/>
      <c r="G380" s="11"/>
      <c r="H380" s="11"/>
      <c r="I380" s="46"/>
      <c r="J380" s="11"/>
      <c r="K380" s="11"/>
      <c r="L380" s="11"/>
      <c r="M380" s="11"/>
      <c r="N380" s="46"/>
      <c r="O380" s="11"/>
      <c r="P380" s="11"/>
      <c r="Q380" s="11"/>
      <c r="R380" s="11"/>
      <c r="S380" s="11"/>
      <c r="T380" s="11"/>
      <c r="U380" s="11"/>
      <c r="V380" s="11"/>
      <c r="W380" s="11"/>
      <c r="X380" s="11"/>
      <c r="Y380" s="11"/>
      <c r="Z380" s="11"/>
    </row>
    <row r="381" spans="1:26" ht="14.25" customHeight="1">
      <c r="A381" s="11"/>
      <c r="B381" s="11"/>
      <c r="C381" s="11"/>
      <c r="D381" s="11"/>
      <c r="E381" s="11"/>
      <c r="F381" s="11"/>
      <c r="G381" s="11"/>
      <c r="H381" s="11"/>
      <c r="I381" s="46"/>
      <c r="J381" s="11"/>
      <c r="K381" s="11"/>
      <c r="L381" s="11"/>
      <c r="M381" s="11"/>
      <c r="N381" s="46"/>
      <c r="O381" s="11"/>
      <c r="P381" s="11"/>
      <c r="Q381" s="11"/>
      <c r="R381" s="11"/>
      <c r="S381" s="11"/>
      <c r="T381" s="11"/>
      <c r="U381" s="11"/>
      <c r="V381" s="11"/>
      <c r="W381" s="11"/>
      <c r="X381" s="11"/>
      <c r="Y381" s="11"/>
      <c r="Z381" s="11"/>
    </row>
    <row r="382" spans="1:26" ht="14.25" customHeight="1">
      <c r="A382" s="11"/>
      <c r="B382" s="11"/>
      <c r="C382" s="11"/>
      <c r="D382" s="11"/>
      <c r="E382" s="11"/>
      <c r="F382" s="11"/>
      <c r="G382" s="11"/>
      <c r="H382" s="11"/>
      <c r="I382" s="46"/>
      <c r="J382" s="11"/>
      <c r="K382" s="11"/>
      <c r="L382" s="11"/>
      <c r="M382" s="11"/>
      <c r="N382" s="46"/>
      <c r="O382" s="11"/>
      <c r="P382" s="11"/>
      <c r="Q382" s="11"/>
      <c r="R382" s="11"/>
      <c r="S382" s="11"/>
      <c r="T382" s="11"/>
      <c r="U382" s="11"/>
      <c r="V382" s="11"/>
      <c r="W382" s="11"/>
      <c r="X382" s="11"/>
      <c r="Y382" s="11"/>
      <c r="Z382" s="11"/>
    </row>
    <row r="383" spans="1:26" ht="14.25" customHeight="1">
      <c r="A383" s="11"/>
      <c r="B383" s="11"/>
      <c r="C383" s="11"/>
      <c r="D383" s="11"/>
      <c r="E383" s="11"/>
      <c r="F383" s="11"/>
      <c r="G383" s="11"/>
      <c r="H383" s="11"/>
      <c r="I383" s="46"/>
      <c r="J383" s="11"/>
      <c r="K383" s="11"/>
      <c r="L383" s="11"/>
      <c r="M383" s="11"/>
      <c r="N383" s="46"/>
      <c r="O383" s="11"/>
      <c r="P383" s="11"/>
      <c r="Q383" s="11"/>
      <c r="R383" s="11"/>
      <c r="S383" s="11"/>
      <c r="T383" s="11"/>
      <c r="U383" s="11"/>
      <c r="V383" s="11"/>
      <c r="W383" s="11"/>
      <c r="X383" s="11"/>
      <c r="Y383" s="11"/>
      <c r="Z383" s="11"/>
    </row>
    <row r="384" spans="1:26" ht="14.25" customHeight="1">
      <c r="A384" s="11"/>
      <c r="B384" s="11"/>
      <c r="C384" s="11"/>
      <c r="D384" s="11"/>
      <c r="E384" s="11"/>
      <c r="F384" s="11"/>
      <c r="G384" s="11"/>
      <c r="H384" s="11"/>
      <c r="I384" s="46"/>
      <c r="J384" s="11"/>
      <c r="K384" s="11"/>
      <c r="L384" s="11"/>
      <c r="M384" s="11"/>
      <c r="N384" s="46"/>
      <c r="O384" s="11"/>
      <c r="P384" s="11"/>
      <c r="Q384" s="11"/>
      <c r="R384" s="11"/>
      <c r="S384" s="11"/>
      <c r="T384" s="11"/>
      <c r="U384" s="11"/>
      <c r="V384" s="11"/>
      <c r="W384" s="11"/>
      <c r="X384" s="11"/>
      <c r="Y384" s="11"/>
      <c r="Z384" s="11"/>
    </row>
    <row r="385" spans="1:26" ht="14.25" customHeight="1">
      <c r="A385" s="11"/>
      <c r="B385" s="11"/>
      <c r="C385" s="11"/>
      <c r="D385" s="11"/>
      <c r="E385" s="11"/>
      <c r="F385" s="11"/>
      <c r="G385" s="11"/>
      <c r="H385" s="11"/>
      <c r="I385" s="46"/>
      <c r="J385" s="11"/>
      <c r="K385" s="11"/>
      <c r="L385" s="11"/>
      <c r="M385" s="11"/>
      <c r="N385" s="46"/>
      <c r="O385" s="11"/>
      <c r="P385" s="11"/>
      <c r="Q385" s="11"/>
      <c r="R385" s="11"/>
      <c r="S385" s="11"/>
      <c r="T385" s="11"/>
      <c r="U385" s="11"/>
      <c r="V385" s="11"/>
      <c r="W385" s="11"/>
      <c r="X385" s="11"/>
      <c r="Y385" s="11"/>
      <c r="Z385" s="11"/>
    </row>
    <row r="386" spans="1:26" ht="14.25" customHeight="1">
      <c r="A386" s="11"/>
      <c r="B386" s="11"/>
      <c r="C386" s="11"/>
      <c r="D386" s="11"/>
      <c r="E386" s="11"/>
      <c r="F386" s="11"/>
      <c r="G386" s="11"/>
      <c r="H386" s="11"/>
      <c r="I386" s="46"/>
      <c r="J386" s="11"/>
      <c r="K386" s="11"/>
      <c r="L386" s="11"/>
      <c r="M386" s="11"/>
      <c r="N386" s="46"/>
      <c r="O386" s="11"/>
      <c r="P386" s="11"/>
      <c r="Q386" s="11"/>
      <c r="R386" s="11"/>
      <c r="S386" s="11"/>
      <c r="T386" s="11"/>
      <c r="U386" s="11"/>
      <c r="V386" s="11"/>
      <c r="W386" s="11"/>
      <c r="X386" s="11"/>
      <c r="Y386" s="11"/>
      <c r="Z386" s="11"/>
    </row>
    <row r="387" spans="1:26" ht="14.25" customHeight="1">
      <c r="A387" s="11"/>
      <c r="B387" s="11"/>
      <c r="C387" s="11"/>
      <c r="D387" s="11"/>
      <c r="E387" s="11"/>
      <c r="F387" s="11"/>
      <c r="G387" s="11"/>
      <c r="H387" s="11"/>
      <c r="I387" s="46"/>
      <c r="J387" s="11"/>
      <c r="K387" s="11"/>
      <c r="L387" s="11"/>
      <c r="M387" s="11"/>
      <c r="N387" s="46"/>
      <c r="O387" s="11"/>
      <c r="P387" s="11"/>
      <c r="Q387" s="11"/>
      <c r="R387" s="11"/>
      <c r="S387" s="11"/>
      <c r="T387" s="11"/>
      <c r="U387" s="11"/>
      <c r="V387" s="11"/>
      <c r="W387" s="11"/>
      <c r="X387" s="11"/>
      <c r="Y387" s="11"/>
      <c r="Z387" s="11"/>
    </row>
    <row r="388" spans="1:26" ht="14.25" customHeight="1">
      <c r="A388" s="11"/>
      <c r="B388" s="11"/>
      <c r="C388" s="11"/>
      <c r="D388" s="11"/>
      <c r="E388" s="11"/>
      <c r="F388" s="11"/>
      <c r="G388" s="11"/>
      <c r="H388" s="11"/>
      <c r="I388" s="46"/>
      <c r="J388" s="11"/>
      <c r="K388" s="11"/>
      <c r="L388" s="11"/>
      <c r="M388" s="11"/>
      <c r="N388" s="46"/>
      <c r="O388" s="11"/>
      <c r="P388" s="11"/>
      <c r="Q388" s="11"/>
      <c r="R388" s="11"/>
      <c r="S388" s="11"/>
      <c r="T388" s="11"/>
      <c r="U388" s="11"/>
      <c r="V388" s="11"/>
      <c r="W388" s="11"/>
      <c r="X388" s="11"/>
      <c r="Y388" s="11"/>
      <c r="Z388" s="11"/>
    </row>
    <row r="389" spans="1:26" ht="14.25" customHeight="1">
      <c r="A389" s="11"/>
      <c r="B389" s="11"/>
      <c r="C389" s="11"/>
      <c r="D389" s="11"/>
      <c r="E389" s="11"/>
      <c r="F389" s="11"/>
      <c r="G389" s="11"/>
      <c r="H389" s="11"/>
      <c r="I389" s="46"/>
      <c r="J389" s="11"/>
      <c r="K389" s="11"/>
      <c r="L389" s="11"/>
      <c r="M389" s="11"/>
      <c r="N389" s="46"/>
      <c r="O389" s="11"/>
      <c r="P389" s="11"/>
      <c r="Q389" s="11"/>
      <c r="R389" s="11"/>
      <c r="S389" s="11"/>
      <c r="T389" s="11"/>
      <c r="U389" s="11"/>
      <c r="V389" s="11"/>
      <c r="W389" s="11"/>
      <c r="X389" s="11"/>
      <c r="Y389" s="11"/>
      <c r="Z389" s="11"/>
    </row>
    <row r="390" spans="1:26" ht="14.25" customHeight="1">
      <c r="A390" s="11"/>
      <c r="B390" s="11"/>
      <c r="C390" s="11"/>
      <c r="D390" s="11"/>
      <c r="E390" s="11"/>
      <c r="F390" s="11"/>
      <c r="G390" s="11"/>
      <c r="H390" s="11"/>
      <c r="I390" s="46"/>
      <c r="J390" s="11"/>
      <c r="K390" s="11"/>
      <c r="L390" s="11"/>
      <c r="M390" s="11"/>
      <c r="N390" s="46"/>
      <c r="O390" s="11"/>
      <c r="P390" s="11"/>
      <c r="Q390" s="11"/>
      <c r="R390" s="11"/>
      <c r="S390" s="11"/>
      <c r="T390" s="11"/>
      <c r="U390" s="11"/>
      <c r="V390" s="11"/>
      <c r="W390" s="11"/>
      <c r="X390" s="11"/>
      <c r="Y390" s="11"/>
      <c r="Z390" s="11"/>
    </row>
    <row r="391" spans="1:26" ht="14.25" customHeight="1">
      <c r="A391" s="11"/>
      <c r="B391" s="11"/>
      <c r="C391" s="11"/>
      <c r="D391" s="11"/>
      <c r="E391" s="11"/>
      <c r="F391" s="11"/>
      <c r="G391" s="11"/>
      <c r="H391" s="11"/>
      <c r="I391" s="46"/>
      <c r="J391" s="11"/>
      <c r="K391" s="11"/>
      <c r="L391" s="11"/>
      <c r="M391" s="11"/>
      <c r="N391" s="46"/>
      <c r="O391" s="11"/>
      <c r="P391" s="11"/>
      <c r="Q391" s="11"/>
      <c r="R391" s="11"/>
      <c r="S391" s="11"/>
      <c r="T391" s="11"/>
      <c r="U391" s="11"/>
      <c r="V391" s="11"/>
      <c r="W391" s="11"/>
      <c r="X391" s="11"/>
      <c r="Y391" s="11"/>
      <c r="Z391" s="11"/>
    </row>
    <row r="392" spans="1:26" ht="14.25" customHeight="1">
      <c r="A392" s="11"/>
      <c r="B392" s="11"/>
      <c r="C392" s="11"/>
      <c r="D392" s="11"/>
      <c r="E392" s="11"/>
      <c r="F392" s="11"/>
      <c r="G392" s="11"/>
      <c r="H392" s="11"/>
      <c r="I392" s="46"/>
      <c r="J392" s="11"/>
      <c r="K392" s="11"/>
      <c r="L392" s="11"/>
      <c r="M392" s="11"/>
      <c r="N392" s="46"/>
      <c r="O392" s="11"/>
      <c r="P392" s="11"/>
      <c r="Q392" s="11"/>
      <c r="R392" s="11"/>
      <c r="S392" s="11"/>
      <c r="T392" s="11"/>
      <c r="U392" s="11"/>
      <c r="V392" s="11"/>
      <c r="W392" s="11"/>
      <c r="X392" s="11"/>
      <c r="Y392" s="11"/>
      <c r="Z392" s="11"/>
    </row>
    <row r="393" spans="1:26" ht="14.25" customHeight="1">
      <c r="A393" s="11"/>
      <c r="B393" s="11"/>
      <c r="C393" s="11"/>
      <c r="D393" s="11"/>
      <c r="E393" s="11"/>
      <c r="F393" s="11"/>
      <c r="G393" s="11"/>
      <c r="H393" s="11"/>
      <c r="I393" s="46"/>
      <c r="J393" s="11"/>
      <c r="K393" s="11"/>
      <c r="L393" s="11"/>
      <c r="M393" s="11"/>
      <c r="N393" s="46"/>
      <c r="O393" s="11"/>
      <c r="P393" s="11"/>
      <c r="Q393" s="11"/>
      <c r="R393" s="11"/>
      <c r="S393" s="11"/>
      <c r="T393" s="11"/>
      <c r="U393" s="11"/>
      <c r="V393" s="11"/>
      <c r="W393" s="11"/>
      <c r="X393" s="11"/>
      <c r="Y393" s="11"/>
      <c r="Z393" s="11"/>
    </row>
    <row r="394" spans="1:26" ht="14.25" customHeight="1">
      <c r="A394" s="11"/>
      <c r="B394" s="11"/>
      <c r="C394" s="11"/>
      <c r="D394" s="11"/>
      <c r="E394" s="11"/>
      <c r="F394" s="11"/>
      <c r="G394" s="11"/>
      <c r="H394" s="11"/>
      <c r="I394" s="46"/>
      <c r="J394" s="11"/>
      <c r="K394" s="11"/>
      <c r="L394" s="11"/>
      <c r="M394" s="11"/>
      <c r="N394" s="46"/>
      <c r="O394" s="11"/>
      <c r="P394" s="11"/>
      <c r="Q394" s="11"/>
      <c r="R394" s="11"/>
      <c r="S394" s="11"/>
      <c r="T394" s="11"/>
      <c r="U394" s="11"/>
      <c r="V394" s="11"/>
      <c r="W394" s="11"/>
      <c r="X394" s="11"/>
      <c r="Y394" s="11"/>
      <c r="Z394" s="11"/>
    </row>
    <row r="395" spans="1:26" ht="14.25" customHeight="1">
      <c r="A395" s="11"/>
      <c r="B395" s="11"/>
      <c r="C395" s="11"/>
      <c r="D395" s="11"/>
      <c r="E395" s="11"/>
      <c r="F395" s="11"/>
      <c r="G395" s="11"/>
      <c r="H395" s="11"/>
      <c r="I395" s="46"/>
      <c r="J395" s="11"/>
      <c r="K395" s="11"/>
      <c r="L395" s="11"/>
      <c r="M395" s="11"/>
      <c r="N395" s="46"/>
      <c r="O395" s="11"/>
      <c r="P395" s="11"/>
      <c r="Q395" s="11"/>
      <c r="R395" s="11"/>
      <c r="S395" s="11"/>
      <c r="T395" s="11"/>
      <c r="U395" s="11"/>
      <c r="V395" s="11"/>
      <c r="W395" s="11"/>
      <c r="X395" s="11"/>
      <c r="Y395" s="11"/>
      <c r="Z395" s="11"/>
    </row>
    <row r="396" spans="1:26" ht="14.25" customHeight="1">
      <c r="A396" s="11"/>
      <c r="B396" s="11"/>
      <c r="C396" s="11"/>
      <c r="D396" s="11"/>
      <c r="E396" s="11"/>
      <c r="F396" s="11"/>
      <c r="G396" s="11"/>
      <c r="H396" s="11"/>
      <c r="I396" s="46"/>
      <c r="J396" s="11"/>
      <c r="K396" s="11"/>
      <c r="L396" s="11"/>
      <c r="M396" s="11"/>
      <c r="N396" s="46"/>
      <c r="O396" s="11"/>
      <c r="P396" s="11"/>
      <c r="Q396" s="11"/>
      <c r="R396" s="11"/>
      <c r="S396" s="11"/>
      <c r="T396" s="11"/>
      <c r="U396" s="11"/>
      <c r="V396" s="11"/>
      <c r="W396" s="11"/>
      <c r="X396" s="11"/>
      <c r="Y396" s="11"/>
      <c r="Z396" s="11"/>
    </row>
    <row r="397" spans="1:26" ht="14.25" customHeight="1">
      <c r="A397" s="11"/>
      <c r="B397" s="11"/>
      <c r="C397" s="11"/>
      <c r="D397" s="11"/>
      <c r="E397" s="11"/>
      <c r="F397" s="11"/>
      <c r="G397" s="11"/>
      <c r="H397" s="11"/>
      <c r="I397" s="46"/>
      <c r="J397" s="11"/>
      <c r="K397" s="11"/>
      <c r="L397" s="11"/>
      <c r="M397" s="11"/>
      <c r="N397" s="46"/>
      <c r="O397" s="11"/>
      <c r="P397" s="11"/>
      <c r="Q397" s="11"/>
      <c r="R397" s="11"/>
      <c r="S397" s="11"/>
      <c r="T397" s="11"/>
      <c r="U397" s="11"/>
      <c r="V397" s="11"/>
      <c r="W397" s="11"/>
      <c r="X397" s="11"/>
      <c r="Y397" s="11"/>
      <c r="Z397" s="11"/>
    </row>
    <row r="398" spans="1:26" ht="14.25" customHeight="1">
      <c r="A398" s="11"/>
      <c r="B398" s="11"/>
      <c r="C398" s="11"/>
      <c r="D398" s="11"/>
      <c r="E398" s="11"/>
      <c r="F398" s="11"/>
      <c r="G398" s="11"/>
      <c r="H398" s="11"/>
      <c r="I398" s="46"/>
      <c r="J398" s="11"/>
      <c r="K398" s="11"/>
      <c r="L398" s="11"/>
      <c r="M398" s="11"/>
      <c r="N398" s="46"/>
      <c r="O398" s="11"/>
      <c r="P398" s="11"/>
      <c r="Q398" s="11"/>
      <c r="R398" s="11"/>
      <c r="S398" s="11"/>
      <c r="T398" s="11"/>
      <c r="U398" s="11"/>
      <c r="V398" s="11"/>
      <c r="W398" s="11"/>
      <c r="X398" s="11"/>
      <c r="Y398" s="11"/>
      <c r="Z398" s="11"/>
    </row>
    <row r="399" spans="1:26" ht="14.25" customHeight="1">
      <c r="A399" s="11"/>
      <c r="B399" s="11"/>
      <c r="C399" s="11"/>
      <c r="D399" s="11"/>
      <c r="E399" s="11"/>
      <c r="F399" s="11"/>
      <c r="G399" s="11"/>
      <c r="H399" s="11"/>
      <c r="I399" s="46"/>
      <c r="J399" s="11"/>
      <c r="K399" s="11"/>
      <c r="L399" s="11"/>
      <c r="M399" s="11"/>
      <c r="N399" s="46"/>
      <c r="O399" s="11"/>
      <c r="P399" s="11"/>
      <c r="Q399" s="11"/>
      <c r="R399" s="11"/>
      <c r="S399" s="11"/>
      <c r="T399" s="11"/>
      <c r="U399" s="11"/>
      <c r="V399" s="11"/>
      <c r="W399" s="11"/>
      <c r="X399" s="11"/>
      <c r="Y399" s="11"/>
      <c r="Z399" s="11"/>
    </row>
    <row r="400" spans="1:26" ht="14.25" customHeight="1">
      <c r="A400" s="11"/>
      <c r="B400" s="11"/>
      <c r="C400" s="11"/>
      <c r="D400" s="11"/>
      <c r="E400" s="11"/>
      <c r="F400" s="11"/>
      <c r="G400" s="11"/>
      <c r="H400" s="11"/>
      <c r="I400" s="46"/>
      <c r="J400" s="11"/>
      <c r="K400" s="11"/>
      <c r="L400" s="11"/>
      <c r="M400" s="11"/>
      <c r="N400" s="46"/>
      <c r="O400" s="11"/>
      <c r="P400" s="11"/>
      <c r="Q400" s="11"/>
      <c r="R400" s="11"/>
      <c r="S400" s="11"/>
      <c r="T400" s="11"/>
      <c r="U400" s="11"/>
      <c r="V400" s="11"/>
      <c r="W400" s="11"/>
      <c r="X400" s="11"/>
      <c r="Y400" s="11"/>
      <c r="Z400" s="11"/>
    </row>
    <row r="401" spans="1:26" ht="14.25" customHeight="1">
      <c r="A401" s="11"/>
      <c r="B401" s="11"/>
      <c r="C401" s="11"/>
      <c r="D401" s="11"/>
      <c r="E401" s="11"/>
      <c r="F401" s="11"/>
      <c r="G401" s="11"/>
      <c r="H401" s="11"/>
      <c r="I401" s="46"/>
      <c r="J401" s="11"/>
      <c r="K401" s="11"/>
      <c r="L401" s="11"/>
      <c r="M401" s="11"/>
      <c r="N401" s="46"/>
      <c r="O401" s="11"/>
      <c r="P401" s="11"/>
      <c r="Q401" s="11"/>
      <c r="R401" s="11"/>
      <c r="S401" s="11"/>
      <c r="T401" s="11"/>
      <c r="U401" s="11"/>
      <c r="V401" s="11"/>
      <c r="W401" s="11"/>
      <c r="X401" s="11"/>
      <c r="Y401" s="11"/>
      <c r="Z401" s="11"/>
    </row>
    <row r="402" spans="1:26" ht="14.25" customHeight="1">
      <c r="A402" s="11"/>
      <c r="B402" s="11"/>
      <c r="C402" s="11"/>
      <c r="D402" s="11"/>
      <c r="E402" s="11"/>
      <c r="F402" s="11"/>
      <c r="G402" s="11"/>
      <c r="H402" s="11"/>
      <c r="I402" s="46"/>
      <c r="J402" s="11"/>
      <c r="K402" s="11"/>
      <c r="L402" s="11"/>
      <c r="M402" s="11"/>
      <c r="N402" s="46"/>
      <c r="O402" s="11"/>
      <c r="P402" s="11"/>
      <c r="Q402" s="11"/>
      <c r="R402" s="11"/>
      <c r="S402" s="11"/>
      <c r="T402" s="11"/>
      <c r="U402" s="11"/>
      <c r="V402" s="11"/>
      <c r="W402" s="11"/>
      <c r="X402" s="11"/>
      <c r="Y402" s="11"/>
      <c r="Z402" s="11"/>
    </row>
    <row r="403" spans="1:26" ht="14.25" customHeight="1">
      <c r="A403" s="11"/>
      <c r="B403" s="11"/>
      <c r="C403" s="11"/>
      <c r="D403" s="11"/>
      <c r="E403" s="11"/>
      <c r="F403" s="11"/>
      <c r="G403" s="11"/>
      <c r="H403" s="11"/>
      <c r="I403" s="46"/>
      <c r="J403" s="11"/>
      <c r="K403" s="11"/>
      <c r="L403" s="11"/>
      <c r="M403" s="11"/>
      <c r="N403" s="46"/>
      <c r="O403" s="11"/>
      <c r="P403" s="11"/>
      <c r="Q403" s="11"/>
      <c r="R403" s="11"/>
      <c r="S403" s="11"/>
      <c r="T403" s="11"/>
      <c r="U403" s="11"/>
      <c r="V403" s="11"/>
      <c r="W403" s="11"/>
      <c r="X403" s="11"/>
      <c r="Y403" s="11"/>
      <c r="Z403" s="11"/>
    </row>
    <row r="404" spans="1:26" ht="14.25" customHeight="1">
      <c r="A404" s="11"/>
      <c r="B404" s="11"/>
      <c r="C404" s="11"/>
      <c r="D404" s="11"/>
      <c r="E404" s="11"/>
      <c r="F404" s="11"/>
      <c r="G404" s="11"/>
      <c r="H404" s="11"/>
      <c r="I404" s="46"/>
      <c r="J404" s="11"/>
      <c r="K404" s="11"/>
      <c r="L404" s="11"/>
      <c r="M404" s="11"/>
      <c r="N404" s="46"/>
      <c r="O404" s="11"/>
      <c r="P404" s="11"/>
      <c r="Q404" s="11"/>
      <c r="R404" s="11"/>
      <c r="S404" s="11"/>
      <c r="T404" s="11"/>
      <c r="U404" s="11"/>
      <c r="V404" s="11"/>
      <c r="W404" s="11"/>
      <c r="X404" s="11"/>
      <c r="Y404" s="11"/>
      <c r="Z404" s="11"/>
    </row>
    <row r="405" spans="1:26" ht="14.25" customHeight="1">
      <c r="A405" s="11"/>
      <c r="B405" s="11"/>
      <c r="C405" s="11"/>
      <c r="D405" s="11"/>
      <c r="E405" s="11"/>
      <c r="F405" s="11"/>
      <c r="G405" s="11"/>
      <c r="H405" s="11"/>
      <c r="I405" s="46"/>
      <c r="J405" s="11"/>
      <c r="K405" s="11"/>
      <c r="L405" s="11"/>
      <c r="M405" s="11"/>
      <c r="N405" s="46"/>
      <c r="O405" s="11"/>
      <c r="P405" s="11"/>
      <c r="Q405" s="11"/>
      <c r="R405" s="11"/>
      <c r="S405" s="11"/>
      <c r="T405" s="11"/>
      <c r="U405" s="11"/>
      <c r="V405" s="11"/>
      <c r="W405" s="11"/>
      <c r="X405" s="11"/>
      <c r="Y405" s="11"/>
      <c r="Z405" s="11"/>
    </row>
    <row r="406" spans="1:26" ht="14.25" customHeight="1">
      <c r="A406" s="11"/>
      <c r="B406" s="11"/>
      <c r="C406" s="11"/>
      <c r="D406" s="11"/>
      <c r="E406" s="11"/>
      <c r="F406" s="11"/>
      <c r="G406" s="11"/>
      <c r="H406" s="11"/>
      <c r="I406" s="46"/>
      <c r="J406" s="11"/>
      <c r="K406" s="11"/>
      <c r="L406" s="11"/>
      <c r="M406" s="11"/>
      <c r="N406" s="46"/>
      <c r="O406" s="11"/>
      <c r="P406" s="11"/>
      <c r="Q406" s="11"/>
      <c r="R406" s="11"/>
      <c r="S406" s="11"/>
      <c r="T406" s="11"/>
      <c r="U406" s="11"/>
      <c r="V406" s="11"/>
      <c r="W406" s="11"/>
      <c r="X406" s="11"/>
      <c r="Y406" s="11"/>
      <c r="Z406" s="11"/>
    </row>
    <row r="407" spans="1:26" ht="14.25" customHeight="1">
      <c r="A407" s="11"/>
      <c r="B407" s="11"/>
      <c r="C407" s="11"/>
      <c r="D407" s="11"/>
      <c r="E407" s="11"/>
      <c r="F407" s="11"/>
      <c r="G407" s="11"/>
      <c r="H407" s="11"/>
      <c r="I407" s="46"/>
      <c r="J407" s="11"/>
      <c r="K407" s="11"/>
      <c r="L407" s="11"/>
      <c r="M407" s="11"/>
      <c r="N407" s="46"/>
      <c r="O407" s="11"/>
      <c r="P407" s="11"/>
      <c r="Q407" s="11"/>
      <c r="R407" s="11"/>
      <c r="S407" s="11"/>
      <c r="T407" s="11"/>
      <c r="U407" s="11"/>
      <c r="V407" s="11"/>
      <c r="W407" s="11"/>
      <c r="X407" s="11"/>
      <c r="Y407" s="11"/>
      <c r="Z407" s="11"/>
    </row>
    <row r="408" spans="1:26" ht="14.25" customHeight="1">
      <c r="A408" s="11"/>
      <c r="B408" s="11"/>
      <c r="C408" s="11"/>
      <c r="D408" s="11"/>
      <c r="E408" s="11"/>
      <c r="F408" s="11"/>
      <c r="G408" s="11"/>
      <c r="H408" s="11"/>
      <c r="I408" s="46"/>
      <c r="J408" s="11"/>
      <c r="K408" s="11"/>
      <c r="L408" s="11"/>
      <c r="M408" s="11"/>
      <c r="N408" s="46"/>
      <c r="O408" s="11"/>
      <c r="P408" s="11"/>
      <c r="Q408" s="11"/>
      <c r="R408" s="11"/>
      <c r="S408" s="11"/>
      <c r="T408" s="11"/>
      <c r="U408" s="11"/>
      <c r="V408" s="11"/>
      <c r="W408" s="11"/>
      <c r="X408" s="11"/>
      <c r="Y408" s="11"/>
      <c r="Z408" s="11"/>
    </row>
    <row r="409" spans="1:26" ht="14.25" customHeight="1">
      <c r="A409" s="11"/>
      <c r="B409" s="11"/>
      <c r="C409" s="11"/>
      <c r="D409" s="11"/>
      <c r="E409" s="11"/>
      <c r="F409" s="11"/>
      <c r="G409" s="11"/>
      <c r="H409" s="11"/>
      <c r="I409" s="46"/>
      <c r="J409" s="11"/>
      <c r="K409" s="11"/>
      <c r="L409" s="11"/>
      <c r="M409" s="11"/>
      <c r="N409" s="46"/>
      <c r="O409" s="11"/>
      <c r="P409" s="11"/>
      <c r="Q409" s="11"/>
      <c r="R409" s="11"/>
      <c r="S409" s="11"/>
      <c r="T409" s="11"/>
      <c r="U409" s="11"/>
      <c r="V409" s="11"/>
      <c r="W409" s="11"/>
      <c r="X409" s="11"/>
      <c r="Y409" s="11"/>
      <c r="Z409" s="11"/>
    </row>
    <row r="410" spans="1:26" ht="14.25" customHeight="1">
      <c r="A410" s="11"/>
      <c r="B410" s="11"/>
      <c r="C410" s="11"/>
      <c r="D410" s="11"/>
      <c r="E410" s="11"/>
      <c r="F410" s="11"/>
      <c r="G410" s="11"/>
      <c r="H410" s="11"/>
      <c r="I410" s="46"/>
      <c r="J410" s="11"/>
      <c r="K410" s="11"/>
      <c r="L410" s="11"/>
      <c r="M410" s="11"/>
      <c r="N410" s="46"/>
      <c r="O410" s="11"/>
      <c r="P410" s="11"/>
      <c r="Q410" s="11"/>
      <c r="R410" s="11"/>
      <c r="S410" s="11"/>
      <c r="T410" s="11"/>
      <c r="U410" s="11"/>
      <c r="V410" s="11"/>
      <c r="W410" s="11"/>
      <c r="X410" s="11"/>
      <c r="Y410" s="11"/>
      <c r="Z410" s="11"/>
    </row>
    <row r="411" spans="1:26" ht="14.25" customHeight="1">
      <c r="A411" s="11"/>
      <c r="B411" s="11"/>
      <c r="C411" s="11"/>
      <c r="D411" s="11"/>
      <c r="E411" s="11"/>
      <c r="F411" s="11"/>
      <c r="G411" s="11"/>
      <c r="H411" s="11"/>
      <c r="I411" s="46"/>
      <c r="J411" s="11"/>
      <c r="K411" s="11"/>
      <c r="L411" s="11"/>
      <c r="M411" s="11"/>
      <c r="N411" s="46"/>
      <c r="O411" s="11"/>
      <c r="P411" s="11"/>
      <c r="Q411" s="11"/>
      <c r="R411" s="11"/>
      <c r="S411" s="11"/>
      <c r="T411" s="11"/>
      <c r="U411" s="11"/>
      <c r="V411" s="11"/>
      <c r="W411" s="11"/>
      <c r="X411" s="11"/>
      <c r="Y411" s="11"/>
      <c r="Z411" s="11"/>
    </row>
    <row r="412" spans="1:26" ht="14.25" customHeight="1">
      <c r="A412" s="11"/>
      <c r="B412" s="11"/>
      <c r="C412" s="11"/>
      <c r="D412" s="11"/>
      <c r="E412" s="11"/>
      <c r="F412" s="11"/>
      <c r="G412" s="11"/>
      <c r="H412" s="11"/>
      <c r="I412" s="46"/>
      <c r="J412" s="11"/>
      <c r="K412" s="11"/>
      <c r="L412" s="11"/>
      <c r="M412" s="11"/>
      <c r="N412" s="46"/>
      <c r="O412" s="11"/>
      <c r="P412" s="11"/>
      <c r="Q412" s="11"/>
      <c r="R412" s="11"/>
      <c r="S412" s="11"/>
      <c r="T412" s="11"/>
      <c r="U412" s="11"/>
      <c r="V412" s="11"/>
      <c r="W412" s="11"/>
      <c r="X412" s="11"/>
      <c r="Y412" s="11"/>
      <c r="Z412" s="11"/>
    </row>
    <row r="413" spans="1:26" ht="14.25" customHeight="1">
      <c r="A413" s="11"/>
      <c r="B413" s="11"/>
      <c r="C413" s="11"/>
      <c r="D413" s="11"/>
      <c r="E413" s="11"/>
      <c r="F413" s="11"/>
      <c r="G413" s="11"/>
      <c r="H413" s="11"/>
      <c r="I413" s="46"/>
      <c r="J413" s="11"/>
      <c r="K413" s="11"/>
      <c r="L413" s="11"/>
      <c r="M413" s="11"/>
      <c r="N413" s="46"/>
      <c r="O413" s="11"/>
      <c r="P413" s="11"/>
      <c r="Q413" s="11"/>
      <c r="R413" s="11"/>
      <c r="S413" s="11"/>
      <c r="T413" s="11"/>
      <c r="U413" s="11"/>
      <c r="V413" s="11"/>
      <c r="W413" s="11"/>
      <c r="X413" s="11"/>
      <c r="Y413" s="11"/>
      <c r="Z413" s="11"/>
    </row>
    <row r="414" spans="1:26" ht="14.25" customHeight="1">
      <c r="A414" s="11"/>
      <c r="B414" s="11"/>
      <c r="C414" s="11"/>
      <c r="D414" s="11"/>
      <c r="E414" s="11"/>
      <c r="F414" s="11"/>
      <c r="G414" s="11"/>
      <c r="H414" s="11"/>
      <c r="I414" s="46"/>
      <c r="J414" s="11"/>
      <c r="K414" s="11"/>
      <c r="L414" s="11"/>
      <c r="M414" s="11"/>
      <c r="N414" s="46"/>
      <c r="O414" s="11"/>
      <c r="P414" s="11"/>
      <c r="Q414" s="11"/>
      <c r="R414" s="11"/>
      <c r="S414" s="11"/>
      <c r="T414" s="11"/>
      <c r="U414" s="11"/>
      <c r="V414" s="11"/>
      <c r="W414" s="11"/>
      <c r="X414" s="11"/>
      <c r="Y414" s="11"/>
      <c r="Z414" s="11"/>
    </row>
    <row r="415" spans="1:26" ht="14.25" customHeight="1">
      <c r="A415" s="11"/>
      <c r="B415" s="11"/>
      <c r="C415" s="11"/>
      <c r="D415" s="11"/>
      <c r="E415" s="11"/>
      <c r="F415" s="11"/>
      <c r="G415" s="11"/>
      <c r="H415" s="11"/>
      <c r="I415" s="46"/>
      <c r="J415" s="11"/>
      <c r="K415" s="11"/>
      <c r="L415" s="11"/>
      <c r="M415" s="11"/>
      <c r="N415" s="46"/>
      <c r="O415" s="11"/>
      <c r="P415" s="11"/>
      <c r="Q415" s="11"/>
      <c r="R415" s="11"/>
      <c r="S415" s="11"/>
      <c r="T415" s="11"/>
      <c r="U415" s="11"/>
      <c r="V415" s="11"/>
      <c r="W415" s="11"/>
      <c r="X415" s="11"/>
      <c r="Y415" s="11"/>
      <c r="Z415" s="11"/>
    </row>
    <row r="416" spans="1:26" ht="14.25" customHeight="1">
      <c r="A416" s="11"/>
      <c r="B416" s="11"/>
      <c r="C416" s="11"/>
      <c r="D416" s="11"/>
      <c r="E416" s="11"/>
      <c r="F416" s="11"/>
      <c r="G416" s="11"/>
      <c r="H416" s="11"/>
      <c r="I416" s="46"/>
      <c r="J416" s="11"/>
      <c r="K416" s="11"/>
      <c r="L416" s="11"/>
      <c r="M416" s="11"/>
      <c r="N416" s="46"/>
      <c r="O416" s="11"/>
      <c r="P416" s="11"/>
      <c r="Q416" s="11"/>
      <c r="R416" s="11"/>
      <c r="S416" s="11"/>
      <c r="T416" s="11"/>
      <c r="U416" s="11"/>
      <c r="V416" s="11"/>
      <c r="W416" s="11"/>
      <c r="X416" s="11"/>
      <c r="Y416" s="11"/>
      <c r="Z416" s="11"/>
    </row>
    <row r="417" spans="1:26" ht="14.25" customHeight="1">
      <c r="A417" s="11"/>
      <c r="B417" s="11"/>
      <c r="C417" s="11"/>
      <c r="D417" s="11"/>
      <c r="E417" s="11"/>
      <c r="F417" s="11"/>
      <c r="G417" s="11"/>
      <c r="H417" s="11"/>
      <c r="I417" s="46"/>
      <c r="J417" s="11"/>
      <c r="K417" s="11"/>
      <c r="L417" s="11"/>
      <c r="M417" s="11"/>
      <c r="N417" s="46"/>
      <c r="O417" s="11"/>
      <c r="P417" s="11"/>
      <c r="Q417" s="11"/>
      <c r="R417" s="11"/>
      <c r="S417" s="11"/>
      <c r="T417" s="11"/>
      <c r="U417" s="11"/>
      <c r="V417" s="11"/>
      <c r="W417" s="11"/>
      <c r="X417" s="11"/>
      <c r="Y417" s="11"/>
      <c r="Z417" s="11"/>
    </row>
    <row r="418" spans="1:26" ht="14.25" customHeight="1">
      <c r="A418" s="11"/>
      <c r="B418" s="11"/>
      <c r="C418" s="11"/>
      <c r="D418" s="11"/>
      <c r="E418" s="11"/>
      <c r="F418" s="11"/>
      <c r="G418" s="11"/>
      <c r="H418" s="11"/>
      <c r="I418" s="46"/>
      <c r="J418" s="11"/>
      <c r="K418" s="11"/>
      <c r="L418" s="11"/>
      <c r="M418" s="11"/>
      <c r="N418" s="46"/>
      <c r="O418" s="11"/>
      <c r="P418" s="11"/>
      <c r="Q418" s="11"/>
      <c r="R418" s="11"/>
      <c r="S418" s="11"/>
      <c r="T418" s="11"/>
      <c r="U418" s="11"/>
      <c r="V418" s="11"/>
      <c r="W418" s="11"/>
      <c r="X418" s="11"/>
      <c r="Y418" s="11"/>
      <c r="Z418" s="11"/>
    </row>
    <row r="419" spans="1:26" ht="14.25" customHeight="1">
      <c r="A419" s="11"/>
      <c r="B419" s="11"/>
      <c r="C419" s="11"/>
      <c r="D419" s="11"/>
      <c r="E419" s="11"/>
      <c r="F419" s="11"/>
      <c r="G419" s="11"/>
      <c r="H419" s="11"/>
      <c r="I419" s="46"/>
      <c r="J419" s="11"/>
      <c r="K419" s="11"/>
      <c r="L419" s="11"/>
      <c r="M419" s="11"/>
      <c r="N419" s="46"/>
      <c r="O419" s="11"/>
      <c r="P419" s="11"/>
      <c r="Q419" s="11"/>
      <c r="R419" s="11"/>
      <c r="S419" s="11"/>
      <c r="T419" s="11"/>
      <c r="U419" s="11"/>
      <c r="V419" s="11"/>
      <c r="W419" s="11"/>
      <c r="X419" s="11"/>
      <c r="Y419" s="11"/>
      <c r="Z419" s="11"/>
    </row>
    <row r="420" spans="1:26" ht="14.25" customHeight="1">
      <c r="A420" s="11"/>
      <c r="B420" s="11"/>
      <c r="C420" s="11"/>
      <c r="D420" s="11"/>
      <c r="E420" s="11"/>
      <c r="F420" s="11"/>
      <c r="G420" s="11"/>
      <c r="H420" s="11"/>
      <c r="I420" s="46"/>
      <c r="J420" s="11"/>
      <c r="K420" s="11"/>
      <c r="L420" s="11"/>
      <c r="M420" s="11"/>
      <c r="N420" s="46"/>
      <c r="O420" s="11"/>
      <c r="P420" s="11"/>
      <c r="Q420" s="11"/>
      <c r="R420" s="11"/>
      <c r="S420" s="11"/>
      <c r="T420" s="11"/>
      <c r="U420" s="11"/>
      <c r="V420" s="11"/>
      <c r="W420" s="11"/>
      <c r="X420" s="11"/>
      <c r="Y420" s="11"/>
      <c r="Z420" s="11"/>
    </row>
    <row r="421" spans="1:26" ht="14.25" customHeight="1">
      <c r="A421" s="11"/>
      <c r="B421" s="11"/>
      <c r="C421" s="11"/>
      <c r="D421" s="11"/>
      <c r="E421" s="11"/>
      <c r="F421" s="11"/>
      <c r="G421" s="11"/>
      <c r="H421" s="11"/>
      <c r="I421" s="46"/>
      <c r="J421" s="11"/>
      <c r="K421" s="11"/>
      <c r="L421" s="11"/>
      <c r="M421" s="11"/>
      <c r="N421" s="46"/>
      <c r="O421" s="11"/>
      <c r="P421" s="11"/>
      <c r="Q421" s="11"/>
      <c r="R421" s="11"/>
      <c r="S421" s="11"/>
      <c r="T421" s="11"/>
      <c r="U421" s="11"/>
      <c r="V421" s="11"/>
      <c r="W421" s="11"/>
      <c r="X421" s="11"/>
      <c r="Y421" s="11"/>
      <c r="Z421" s="11"/>
    </row>
    <row r="422" spans="1:26" ht="14.25" customHeight="1">
      <c r="A422" s="11"/>
      <c r="B422" s="11"/>
      <c r="C422" s="11"/>
      <c r="D422" s="11"/>
      <c r="E422" s="11"/>
      <c r="F422" s="11"/>
      <c r="G422" s="11"/>
      <c r="H422" s="11"/>
      <c r="I422" s="46"/>
      <c r="J422" s="11"/>
      <c r="K422" s="11"/>
      <c r="L422" s="11"/>
      <c r="M422" s="11"/>
      <c r="N422" s="46"/>
      <c r="O422" s="11"/>
      <c r="P422" s="11"/>
      <c r="Q422" s="11"/>
      <c r="R422" s="11"/>
      <c r="S422" s="11"/>
      <c r="T422" s="11"/>
      <c r="U422" s="11"/>
      <c r="V422" s="11"/>
      <c r="W422" s="11"/>
      <c r="X422" s="11"/>
      <c r="Y422" s="11"/>
      <c r="Z422" s="11"/>
    </row>
    <row r="423" spans="1:26" ht="14.25" customHeight="1">
      <c r="A423" s="11"/>
      <c r="B423" s="11"/>
      <c r="C423" s="11"/>
      <c r="D423" s="11"/>
      <c r="E423" s="11"/>
      <c r="F423" s="11"/>
      <c r="G423" s="11"/>
      <c r="H423" s="11"/>
      <c r="I423" s="46"/>
      <c r="J423" s="11"/>
      <c r="K423" s="11"/>
      <c r="L423" s="11"/>
      <c r="M423" s="11"/>
      <c r="N423" s="46"/>
      <c r="O423" s="11"/>
      <c r="P423" s="11"/>
      <c r="Q423" s="11"/>
      <c r="R423" s="11"/>
      <c r="S423" s="11"/>
      <c r="T423" s="11"/>
      <c r="U423" s="11"/>
      <c r="V423" s="11"/>
      <c r="W423" s="11"/>
      <c r="X423" s="11"/>
      <c r="Y423" s="11"/>
      <c r="Z423" s="11"/>
    </row>
    <row r="424" spans="1:26" ht="14.25" customHeight="1">
      <c r="A424" s="11"/>
      <c r="B424" s="11"/>
      <c r="C424" s="11"/>
      <c r="D424" s="11"/>
      <c r="E424" s="11"/>
      <c r="F424" s="11"/>
      <c r="G424" s="11"/>
      <c r="H424" s="11"/>
      <c r="I424" s="46"/>
      <c r="J424" s="11"/>
      <c r="K424" s="11"/>
      <c r="L424" s="11"/>
      <c r="M424" s="11"/>
      <c r="N424" s="46"/>
      <c r="O424" s="11"/>
      <c r="P424" s="11"/>
      <c r="Q424" s="11"/>
      <c r="R424" s="11"/>
      <c r="S424" s="11"/>
      <c r="T424" s="11"/>
      <c r="U424" s="11"/>
      <c r="V424" s="11"/>
      <c r="W424" s="11"/>
      <c r="X424" s="11"/>
      <c r="Y424" s="11"/>
      <c r="Z424" s="11"/>
    </row>
    <row r="425" spans="1:26" ht="14.25" customHeight="1">
      <c r="A425" s="11"/>
      <c r="B425" s="11"/>
      <c r="C425" s="11"/>
      <c r="D425" s="11"/>
      <c r="E425" s="11"/>
      <c r="F425" s="11"/>
      <c r="G425" s="11"/>
      <c r="H425" s="11"/>
      <c r="I425" s="46"/>
      <c r="J425" s="11"/>
      <c r="K425" s="11"/>
      <c r="L425" s="11"/>
      <c r="M425" s="11"/>
      <c r="N425" s="46"/>
      <c r="O425" s="11"/>
      <c r="P425" s="11"/>
      <c r="Q425" s="11"/>
      <c r="R425" s="11"/>
      <c r="S425" s="11"/>
      <c r="T425" s="11"/>
      <c r="U425" s="11"/>
      <c r="V425" s="11"/>
      <c r="W425" s="11"/>
      <c r="X425" s="11"/>
      <c r="Y425" s="11"/>
      <c r="Z425" s="11"/>
    </row>
    <row r="426" spans="1:26" ht="14.25" customHeight="1">
      <c r="A426" s="11"/>
      <c r="B426" s="11"/>
      <c r="C426" s="11"/>
      <c r="D426" s="11"/>
      <c r="E426" s="11"/>
      <c r="F426" s="11"/>
      <c r="G426" s="11"/>
      <c r="H426" s="11"/>
      <c r="I426" s="46"/>
      <c r="J426" s="11"/>
      <c r="K426" s="11"/>
      <c r="L426" s="11"/>
      <c r="M426" s="11"/>
      <c r="N426" s="46"/>
      <c r="O426" s="11"/>
      <c r="P426" s="11"/>
      <c r="Q426" s="11"/>
      <c r="R426" s="11"/>
      <c r="S426" s="11"/>
      <c r="T426" s="11"/>
      <c r="U426" s="11"/>
      <c r="V426" s="11"/>
      <c r="W426" s="11"/>
      <c r="X426" s="11"/>
      <c r="Y426" s="11"/>
      <c r="Z426" s="11"/>
    </row>
    <row r="427" spans="1:26" ht="14.25" customHeight="1">
      <c r="A427" s="11"/>
      <c r="B427" s="11"/>
      <c r="C427" s="11"/>
      <c r="D427" s="11"/>
      <c r="E427" s="11"/>
      <c r="F427" s="11"/>
      <c r="G427" s="11"/>
      <c r="H427" s="11"/>
      <c r="I427" s="46"/>
      <c r="J427" s="11"/>
      <c r="K427" s="11"/>
      <c r="L427" s="11"/>
      <c r="M427" s="11"/>
      <c r="N427" s="46"/>
      <c r="O427" s="11"/>
      <c r="P427" s="11"/>
      <c r="Q427" s="11"/>
      <c r="R427" s="11"/>
      <c r="S427" s="11"/>
      <c r="T427" s="11"/>
      <c r="U427" s="11"/>
      <c r="V427" s="11"/>
      <c r="W427" s="11"/>
      <c r="X427" s="11"/>
      <c r="Y427" s="11"/>
      <c r="Z427" s="11"/>
    </row>
    <row r="428" spans="1:26" ht="14.25" customHeight="1">
      <c r="A428" s="11"/>
      <c r="B428" s="11"/>
      <c r="C428" s="11"/>
      <c r="D428" s="11"/>
      <c r="E428" s="11"/>
      <c r="F428" s="11"/>
      <c r="G428" s="11"/>
      <c r="H428" s="11"/>
      <c r="I428" s="46"/>
      <c r="J428" s="11"/>
      <c r="K428" s="11"/>
      <c r="L428" s="11"/>
      <c r="M428" s="11"/>
      <c r="N428" s="46"/>
      <c r="O428" s="11"/>
      <c r="P428" s="11"/>
      <c r="Q428" s="11"/>
      <c r="R428" s="11"/>
      <c r="S428" s="11"/>
      <c r="T428" s="11"/>
      <c r="U428" s="11"/>
      <c r="V428" s="11"/>
      <c r="W428" s="11"/>
      <c r="X428" s="11"/>
      <c r="Y428" s="11"/>
      <c r="Z428" s="11"/>
    </row>
    <row r="429" spans="1:26" ht="14.25" customHeight="1">
      <c r="A429" s="11"/>
      <c r="B429" s="11"/>
      <c r="C429" s="11"/>
      <c r="D429" s="11"/>
      <c r="E429" s="11"/>
      <c r="F429" s="11"/>
      <c r="G429" s="11"/>
      <c r="H429" s="11"/>
      <c r="I429" s="46"/>
      <c r="J429" s="11"/>
      <c r="K429" s="11"/>
      <c r="L429" s="11"/>
      <c r="M429" s="11"/>
      <c r="N429" s="46"/>
      <c r="O429" s="11"/>
      <c r="P429" s="11"/>
      <c r="Q429" s="11"/>
      <c r="R429" s="11"/>
      <c r="S429" s="11"/>
      <c r="T429" s="11"/>
      <c r="U429" s="11"/>
      <c r="V429" s="11"/>
      <c r="W429" s="11"/>
      <c r="X429" s="11"/>
      <c r="Y429" s="11"/>
      <c r="Z429" s="11"/>
    </row>
    <row r="430" spans="1:26" ht="14.25" customHeight="1">
      <c r="A430" s="11"/>
      <c r="B430" s="11"/>
      <c r="C430" s="11"/>
      <c r="D430" s="11"/>
      <c r="E430" s="11"/>
      <c r="F430" s="11"/>
      <c r="G430" s="11"/>
      <c r="H430" s="11"/>
      <c r="I430" s="46"/>
      <c r="J430" s="11"/>
      <c r="K430" s="11"/>
      <c r="L430" s="11"/>
      <c r="M430" s="11"/>
      <c r="N430" s="46"/>
      <c r="O430" s="11"/>
      <c r="P430" s="11"/>
      <c r="Q430" s="11"/>
      <c r="R430" s="11"/>
      <c r="S430" s="11"/>
      <c r="T430" s="11"/>
      <c r="U430" s="11"/>
      <c r="V430" s="11"/>
      <c r="W430" s="11"/>
      <c r="X430" s="11"/>
      <c r="Y430" s="11"/>
      <c r="Z430" s="11"/>
    </row>
    <row r="431" spans="1:26" ht="14.25" customHeight="1">
      <c r="A431" s="11"/>
      <c r="B431" s="11"/>
      <c r="C431" s="11"/>
      <c r="D431" s="11"/>
      <c r="E431" s="11"/>
      <c r="F431" s="11"/>
      <c r="G431" s="11"/>
      <c r="H431" s="11"/>
      <c r="I431" s="46"/>
      <c r="J431" s="11"/>
      <c r="K431" s="11"/>
      <c r="L431" s="11"/>
      <c r="M431" s="11"/>
      <c r="N431" s="46"/>
      <c r="O431" s="11"/>
      <c r="P431" s="11"/>
      <c r="Q431" s="11"/>
      <c r="R431" s="11"/>
      <c r="S431" s="11"/>
      <c r="T431" s="11"/>
      <c r="U431" s="11"/>
      <c r="V431" s="11"/>
      <c r="W431" s="11"/>
      <c r="X431" s="11"/>
      <c r="Y431" s="11"/>
      <c r="Z431" s="11"/>
    </row>
    <row r="432" spans="1:26" ht="14.25" customHeight="1">
      <c r="A432" s="11"/>
      <c r="B432" s="11"/>
      <c r="C432" s="11"/>
      <c r="D432" s="11"/>
      <c r="E432" s="11"/>
      <c r="F432" s="11"/>
      <c r="G432" s="11"/>
      <c r="H432" s="11"/>
      <c r="I432" s="46"/>
      <c r="J432" s="11"/>
      <c r="K432" s="11"/>
      <c r="L432" s="11"/>
      <c r="M432" s="11"/>
      <c r="N432" s="46"/>
      <c r="O432" s="11"/>
      <c r="P432" s="11"/>
      <c r="Q432" s="11"/>
      <c r="R432" s="11"/>
      <c r="S432" s="11"/>
      <c r="T432" s="11"/>
      <c r="U432" s="11"/>
      <c r="V432" s="11"/>
      <c r="W432" s="11"/>
      <c r="X432" s="11"/>
      <c r="Y432" s="11"/>
      <c r="Z432" s="11"/>
    </row>
    <row r="433" spans="1:26" ht="14.25" customHeight="1">
      <c r="A433" s="11"/>
      <c r="B433" s="11"/>
      <c r="C433" s="11"/>
      <c r="D433" s="11"/>
      <c r="E433" s="11"/>
      <c r="F433" s="11"/>
      <c r="G433" s="11"/>
      <c r="H433" s="11"/>
      <c r="I433" s="46"/>
      <c r="J433" s="11"/>
      <c r="K433" s="11"/>
      <c r="L433" s="11"/>
      <c r="M433" s="11"/>
      <c r="N433" s="46"/>
      <c r="O433" s="11"/>
      <c r="P433" s="11"/>
      <c r="Q433" s="11"/>
      <c r="R433" s="11"/>
      <c r="S433" s="11"/>
      <c r="T433" s="11"/>
      <c r="U433" s="11"/>
      <c r="V433" s="11"/>
      <c r="W433" s="11"/>
      <c r="X433" s="11"/>
      <c r="Y433" s="11"/>
      <c r="Z433" s="11"/>
    </row>
    <row r="434" spans="1:26" ht="14.25" customHeight="1">
      <c r="A434" s="11"/>
      <c r="B434" s="11"/>
      <c r="C434" s="11"/>
      <c r="D434" s="11"/>
      <c r="E434" s="11"/>
      <c r="F434" s="11"/>
      <c r="G434" s="11"/>
      <c r="H434" s="11"/>
      <c r="I434" s="46"/>
      <c r="J434" s="11"/>
      <c r="K434" s="11"/>
      <c r="L434" s="11"/>
      <c r="M434" s="11"/>
      <c r="N434" s="46"/>
      <c r="O434" s="11"/>
      <c r="P434" s="11"/>
      <c r="Q434" s="11"/>
      <c r="R434" s="11"/>
      <c r="S434" s="11"/>
      <c r="T434" s="11"/>
      <c r="U434" s="11"/>
      <c r="V434" s="11"/>
      <c r="W434" s="11"/>
      <c r="X434" s="11"/>
      <c r="Y434" s="11"/>
      <c r="Z434" s="11"/>
    </row>
    <row r="435" spans="1:26" ht="14.25" customHeight="1">
      <c r="A435" s="11"/>
      <c r="B435" s="11"/>
      <c r="C435" s="11"/>
      <c r="D435" s="11"/>
      <c r="E435" s="11"/>
      <c r="F435" s="11"/>
      <c r="G435" s="11"/>
      <c r="H435" s="11"/>
      <c r="I435" s="46"/>
      <c r="J435" s="11"/>
      <c r="K435" s="11"/>
      <c r="L435" s="11"/>
      <c r="M435" s="11"/>
      <c r="N435" s="46"/>
      <c r="O435" s="11"/>
      <c r="P435" s="11"/>
      <c r="Q435" s="11"/>
      <c r="R435" s="11"/>
      <c r="S435" s="11"/>
      <c r="T435" s="11"/>
      <c r="U435" s="11"/>
      <c r="V435" s="11"/>
      <c r="W435" s="11"/>
      <c r="X435" s="11"/>
      <c r="Y435" s="11"/>
      <c r="Z435" s="11"/>
    </row>
    <row r="436" spans="1:26" ht="14.25" customHeight="1">
      <c r="A436" s="11"/>
      <c r="B436" s="11"/>
      <c r="C436" s="11"/>
      <c r="D436" s="11"/>
      <c r="E436" s="11"/>
      <c r="F436" s="11"/>
      <c r="G436" s="11"/>
      <c r="H436" s="11"/>
      <c r="I436" s="46"/>
      <c r="J436" s="11"/>
      <c r="K436" s="11"/>
      <c r="L436" s="11"/>
      <c r="M436" s="11"/>
      <c r="N436" s="46"/>
      <c r="O436" s="11"/>
      <c r="P436" s="11"/>
      <c r="Q436" s="11"/>
      <c r="R436" s="11"/>
      <c r="S436" s="11"/>
      <c r="T436" s="11"/>
      <c r="U436" s="11"/>
      <c r="V436" s="11"/>
      <c r="W436" s="11"/>
      <c r="X436" s="11"/>
      <c r="Y436" s="11"/>
      <c r="Z436" s="11"/>
    </row>
    <row r="437" spans="1:26" ht="14.25" customHeight="1">
      <c r="A437" s="11"/>
      <c r="B437" s="11"/>
      <c r="C437" s="11"/>
      <c r="D437" s="11"/>
      <c r="E437" s="11"/>
      <c r="F437" s="11"/>
      <c r="G437" s="11"/>
      <c r="H437" s="11"/>
      <c r="I437" s="46"/>
      <c r="J437" s="11"/>
      <c r="K437" s="11"/>
      <c r="L437" s="11"/>
      <c r="M437" s="11"/>
      <c r="N437" s="46"/>
      <c r="O437" s="11"/>
      <c r="P437" s="11"/>
      <c r="Q437" s="11"/>
      <c r="R437" s="11"/>
      <c r="S437" s="11"/>
      <c r="T437" s="11"/>
      <c r="U437" s="11"/>
      <c r="V437" s="11"/>
      <c r="W437" s="11"/>
      <c r="X437" s="11"/>
      <c r="Y437" s="11"/>
      <c r="Z437" s="11"/>
    </row>
    <row r="438" spans="1:26" ht="14.25" customHeight="1">
      <c r="A438" s="11"/>
      <c r="B438" s="11"/>
      <c r="C438" s="11"/>
      <c r="D438" s="11"/>
      <c r="E438" s="11"/>
      <c r="F438" s="11"/>
      <c r="G438" s="11"/>
      <c r="H438" s="11"/>
      <c r="I438" s="46"/>
      <c r="J438" s="11"/>
      <c r="K438" s="11"/>
      <c r="L438" s="11"/>
      <c r="M438" s="11"/>
      <c r="N438" s="46"/>
      <c r="O438" s="11"/>
      <c r="P438" s="11"/>
      <c r="Q438" s="11"/>
      <c r="R438" s="11"/>
      <c r="S438" s="11"/>
      <c r="T438" s="11"/>
      <c r="U438" s="11"/>
      <c r="V438" s="11"/>
      <c r="W438" s="11"/>
      <c r="X438" s="11"/>
      <c r="Y438" s="11"/>
      <c r="Z438" s="11"/>
    </row>
    <row r="439" spans="1:26" ht="14.25" customHeight="1">
      <c r="A439" s="11"/>
      <c r="B439" s="11"/>
      <c r="C439" s="11"/>
      <c r="D439" s="11"/>
      <c r="E439" s="11"/>
      <c r="F439" s="11"/>
      <c r="G439" s="11"/>
      <c r="H439" s="11"/>
      <c r="I439" s="46"/>
      <c r="J439" s="11"/>
      <c r="K439" s="11"/>
      <c r="L439" s="11"/>
      <c r="M439" s="11"/>
      <c r="N439" s="46"/>
      <c r="O439" s="11"/>
      <c r="P439" s="11"/>
      <c r="Q439" s="11"/>
      <c r="R439" s="11"/>
      <c r="S439" s="11"/>
      <c r="T439" s="11"/>
      <c r="U439" s="11"/>
      <c r="V439" s="11"/>
      <c r="W439" s="11"/>
      <c r="X439" s="11"/>
      <c r="Y439" s="11"/>
      <c r="Z439" s="11"/>
    </row>
    <row r="440" spans="1:26" ht="14.25" customHeight="1">
      <c r="A440" s="11"/>
      <c r="B440" s="11"/>
      <c r="C440" s="11"/>
      <c r="D440" s="11"/>
      <c r="E440" s="11"/>
      <c r="F440" s="11"/>
      <c r="G440" s="11"/>
      <c r="H440" s="11"/>
      <c r="I440" s="46"/>
      <c r="J440" s="11"/>
      <c r="K440" s="11"/>
      <c r="L440" s="11"/>
      <c r="M440" s="11"/>
      <c r="N440" s="46"/>
      <c r="O440" s="11"/>
      <c r="P440" s="11"/>
      <c r="Q440" s="11"/>
      <c r="R440" s="11"/>
      <c r="S440" s="11"/>
      <c r="T440" s="11"/>
      <c r="U440" s="11"/>
      <c r="V440" s="11"/>
      <c r="W440" s="11"/>
      <c r="X440" s="11"/>
      <c r="Y440" s="11"/>
      <c r="Z440" s="11"/>
    </row>
    <row r="441" spans="1:26" ht="14.25" customHeight="1">
      <c r="A441" s="11"/>
      <c r="B441" s="11"/>
      <c r="C441" s="11"/>
      <c r="D441" s="11"/>
      <c r="E441" s="11"/>
      <c r="F441" s="11"/>
      <c r="G441" s="11"/>
      <c r="H441" s="11"/>
      <c r="I441" s="46"/>
      <c r="J441" s="11"/>
      <c r="K441" s="11"/>
      <c r="L441" s="11"/>
      <c r="M441" s="11"/>
      <c r="N441" s="46"/>
      <c r="O441" s="11"/>
      <c r="P441" s="11"/>
      <c r="Q441" s="11"/>
      <c r="R441" s="11"/>
      <c r="S441" s="11"/>
      <c r="T441" s="11"/>
      <c r="U441" s="11"/>
      <c r="V441" s="11"/>
      <c r="W441" s="11"/>
      <c r="X441" s="11"/>
      <c r="Y441" s="11"/>
      <c r="Z441" s="11"/>
    </row>
    <row r="442" spans="1:26" ht="14.25" customHeight="1">
      <c r="A442" s="11"/>
      <c r="B442" s="11"/>
      <c r="C442" s="11"/>
      <c r="D442" s="11"/>
      <c r="E442" s="11"/>
      <c r="F442" s="11"/>
      <c r="G442" s="11"/>
      <c r="H442" s="11"/>
      <c r="I442" s="46"/>
      <c r="J442" s="11"/>
      <c r="K442" s="11"/>
      <c r="L442" s="11"/>
      <c r="M442" s="11"/>
      <c r="N442" s="46"/>
      <c r="O442" s="11"/>
      <c r="P442" s="11"/>
      <c r="Q442" s="11"/>
      <c r="R442" s="11"/>
      <c r="S442" s="11"/>
      <c r="T442" s="11"/>
      <c r="U442" s="11"/>
      <c r="V442" s="11"/>
      <c r="W442" s="11"/>
      <c r="X442" s="11"/>
      <c r="Y442" s="11"/>
      <c r="Z442" s="11"/>
    </row>
    <row r="443" spans="1:26" ht="14.25" customHeight="1">
      <c r="A443" s="11"/>
      <c r="B443" s="11"/>
      <c r="C443" s="11"/>
      <c r="D443" s="11"/>
      <c r="E443" s="11"/>
      <c r="F443" s="11"/>
      <c r="G443" s="11"/>
      <c r="H443" s="11"/>
      <c r="I443" s="46"/>
      <c r="J443" s="11"/>
      <c r="K443" s="11"/>
      <c r="L443" s="11"/>
      <c r="M443" s="11"/>
      <c r="N443" s="46"/>
      <c r="O443" s="11"/>
      <c r="P443" s="11"/>
      <c r="Q443" s="11"/>
      <c r="R443" s="11"/>
      <c r="S443" s="11"/>
      <c r="T443" s="11"/>
      <c r="U443" s="11"/>
      <c r="V443" s="11"/>
      <c r="W443" s="11"/>
      <c r="X443" s="11"/>
      <c r="Y443" s="11"/>
      <c r="Z443" s="11"/>
    </row>
    <row r="444" spans="1:26" ht="14.25" customHeight="1">
      <c r="A444" s="11"/>
      <c r="B444" s="11"/>
      <c r="C444" s="11"/>
      <c r="D444" s="11"/>
      <c r="E444" s="11"/>
      <c r="F444" s="11"/>
      <c r="G444" s="11"/>
      <c r="H444" s="11"/>
      <c r="I444" s="46"/>
      <c r="J444" s="11"/>
      <c r="K444" s="11"/>
      <c r="L444" s="11"/>
      <c r="M444" s="11"/>
      <c r="N444" s="46"/>
      <c r="O444" s="11"/>
      <c r="P444" s="11"/>
      <c r="Q444" s="11"/>
      <c r="R444" s="11"/>
      <c r="S444" s="11"/>
      <c r="T444" s="11"/>
      <c r="U444" s="11"/>
      <c r="V444" s="11"/>
      <c r="W444" s="11"/>
      <c r="X444" s="11"/>
      <c r="Y444" s="11"/>
      <c r="Z444" s="11"/>
    </row>
    <row r="445" spans="1:26" ht="14.25" customHeight="1">
      <c r="A445" s="11"/>
      <c r="B445" s="11"/>
      <c r="C445" s="11"/>
      <c r="D445" s="11"/>
      <c r="E445" s="11"/>
      <c r="F445" s="11"/>
      <c r="G445" s="11"/>
      <c r="H445" s="11"/>
      <c r="I445" s="46"/>
      <c r="J445" s="11"/>
      <c r="K445" s="11"/>
      <c r="L445" s="11"/>
      <c r="M445" s="11"/>
      <c r="N445" s="46"/>
      <c r="O445" s="11"/>
      <c r="P445" s="11"/>
      <c r="Q445" s="11"/>
      <c r="R445" s="11"/>
      <c r="S445" s="11"/>
      <c r="T445" s="11"/>
      <c r="U445" s="11"/>
      <c r="V445" s="11"/>
      <c r="W445" s="11"/>
      <c r="X445" s="11"/>
      <c r="Y445" s="11"/>
      <c r="Z445" s="11"/>
    </row>
    <row r="446" spans="1:26" ht="14.25" customHeight="1">
      <c r="A446" s="11"/>
      <c r="B446" s="11"/>
      <c r="C446" s="11"/>
      <c r="D446" s="11"/>
      <c r="E446" s="11"/>
      <c r="F446" s="11"/>
      <c r="G446" s="11"/>
      <c r="H446" s="11"/>
      <c r="I446" s="46"/>
      <c r="J446" s="11"/>
      <c r="K446" s="11"/>
      <c r="L446" s="11"/>
      <c r="M446" s="11"/>
      <c r="N446" s="46"/>
      <c r="O446" s="11"/>
      <c r="P446" s="11"/>
      <c r="Q446" s="11"/>
      <c r="R446" s="11"/>
      <c r="S446" s="11"/>
      <c r="T446" s="11"/>
      <c r="U446" s="11"/>
      <c r="V446" s="11"/>
      <c r="W446" s="11"/>
      <c r="X446" s="11"/>
      <c r="Y446" s="11"/>
      <c r="Z446" s="11"/>
    </row>
    <row r="447" spans="1:26" ht="14.25" customHeight="1">
      <c r="A447" s="11"/>
      <c r="B447" s="11"/>
      <c r="C447" s="11"/>
      <c r="D447" s="11"/>
      <c r="E447" s="11"/>
      <c r="F447" s="11"/>
      <c r="G447" s="11"/>
      <c r="H447" s="11"/>
      <c r="I447" s="46"/>
      <c r="J447" s="11"/>
      <c r="K447" s="11"/>
      <c r="L447" s="11"/>
      <c r="M447" s="11"/>
      <c r="N447" s="46"/>
      <c r="O447" s="11"/>
      <c r="P447" s="11"/>
      <c r="Q447" s="11"/>
      <c r="R447" s="11"/>
      <c r="S447" s="11"/>
      <c r="T447" s="11"/>
      <c r="U447" s="11"/>
      <c r="V447" s="11"/>
      <c r="W447" s="11"/>
      <c r="X447" s="11"/>
      <c r="Y447" s="11"/>
      <c r="Z447" s="11"/>
    </row>
    <row r="448" spans="1:26" ht="14.25" customHeight="1">
      <c r="A448" s="11"/>
      <c r="B448" s="11"/>
      <c r="C448" s="11"/>
      <c r="D448" s="11"/>
      <c r="E448" s="11"/>
      <c r="F448" s="11"/>
      <c r="G448" s="11"/>
      <c r="H448" s="11"/>
      <c r="I448" s="46"/>
      <c r="J448" s="11"/>
      <c r="K448" s="11"/>
      <c r="L448" s="11"/>
      <c r="M448" s="11"/>
      <c r="N448" s="46"/>
      <c r="O448" s="11"/>
      <c r="P448" s="11"/>
      <c r="Q448" s="11"/>
      <c r="R448" s="11"/>
      <c r="S448" s="11"/>
      <c r="T448" s="11"/>
      <c r="U448" s="11"/>
      <c r="V448" s="11"/>
      <c r="W448" s="11"/>
      <c r="X448" s="11"/>
      <c r="Y448" s="11"/>
      <c r="Z448" s="11"/>
    </row>
    <row r="449" spans="1:26" ht="14.25" customHeight="1">
      <c r="A449" s="11"/>
      <c r="B449" s="11"/>
      <c r="C449" s="11"/>
      <c r="D449" s="11"/>
      <c r="E449" s="11"/>
      <c r="F449" s="11"/>
      <c r="G449" s="11"/>
      <c r="H449" s="11"/>
      <c r="I449" s="46"/>
      <c r="J449" s="11"/>
      <c r="K449" s="11"/>
      <c r="L449" s="11"/>
      <c r="M449" s="11"/>
      <c r="N449" s="46"/>
      <c r="O449" s="11"/>
      <c r="P449" s="11"/>
      <c r="Q449" s="11"/>
      <c r="R449" s="11"/>
      <c r="S449" s="11"/>
      <c r="T449" s="11"/>
      <c r="U449" s="11"/>
      <c r="V449" s="11"/>
      <c r="W449" s="11"/>
      <c r="X449" s="11"/>
      <c r="Y449" s="11"/>
      <c r="Z449" s="11"/>
    </row>
    <row r="450" spans="1:26" ht="14.25" customHeight="1">
      <c r="A450" s="11"/>
      <c r="B450" s="11"/>
      <c r="C450" s="11"/>
      <c r="D450" s="11"/>
      <c r="E450" s="11"/>
      <c r="F450" s="11"/>
      <c r="G450" s="11"/>
      <c r="H450" s="11"/>
      <c r="I450" s="46"/>
      <c r="J450" s="11"/>
      <c r="K450" s="11"/>
      <c r="L450" s="11"/>
      <c r="M450" s="11"/>
      <c r="N450" s="46"/>
      <c r="O450" s="11"/>
      <c r="P450" s="11"/>
      <c r="Q450" s="11"/>
      <c r="R450" s="11"/>
      <c r="S450" s="11"/>
      <c r="T450" s="11"/>
      <c r="U450" s="11"/>
      <c r="V450" s="11"/>
      <c r="W450" s="11"/>
      <c r="X450" s="11"/>
      <c r="Y450" s="11"/>
      <c r="Z450" s="11"/>
    </row>
    <row r="451" spans="1:26" ht="14.25" customHeight="1">
      <c r="A451" s="11"/>
      <c r="B451" s="11"/>
      <c r="C451" s="11"/>
      <c r="D451" s="11"/>
      <c r="E451" s="11"/>
      <c r="F451" s="11"/>
      <c r="G451" s="11"/>
      <c r="H451" s="11"/>
      <c r="I451" s="46"/>
      <c r="J451" s="11"/>
      <c r="K451" s="11"/>
      <c r="L451" s="11"/>
      <c r="M451" s="11"/>
      <c r="N451" s="46"/>
      <c r="O451" s="11"/>
      <c r="P451" s="11"/>
      <c r="Q451" s="11"/>
      <c r="R451" s="11"/>
      <c r="S451" s="11"/>
      <c r="T451" s="11"/>
      <c r="U451" s="11"/>
      <c r="V451" s="11"/>
      <c r="W451" s="11"/>
      <c r="X451" s="11"/>
      <c r="Y451" s="11"/>
      <c r="Z451" s="11"/>
    </row>
    <row r="452" spans="1:26" ht="14.25" customHeight="1">
      <c r="A452" s="11"/>
      <c r="B452" s="11"/>
      <c r="C452" s="11"/>
      <c r="D452" s="11"/>
      <c r="E452" s="11"/>
      <c r="F452" s="11"/>
      <c r="G452" s="11"/>
      <c r="H452" s="11"/>
      <c r="I452" s="46"/>
      <c r="J452" s="11"/>
      <c r="K452" s="11"/>
      <c r="L452" s="11"/>
      <c r="M452" s="11"/>
      <c r="N452" s="46"/>
      <c r="O452" s="11"/>
      <c r="P452" s="11"/>
      <c r="Q452" s="11"/>
      <c r="R452" s="11"/>
      <c r="S452" s="11"/>
      <c r="T452" s="11"/>
      <c r="U452" s="11"/>
      <c r="V452" s="11"/>
      <c r="W452" s="11"/>
      <c r="X452" s="11"/>
      <c r="Y452" s="11"/>
      <c r="Z452" s="11"/>
    </row>
    <row r="453" spans="1:26" ht="14.25" customHeight="1">
      <c r="A453" s="11"/>
      <c r="B453" s="11"/>
      <c r="C453" s="11"/>
      <c r="D453" s="11"/>
      <c r="E453" s="11"/>
      <c r="F453" s="11"/>
      <c r="G453" s="11"/>
      <c r="H453" s="11"/>
      <c r="I453" s="46"/>
      <c r="J453" s="11"/>
      <c r="K453" s="11"/>
      <c r="L453" s="11"/>
      <c r="M453" s="11"/>
      <c r="N453" s="46"/>
      <c r="O453" s="11"/>
      <c r="P453" s="11"/>
      <c r="Q453" s="11"/>
      <c r="R453" s="11"/>
      <c r="S453" s="11"/>
      <c r="T453" s="11"/>
      <c r="U453" s="11"/>
      <c r="V453" s="11"/>
      <c r="W453" s="11"/>
      <c r="X453" s="11"/>
      <c r="Y453" s="11"/>
      <c r="Z453" s="11"/>
    </row>
    <row r="454" spans="1:26" ht="14.25" customHeight="1">
      <c r="A454" s="11"/>
      <c r="B454" s="11"/>
      <c r="C454" s="11"/>
      <c r="D454" s="11"/>
      <c r="E454" s="11"/>
      <c r="F454" s="11"/>
      <c r="G454" s="11"/>
      <c r="H454" s="11"/>
      <c r="I454" s="46"/>
      <c r="J454" s="11"/>
      <c r="K454" s="11"/>
      <c r="L454" s="11"/>
      <c r="M454" s="11"/>
      <c r="N454" s="46"/>
      <c r="O454" s="11"/>
      <c r="P454" s="11"/>
      <c r="Q454" s="11"/>
      <c r="R454" s="11"/>
      <c r="S454" s="11"/>
      <c r="T454" s="11"/>
      <c r="U454" s="11"/>
      <c r="V454" s="11"/>
      <c r="W454" s="11"/>
      <c r="X454" s="11"/>
      <c r="Y454" s="11"/>
      <c r="Z454" s="11"/>
    </row>
    <row r="455" spans="1:26" ht="14.25" customHeight="1">
      <c r="A455" s="11"/>
      <c r="B455" s="11"/>
      <c r="C455" s="11"/>
      <c r="D455" s="11"/>
      <c r="E455" s="11"/>
      <c r="F455" s="11"/>
      <c r="G455" s="11"/>
      <c r="H455" s="11"/>
      <c r="I455" s="46"/>
      <c r="J455" s="11"/>
      <c r="K455" s="11"/>
      <c r="L455" s="11"/>
      <c r="M455" s="11"/>
      <c r="N455" s="46"/>
      <c r="O455" s="11"/>
      <c r="P455" s="11"/>
      <c r="Q455" s="11"/>
      <c r="R455" s="11"/>
      <c r="S455" s="11"/>
      <c r="T455" s="11"/>
      <c r="U455" s="11"/>
      <c r="V455" s="11"/>
      <c r="W455" s="11"/>
      <c r="X455" s="11"/>
      <c r="Y455" s="11"/>
      <c r="Z455" s="11"/>
    </row>
    <row r="456" spans="1:26" ht="14.25" customHeight="1">
      <c r="A456" s="11"/>
      <c r="B456" s="11"/>
      <c r="C456" s="11"/>
      <c r="D456" s="11"/>
      <c r="E456" s="11"/>
      <c r="F456" s="11"/>
      <c r="G456" s="11"/>
      <c r="H456" s="11"/>
      <c r="I456" s="46"/>
      <c r="J456" s="11"/>
      <c r="K456" s="11"/>
      <c r="L456" s="11"/>
      <c r="M456" s="11"/>
      <c r="N456" s="46"/>
      <c r="O456" s="11"/>
      <c r="P456" s="11"/>
      <c r="Q456" s="11"/>
      <c r="R456" s="11"/>
      <c r="S456" s="11"/>
      <c r="T456" s="11"/>
      <c r="U456" s="11"/>
      <c r="V456" s="11"/>
      <c r="W456" s="11"/>
      <c r="X456" s="11"/>
      <c r="Y456" s="11"/>
      <c r="Z456" s="11"/>
    </row>
    <row r="457" spans="1:26" ht="14.25" customHeight="1">
      <c r="A457" s="11"/>
      <c r="B457" s="11"/>
      <c r="C457" s="11"/>
      <c r="D457" s="11"/>
      <c r="E457" s="11"/>
      <c r="F457" s="11"/>
      <c r="G457" s="11"/>
      <c r="H457" s="11"/>
      <c r="I457" s="46"/>
      <c r="J457" s="11"/>
      <c r="K457" s="11"/>
      <c r="L457" s="11"/>
      <c r="M457" s="11"/>
      <c r="N457" s="46"/>
      <c r="O457" s="11"/>
      <c r="P457" s="11"/>
      <c r="Q457" s="11"/>
      <c r="R457" s="11"/>
      <c r="S457" s="11"/>
      <c r="T457" s="11"/>
      <c r="U457" s="11"/>
      <c r="V457" s="11"/>
      <c r="W457" s="11"/>
      <c r="X457" s="11"/>
      <c r="Y457" s="11"/>
      <c r="Z457" s="11"/>
    </row>
    <row r="458" spans="1:26" ht="14.25" customHeight="1">
      <c r="A458" s="11"/>
      <c r="B458" s="11"/>
      <c r="C458" s="11"/>
      <c r="D458" s="11"/>
      <c r="E458" s="11"/>
      <c r="F458" s="11"/>
      <c r="G458" s="11"/>
      <c r="H458" s="11"/>
      <c r="I458" s="46"/>
      <c r="J458" s="11"/>
      <c r="K458" s="11"/>
      <c r="L458" s="11"/>
      <c r="M458" s="11"/>
      <c r="N458" s="46"/>
      <c r="O458" s="11"/>
      <c r="P458" s="11"/>
      <c r="Q458" s="11"/>
      <c r="R458" s="11"/>
      <c r="S458" s="11"/>
      <c r="T458" s="11"/>
      <c r="U458" s="11"/>
      <c r="V458" s="11"/>
      <c r="W458" s="11"/>
      <c r="X458" s="11"/>
      <c r="Y458" s="11"/>
      <c r="Z458" s="11"/>
    </row>
    <row r="459" spans="1:26" ht="14.25" customHeight="1">
      <c r="A459" s="11"/>
      <c r="B459" s="11"/>
      <c r="C459" s="11"/>
      <c r="D459" s="11"/>
      <c r="E459" s="11"/>
      <c r="F459" s="11"/>
      <c r="G459" s="11"/>
      <c r="H459" s="11"/>
      <c r="I459" s="46"/>
      <c r="J459" s="11"/>
      <c r="K459" s="11"/>
      <c r="L459" s="11"/>
      <c r="M459" s="11"/>
      <c r="N459" s="46"/>
      <c r="O459" s="11"/>
      <c r="P459" s="11"/>
      <c r="Q459" s="11"/>
      <c r="R459" s="11"/>
      <c r="S459" s="11"/>
      <c r="T459" s="11"/>
      <c r="U459" s="11"/>
      <c r="V459" s="11"/>
      <c r="W459" s="11"/>
      <c r="X459" s="11"/>
      <c r="Y459" s="11"/>
      <c r="Z459" s="11"/>
    </row>
    <row r="460" spans="1:26" ht="14.25" customHeight="1">
      <c r="A460" s="11"/>
      <c r="B460" s="11"/>
      <c r="C460" s="11"/>
      <c r="D460" s="11"/>
      <c r="E460" s="11"/>
      <c r="F460" s="11"/>
      <c r="G460" s="11"/>
      <c r="H460" s="11"/>
      <c r="I460" s="46"/>
      <c r="J460" s="11"/>
      <c r="K460" s="11"/>
      <c r="L460" s="11"/>
      <c r="M460" s="11"/>
      <c r="N460" s="46"/>
      <c r="O460" s="11"/>
      <c r="P460" s="11"/>
      <c r="Q460" s="11"/>
      <c r="R460" s="11"/>
      <c r="S460" s="11"/>
      <c r="T460" s="11"/>
      <c r="U460" s="11"/>
      <c r="V460" s="11"/>
      <c r="W460" s="11"/>
      <c r="X460" s="11"/>
      <c r="Y460" s="11"/>
      <c r="Z460" s="11"/>
    </row>
    <row r="461" spans="1:26" ht="14.25" customHeight="1">
      <c r="A461" s="11"/>
      <c r="B461" s="11"/>
      <c r="C461" s="11"/>
      <c r="D461" s="11"/>
      <c r="E461" s="11"/>
      <c r="F461" s="11"/>
      <c r="G461" s="11"/>
      <c r="H461" s="11"/>
      <c r="I461" s="46"/>
      <c r="J461" s="11"/>
      <c r="K461" s="11"/>
      <c r="L461" s="11"/>
      <c r="M461" s="11"/>
      <c r="N461" s="46"/>
      <c r="O461" s="11"/>
      <c r="P461" s="11"/>
      <c r="Q461" s="11"/>
      <c r="R461" s="11"/>
      <c r="S461" s="11"/>
      <c r="T461" s="11"/>
      <c r="U461" s="11"/>
      <c r="V461" s="11"/>
      <c r="W461" s="11"/>
      <c r="X461" s="11"/>
      <c r="Y461" s="11"/>
      <c r="Z461" s="11"/>
    </row>
    <row r="462" spans="1:26" ht="14.25" customHeight="1">
      <c r="A462" s="11"/>
      <c r="B462" s="11"/>
      <c r="C462" s="11"/>
      <c r="D462" s="11"/>
      <c r="E462" s="11"/>
      <c r="F462" s="11"/>
      <c r="G462" s="11"/>
      <c r="H462" s="11"/>
      <c r="I462" s="46"/>
      <c r="J462" s="11"/>
      <c r="K462" s="11"/>
      <c r="L462" s="11"/>
      <c r="M462" s="11"/>
      <c r="N462" s="46"/>
      <c r="O462" s="11"/>
      <c r="P462" s="11"/>
      <c r="Q462" s="11"/>
      <c r="R462" s="11"/>
      <c r="S462" s="11"/>
      <c r="T462" s="11"/>
      <c r="U462" s="11"/>
      <c r="V462" s="11"/>
      <c r="W462" s="11"/>
      <c r="X462" s="11"/>
      <c r="Y462" s="11"/>
      <c r="Z462" s="11"/>
    </row>
    <row r="463" spans="1:26" ht="14.25" customHeight="1">
      <c r="A463" s="11"/>
      <c r="B463" s="11"/>
      <c r="C463" s="11"/>
      <c r="D463" s="11"/>
      <c r="E463" s="11"/>
      <c r="F463" s="11"/>
      <c r="G463" s="11"/>
      <c r="H463" s="11"/>
      <c r="I463" s="46"/>
      <c r="J463" s="11"/>
      <c r="K463" s="11"/>
      <c r="L463" s="11"/>
      <c r="M463" s="11"/>
      <c r="N463" s="46"/>
      <c r="O463" s="11"/>
      <c r="P463" s="11"/>
      <c r="Q463" s="11"/>
      <c r="R463" s="11"/>
      <c r="S463" s="11"/>
      <c r="T463" s="11"/>
      <c r="U463" s="11"/>
      <c r="V463" s="11"/>
      <c r="W463" s="11"/>
      <c r="X463" s="11"/>
      <c r="Y463" s="11"/>
      <c r="Z463" s="11"/>
    </row>
    <row r="464" spans="1:26" ht="14.25" customHeight="1">
      <c r="A464" s="11"/>
      <c r="B464" s="11"/>
      <c r="C464" s="11"/>
      <c r="D464" s="11"/>
      <c r="E464" s="11"/>
      <c r="F464" s="11"/>
      <c r="G464" s="11"/>
      <c r="H464" s="11"/>
      <c r="I464" s="46"/>
      <c r="J464" s="11"/>
      <c r="K464" s="11"/>
      <c r="L464" s="11"/>
      <c r="M464" s="11"/>
      <c r="N464" s="46"/>
      <c r="O464" s="11"/>
      <c r="P464" s="11"/>
      <c r="Q464" s="11"/>
      <c r="R464" s="11"/>
      <c r="S464" s="11"/>
      <c r="T464" s="11"/>
      <c r="U464" s="11"/>
      <c r="V464" s="11"/>
      <c r="W464" s="11"/>
      <c r="X464" s="11"/>
      <c r="Y464" s="11"/>
      <c r="Z464" s="11"/>
    </row>
    <row r="465" spans="1:26" ht="14.25" customHeight="1">
      <c r="A465" s="11"/>
      <c r="B465" s="11"/>
      <c r="C465" s="11"/>
      <c r="D465" s="11"/>
      <c r="E465" s="11"/>
      <c r="F465" s="11"/>
      <c r="G465" s="11"/>
      <c r="H465" s="11"/>
      <c r="I465" s="46"/>
      <c r="J465" s="11"/>
      <c r="K465" s="11"/>
      <c r="L465" s="11"/>
      <c r="M465" s="11"/>
      <c r="N465" s="46"/>
      <c r="O465" s="11"/>
      <c r="P465" s="11"/>
      <c r="Q465" s="11"/>
      <c r="R465" s="11"/>
      <c r="S465" s="11"/>
      <c r="T465" s="11"/>
      <c r="U465" s="11"/>
      <c r="V465" s="11"/>
      <c r="W465" s="11"/>
      <c r="X465" s="11"/>
      <c r="Y465" s="11"/>
      <c r="Z465" s="11"/>
    </row>
    <row r="466" spans="1:26" ht="14.25" customHeight="1">
      <c r="A466" s="11"/>
      <c r="B466" s="11"/>
      <c r="C466" s="11"/>
      <c r="D466" s="11"/>
      <c r="E466" s="11"/>
      <c r="F466" s="11"/>
      <c r="G466" s="11"/>
      <c r="H466" s="11"/>
      <c r="I466" s="46"/>
      <c r="J466" s="11"/>
      <c r="K466" s="11"/>
      <c r="L466" s="11"/>
      <c r="M466" s="11"/>
      <c r="N466" s="46"/>
      <c r="O466" s="11"/>
      <c r="P466" s="11"/>
      <c r="Q466" s="11"/>
      <c r="R466" s="11"/>
      <c r="S466" s="11"/>
      <c r="T466" s="11"/>
      <c r="U466" s="11"/>
      <c r="V466" s="11"/>
      <c r="W466" s="11"/>
      <c r="X466" s="11"/>
      <c r="Y466" s="11"/>
      <c r="Z466" s="11"/>
    </row>
    <row r="467" spans="1:26" ht="14.25" customHeight="1">
      <c r="A467" s="11"/>
      <c r="B467" s="11"/>
      <c r="C467" s="11"/>
      <c r="D467" s="11"/>
      <c r="E467" s="11"/>
      <c r="F467" s="11"/>
      <c r="G467" s="11"/>
      <c r="H467" s="11"/>
      <c r="I467" s="46"/>
      <c r="J467" s="11"/>
      <c r="K467" s="11"/>
      <c r="L467" s="11"/>
      <c r="M467" s="11"/>
      <c r="N467" s="46"/>
      <c r="O467" s="11"/>
      <c r="P467" s="11"/>
      <c r="Q467" s="11"/>
      <c r="R467" s="11"/>
      <c r="S467" s="11"/>
      <c r="T467" s="11"/>
      <c r="U467" s="11"/>
      <c r="V467" s="11"/>
      <c r="W467" s="11"/>
      <c r="X467" s="11"/>
      <c r="Y467" s="11"/>
      <c r="Z467" s="11"/>
    </row>
    <row r="468" spans="1:26" ht="14.25" customHeight="1">
      <c r="A468" s="11"/>
      <c r="B468" s="11"/>
      <c r="C468" s="11"/>
      <c r="D468" s="11"/>
      <c r="E468" s="11"/>
      <c r="F468" s="11"/>
      <c r="G468" s="11"/>
      <c r="H468" s="11"/>
      <c r="I468" s="46"/>
      <c r="J468" s="11"/>
      <c r="K468" s="11"/>
      <c r="L468" s="11"/>
      <c r="M468" s="11"/>
      <c r="N468" s="46"/>
      <c r="O468" s="11"/>
      <c r="P468" s="11"/>
      <c r="Q468" s="11"/>
      <c r="R468" s="11"/>
      <c r="S468" s="11"/>
      <c r="T468" s="11"/>
      <c r="U468" s="11"/>
      <c r="V468" s="11"/>
      <c r="W468" s="11"/>
      <c r="X468" s="11"/>
      <c r="Y468" s="11"/>
      <c r="Z468" s="11"/>
    </row>
    <row r="469" spans="1:26" ht="14.25" customHeight="1">
      <c r="A469" s="11"/>
      <c r="B469" s="11"/>
      <c r="C469" s="11"/>
      <c r="D469" s="11"/>
      <c r="E469" s="11"/>
      <c r="F469" s="11"/>
      <c r="G469" s="11"/>
      <c r="H469" s="11"/>
      <c r="I469" s="46"/>
      <c r="J469" s="11"/>
      <c r="K469" s="11"/>
      <c r="L469" s="11"/>
      <c r="M469" s="11"/>
      <c r="N469" s="46"/>
      <c r="O469" s="11"/>
      <c r="P469" s="11"/>
      <c r="Q469" s="11"/>
      <c r="R469" s="11"/>
      <c r="S469" s="11"/>
      <c r="T469" s="11"/>
      <c r="U469" s="11"/>
      <c r="V469" s="11"/>
      <c r="W469" s="11"/>
      <c r="X469" s="11"/>
      <c r="Y469" s="11"/>
      <c r="Z469" s="11"/>
    </row>
    <row r="470" spans="1:26" ht="14.25" customHeight="1">
      <c r="A470" s="11"/>
      <c r="B470" s="11"/>
      <c r="C470" s="11"/>
      <c r="D470" s="11"/>
      <c r="E470" s="11"/>
      <c r="F470" s="11"/>
      <c r="G470" s="11"/>
      <c r="H470" s="11"/>
      <c r="I470" s="46"/>
      <c r="J470" s="11"/>
      <c r="K470" s="11"/>
      <c r="L470" s="11"/>
      <c r="M470" s="11"/>
      <c r="N470" s="46"/>
      <c r="O470" s="11"/>
      <c r="P470" s="11"/>
      <c r="Q470" s="11"/>
      <c r="R470" s="11"/>
      <c r="S470" s="11"/>
      <c r="T470" s="11"/>
      <c r="U470" s="11"/>
      <c r="V470" s="11"/>
      <c r="W470" s="11"/>
      <c r="X470" s="11"/>
      <c r="Y470" s="11"/>
      <c r="Z470" s="11"/>
    </row>
    <row r="471" spans="1:26" ht="14.25" customHeight="1">
      <c r="A471" s="11"/>
      <c r="B471" s="11"/>
      <c r="C471" s="11"/>
      <c r="D471" s="11"/>
      <c r="E471" s="11"/>
      <c r="F471" s="11"/>
      <c r="G471" s="11"/>
      <c r="H471" s="11"/>
      <c r="I471" s="46"/>
      <c r="J471" s="11"/>
      <c r="K471" s="11"/>
      <c r="L471" s="11"/>
      <c r="M471" s="11"/>
      <c r="N471" s="46"/>
      <c r="O471" s="11"/>
      <c r="P471" s="11"/>
      <c r="Q471" s="11"/>
      <c r="R471" s="11"/>
      <c r="S471" s="11"/>
      <c r="T471" s="11"/>
      <c r="U471" s="11"/>
      <c r="V471" s="11"/>
      <c r="W471" s="11"/>
      <c r="X471" s="11"/>
      <c r="Y471" s="11"/>
      <c r="Z471" s="11"/>
    </row>
    <row r="472" spans="1:26" ht="14.25" customHeight="1">
      <c r="A472" s="11"/>
      <c r="B472" s="11"/>
      <c r="C472" s="11"/>
      <c r="D472" s="11"/>
      <c r="E472" s="11"/>
      <c r="F472" s="11"/>
      <c r="G472" s="11"/>
      <c r="H472" s="11"/>
      <c r="I472" s="46"/>
      <c r="J472" s="11"/>
      <c r="K472" s="11"/>
      <c r="L472" s="11"/>
      <c r="M472" s="11"/>
      <c r="N472" s="46"/>
      <c r="O472" s="11"/>
      <c r="P472" s="11"/>
      <c r="Q472" s="11"/>
      <c r="R472" s="11"/>
      <c r="S472" s="11"/>
      <c r="T472" s="11"/>
      <c r="U472" s="11"/>
      <c r="V472" s="11"/>
      <c r="W472" s="11"/>
      <c r="X472" s="11"/>
      <c r="Y472" s="11"/>
      <c r="Z472" s="11"/>
    </row>
    <row r="473" spans="1:26" ht="14.25" customHeight="1">
      <c r="A473" s="11"/>
      <c r="B473" s="11"/>
      <c r="C473" s="11"/>
      <c r="D473" s="11"/>
      <c r="E473" s="11"/>
      <c r="F473" s="11"/>
      <c r="G473" s="11"/>
      <c r="H473" s="11"/>
      <c r="I473" s="46"/>
      <c r="J473" s="11"/>
      <c r="K473" s="11"/>
      <c r="L473" s="11"/>
      <c r="M473" s="11"/>
      <c r="N473" s="46"/>
      <c r="O473" s="11"/>
      <c r="P473" s="11"/>
      <c r="Q473" s="11"/>
      <c r="R473" s="11"/>
      <c r="S473" s="11"/>
      <c r="T473" s="11"/>
      <c r="U473" s="11"/>
      <c r="V473" s="11"/>
      <c r="W473" s="11"/>
      <c r="X473" s="11"/>
      <c r="Y473" s="11"/>
      <c r="Z473" s="11"/>
    </row>
    <row r="474" spans="1:26" ht="14.25" customHeight="1">
      <c r="A474" s="11"/>
      <c r="B474" s="11"/>
      <c r="C474" s="11"/>
      <c r="D474" s="11"/>
      <c r="E474" s="11"/>
      <c r="F474" s="11"/>
      <c r="G474" s="11"/>
      <c r="H474" s="11"/>
      <c r="I474" s="46"/>
      <c r="J474" s="11"/>
      <c r="K474" s="11"/>
      <c r="L474" s="11"/>
      <c r="M474" s="11"/>
      <c r="N474" s="46"/>
      <c r="O474" s="11"/>
      <c r="P474" s="11"/>
      <c r="Q474" s="11"/>
      <c r="R474" s="11"/>
      <c r="S474" s="11"/>
      <c r="T474" s="11"/>
      <c r="U474" s="11"/>
      <c r="V474" s="11"/>
      <c r="W474" s="11"/>
      <c r="X474" s="11"/>
      <c r="Y474" s="11"/>
      <c r="Z474" s="11"/>
    </row>
    <row r="475" spans="1:26" ht="14.25" customHeight="1">
      <c r="A475" s="11"/>
      <c r="B475" s="11"/>
      <c r="C475" s="11"/>
      <c r="D475" s="11"/>
      <c r="E475" s="11"/>
      <c r="F475" s="11"/>
      <c r="G475" s="11"/>
      <c r="H475" s="11"/>
      <c r="I475" s="46"/>
      <c r="J475" s="11"/>
      <c r="K475" s="11"/>
      <c r="L475" s="11"/>
      <c r="M475" s="11"/>
      <c r="N475" s="46"/>
      <c r="O475" s="11"/>
      <c r="P475" s="11"/>
      <c r="Q475" s="11"/>
      <c r="R475" s="11"/>
      <c r="S475" s="11"/>
      <c r="T475" s="11"/>
      <c r="U475" s="11"/>
      <c r="V475" s="11"/>
      <c r="W475" s="11"/>
      <c r="X475" s="11"/>
      <c r="Y475" s="11"/>
      <c r="Z475" s="11"/>
    </row>
    <row r="476" spans="1:26" ht="14.25" customHeight="1">
      <c r="A476" s="11"/>
      <c r="B476" s="11"/>
      <c r="C476" s="11"/>
      <c r="D476" s="11"/>
      <c r="E476" s="11"/>
      <c r="F476" s="11"/>
      <c r="G476" s="11"/>
      <c r="H476" s="11"/>
      <c r="I476" s="46"/>
      <c r="J476" s="11"/>
      <c r="K476" s="11"/>
      <c r="L476" s="11"/>
      <c r="M476" s="11"/>
      <c r="N476" s="46"/>
      <c r="O476" s="11"/>
      <c r="P476" s="11"/>
      <c r="Q476" s="11"/>
      <c r="R476" s="11"/>
      <c r="S476" s="11"/>
      <c r="T476" s="11"/>
      <c r="U476" s="11"/>
      <c r="V476" s="11"/>
      <c r="W476" s="11"/>
      <c r="X476" s="11"/>
      <c r="Y476" s="11"/>
      <c r="Z476" s="11"/>
    </row>
    <row r="477" spans="1:26" ht="14.25" customHeight="1">
      <c r="A477" s="11"/>
      <c r="B477" s="11"/>
      <c r="C477" s="11"/>
      <c r="D477" s="11"/>
      <c r="E477" s="11"/>
      <c r="F477" s="11"/>
      <c r="G477" s="11"/>
      <c r="H477" s="11"/>
      <c r="I477" s="46"/>
      <c r="J477" s="11"/>
      <c r="K477" s="11"/>
      <c r="L477" s="11"/>
      <c r="M477" s="11"/>
      <c r="N477" s="46"/>
      <c r="O477" s="11"/>
      <c r="P477" s="11"/>
      <c r="Q477" s="11"/>
      <c r="R477" s="11"/>
      <c r="S477" s="11"/>
      <c r="T477" s="11"/>
      <c r="U477" s="11"/>
      <c r="V477" s="11"/>
      <c r="W477" s="11"/>
      <c r="X477" s="11"/>
      <c r="Y477" s="11"/>
      <c r="Z477" s="11"/>
    </row>
    <row r="478" spans="1:26" ht="14.25" customHeight="1">
      <c r="A478" s="11"/>
      <c r="B478" s="11"/>
      <c r="C478" s="11"/>
      <c r="D478" s="11"/>
      <c r="E478" s="11"/>
      <c r="F478" s="11"/>
      <c r="G478" s="11"/>
      <c r="H478" s="11"/>
      <c r="I478" s="46"/>
      <c r="J478" s="11"/>
      <c r="K478" s="11"/>
      <c r="L478" s="11"/>
      <c r="M478" s="11"/>
      <c r="N478" s="46"/>
      <c r="O478" s="11"/>
      <c r="P478" s="11"/>
      <c r="Q478" s="11"/>
      <c r="R478" s="11"/>
      <c r="S478" s="11"/>
      <c r="T478" s="11"/>
      <c r="U478" s="11"/>
      <c r="V478" s="11"/>
      <c r="W478" s="11"/>
      <c r="X478" s="11"/>
      <c r="Y478" s="11"/>
      <c r="Z478" s="11"/>
    </row>
    <row r="479" spans="1:26" ht="14.25" customHeight="1">
      <c r="A479" s="11"/>
      <c r="B479" s="11"/>
      <c r="C479" s="11"/>
      <c r="D479" s="11"/>
      <c r="E479" s="11"/>
      <c r="F479" s="11"/>
      <c r="G479" s="11"/>
      <c r="H479" s="11"/>
      <c r="I479" s="46"/>
      <c r="J479" s="11"/>
      <c r="K479" s="11"/>
      <c r="L479" s="11"/>
      <c r="M479" s="11"/>
      <c r="N479" s="46"/>
      <c r="O479" s="11"/>
      <c r="P479" s="11"/>
      <c r="Q479" s="11"/>
      <c r="R479" s="11"/>
      <c r="S479" s="11"/>
      <c r="T479" s="11"/>
      <c r="U479" s="11"/>
      <c r="V479" s="11"/>
      <c r="W479" s="11"/>
      <c r="X479" s="11"/>
      <c r="Y479" s="11"/>
      <c r="Z479" s="11"/>
    </row>
    <row r="480" spans="1:26" ht="14.25" customHeight="1">
      <c r="A480" s="11"/>
      <c r="B480" s="11"/>
      <c r="C480" s="11"/>
      <c r="D480" s="11"/>
      <c r="E480" s="11"/>
      <c r="F480" s="11"/>
      <c r="G480" s="11"/>
      <c r="H480" s="11"/>
      <c r="I480" s="46"/>
      <c r="J480" s="11"/>
      <c r="K480" s="11"/>
      <c r="L480" s="11"/>
      <c r="M480" s="11"/>
      <c r="N480" s="46"/>
      <c r="O480" s="11"/>
      <c r="P480" s="11"/>
      <c r="Q480" s="11"/>
      <c r="R480" s="11"/>
      <c r="S480" s="11"/>
      <c r="T480" s="11"/>
      <c r="U480" s="11"/>
      <c r="V480" s="11"/>
      <c r="W480" s="11"/>
      <c r="X480" s="11"/>
      <c r="Y480" s="11"/>
      <c r="Z480" s="11"/>
    </row>
    <row r="481" spans="1:26" ht="14.25" customHeight="1">
      <c r="A481" s="11"/>
      <c r="B481" s="11"/>
      <c r="C481" s="11"/>
      <c r="D481" s="11"/>
      <c r="E481" s="11"/>
      <c r="F481" s="11"/>
      <c r="G481" s="11"/>
      <c r="H481" s="11"/>
      <c r="I481" s="46"/>
      <c r="J481" s="11"/>
      <c r="K481" s="11"/>
      <c r="L481" s="11"/>
      <c r="M481" s="11"/>
      <c r="N481" s="46"/>
      <c r="O481" s="11"/>
      <c r="P481" s="11"/>
      <c r="Q481" s="11"/>
      <c r="R481" s="11"/>
      <c r="S481" s="11"/>
      <c r="T481" s="11"/>
      <c r="U481" s="11"/>
      <c r="V481" s="11"/>
      <c r="W481" s="11"/>
      <c r="X481" s="11"/>
      <c r="Y481" s="11"/>
      <c r="Z481" s="11"/>
    </row>
    <row r="482" spans="1:26" ht="14.25" customHeight="1">
      <c r="A482" s="11"/>
      <c r="B482" s="11"/>
      <c r="C482" s="11"/>
      <c r="D482" s="11"/>
      <c r="E482" s="11"/>
      <c r="F482" s="11"/>
      <c r="G482" s="11"/>
      <c r="H482" s="11"/>
      <c r="I482" s="46"/>
      <c r="J482" s="11"/>
      <c r="K482" s="11"/>
      <c r="L482" s="11"/>
      <c r="M482" s="11"/>
      <c r="N482" s="46"/>
      <c r="O482" s="11"/>
      <c r="P482" s="11"/>
      <c r="Q482" s="11"/>
      <c r="R482" s="11"/>
      <c r="S482" s="11"/>
      <c r="T482" s="11"/>
      <c r="U482" s="11"/>
      <c r="V482" s="11"/>
      <c r="W482" s="11"/>
      <c r="X482" s="11"/>
      <c r="Y482" s="11"/>
      <c r="Z482" s="11"/>
    </row>
    <row r="483" spans="1:26" ht="14.25" customHeight="1">
      <c r="A483" s="11"/>
      <c r="B483" s="11"/>
      <c r="C483" s="11"/>
      <c r="D483" s="11"/>
      <c r="E483" s="11"/>
      <c r="F483" s="11"/>
      <c r="G483" s="11"/>
      <c r="H483" s="11"/>
      <c r="I483" s="46"/>
      <c r="J483" s="11"/>
      <c r="K483" s="11"/>
      <c r="L483" s="11"/>
      <c r="M483" s="11"/>
      <c r="N483" s="46"/>
      <c r="O483" s="11"/>
      <c r="P483" s="11"/>
      <c r="Q483" s="11"/>
      <c r="R483" s="11"/>
      <c r="S483" s="11"/>
      <c r="T483" s="11"/>
      <c r="U483" s="11"/>
      <c r="V483" s="11"/>
      <c r="W483" s="11"/>
      <c r="X483" s="11"/>
      <c r="Y483" s="11"/>
      <c r="Z483" s="11"/>
    </row>
    <row r="484" spans="1:26" ht="14.25" customHeight="1">
      <c r="A484" s="11"/>
      <c r="B484" s="11"/>
      <c r="C484" s="11"/>
      <c r="D484" s="11"/>
      <c r="E484" s="11"/>
      <c r="F484" s="11"/>
      <c r="G484" s="11"/>
      <c r="H484" s="11"/>
      <c r="I484" s="46"/>
      <c r="J484" s="11"/>
      <c r="K484" s="11"/>
      <c r="L484" s="11"/>
      <c r="M484" s="11"/>
      <c r="N484" s="46"/>
      <c r="O484" s="11"/>
      <c r="P484" s="11"/>
      <c r="Q484" s="11"/>
      <c r="R484" s="11"/>
      <c r="S484" s="11"/>
      <c r="T484" s="11"/>
      <c r="U484" s="11"/>
      <c r="V484" s="11"/>
      <c r="W484" s="11"/>
      <c r="X484" s="11"/>
      <c r="Y484" s="11"/>
      <c r="Z484" s="11"/>
    </row>
    <row r="485" spans="1:26" ht="14.25" customHeight="1">
      <c r="A485" s="11"/>
      <c r="B485" s="11"/>
      <c r="C485" s="11"/>
      <c r="D485" s="11"/>
      <c r="E485" s="11"/>
      <c r="F485" s="11"/>
      <c r="G485" s="11"/>
      <c r="H485" s="11"/>
      <c r="I485" s="46"/>
      <c r="J485" s="11"/>
      <c r="K485" s="11"/>
      <c r="L485" s="11"/>
      <c r="M485" s="11"/>
      <c r="N485" s="46"/>
      <c r="O485" s="11"/>
      <c r="P485" s="11"/>
      <c r="Q485" s="11"/>
      <c r="R485" s="11"/>
      <c r="S485" s="11"/>
      <c r="T485" s="11"/>
      <c r="U485" s="11"/>
      <c r="V485" s="11"/>
      <c r="W485" s="11"/>
      <c r="X485" s="11"/>
      <c r="Y485" s="11"/>
      <c r="Z485" s="11"/>
    </row>
    <row r="486" spans="1:26" ht="14.25" customHeight="1">
      <c r="A486" s="11"/>
      <c r="B486" s="11"/>
      <c r="C486" s="11"/>
      <c r="D486" s="11"/>
      <c r="E486" s="11"/>
      <c r="F486" s="11"/>
      <c r="G486" s="11"/>
      <c r="H486" s="11"/>
      <c r="I486" s="46"/>
      <c r="J486" s="11"/>
      <c r="K486" s="11"/>
      <c r="L486" s="11"/>
      <c r="M486" s="11"/>
      <c r="N486" s="46"/>
      <c r="O486" s="11"/>
      <c r="P486" s="11"/>
      <c r="Q486" s="11"/>
      <c r="R486" s="11"/>
      <c r="S486" s="11"/>
      <c r="T486" s="11"/>
      <c r="U486" s="11"/>
      <c r="V486" s="11"/>
      <c r="W486" s="11"/>
      <c r="X486" s="11"/>
      <c r="Y486" s="11"/>
      <c r="Z486" s="11"/>
    </row>
    <row r="487" spans="1:26" ht="14.25" customHeight="1">
      <c r="A487" s="11"/>
      <c r="B487" s="11"/>
      <c r="C487" s="11"/>
      <c r="D487" s="11"/>
      <c r="E487" s="11"/>
      <c r="F487" s="11"/>
      <c r="G487" s="11"/>
      <c r="H487" s="11"/>
      <c r="I487" s="46"/>
      <c r="J487" s="11"/>
      <c r="K487" s="11"/>
      <c r="L487" s="11"/>
      <c r="M487" s="11"/>
      <c r="N487" s="46"/>
      <c r="O487" s="11"/>
      <c r="P487" s="11"/>
      <c r="Q487" s="11"/>
      <c r="R487" s="11"/>
      <c r="S487" s="11"/>
      <c r="T487" s="11"/>
      <c r="U487" s="11"/>
      <c r="V487" s="11"/>
      <c r="W487" s="11"/>
      <c r="X487" s="11"/>
      <c r="Y487" s="11"/>
      <c r="Z487" s="11"/>
    </row>
    <row r="488" spans="1:26" ht="14.25" customHeight="1">
      <c r="A488" s="11"/>
      <c r="B488" s="11"/>
      <c r="C488" s="11"/>
      <c r="D488" s="11"/>
      <c r="E488" s="11"/>
      <c r="F488" s="11"/>
      <c r="G488" s="11"/>
      <c r="H488" s="11"/>
      <c r="I488" s="46"/>
      <c r="J488" s="11"/>
      <c r="K488" s="11"/>
      <c r="L488" s="11"/>
      <c r="M488" s="11"/>
      <c r="N488" s="46"/>
      <c r="O488" s="11"/>
      <c r="P488" s="11"/>
      <c r="Q488" s="11"/>
      <c r="R488" s="11"/>
      <c r="S488" s="11"/>
      <c r="T488" s="11"/>
      <c r="U488" s="11"/>
      <c r="V488" s="11"/>
      <c r="W488" s="11"/>
      <c r="X488" s="11"/>
      <c r="Y488" s="11"/>
      <c r="Z488" s="11"/>
    </row>
    <row r="489" spans="1:26" ht="14.25" customHeight="1">
      <c r="A489" s="11"/>
      <c r="B489" s="11"/>
      <c r="C489" s="11"/>
      <c r="D489" s="11"/>
      <c r="E489" s="11"/>
      <c r="F489" s="11"/>
      <c r="G489" s="11"/>
      <c r="H489" s="11"/>
      <c r="I489" s="46"/>
      <c r="J489" s="11"/>
      <c r="K489" s="11"/>
      <c r="L489" s="11"/>
      <c r="M489" s="11"/>
      <c r="N489" s="46"/>
      <c r="O489" s="11"/>
      <c r="P489" s="11"/>
      <c r="Q489" s="11"/>
      <c r="R489" s="11"/>
      <c r="S489" s="11"/>
      <c r="T489" s="11"/>
      <c r="U489" s="11"/>
      <c r="V489" s="11"/>
      <c r="W489" s="11"/>
      <c r="X489" s="11"/>
      <c r="Y489" s="11"/>
      <c r="Z489" s="11"/>
    </row>
    <row r="490" spans="1:26" ht="14.25" customHeight="1">
      <c r="A490" s="11"/>
      <c r="B490" s="11"/>
      <c r="C490" s="11"/>
      <c r="D490" s="11"/>
      <c r="E490" s="11"/>
      <c r="F490" s="11"/>
      <c r="G490" s="11"/>
      <c r="H490" s="11"/>
      <c r="I490" s="46"/>
      <c r="J490" s="11"/>
      <c r="K490" s="11"/>
      <c r="L490" s="11"/>
      <c r="M490" s="11"/>
      <c r="N490" s="46"/>
      <c r="O490" s="11"/>
      <c r="P490" s="11"/>
      <c r="Q490" s="11"/>
      <c r="R490" s="11"/>
      <c r="S490" s="11"/>
      <c r="T490" s="11"/>
      <c r="U490" s="11"/>
      <c r="V490" s="11"/>
      <c r="W490" s="11"/>
      <c r="X490" s="11"/>
      <c r="Y490" s="11"/>
      <c r="Z490" s="11"/>
    </row>
    <row r="491" spans="1:26" ht="14.25" customHeight="1">
      <c r="A491" s="11"/>
      <c r="B491" s="11"/>
      <c r="C491" s="11"/>
      <c r="D491" s="11"/>
      <c r="E491" s="11"/>
      <c r="F491" s="11"/>
      <c r="G491" s="11"/>
      <c r="H491" s="11"/>
      <c r="I491" s="46"/>
      <c r="J491" s="11"/>
      <c r="K491" s="11"/>
      <c r="L491" s="11"/>
      <c r="M491" s="11"/>
      <c r="N491" s="46"/>
      <c r="O491" s="11"/>
      <c r="P491" s="11"/>
      <c r="Q491" s="11"/>
      <c r="R491" s="11"/>
      <c r="S491" s="11"/>
      <c r="T491" s="11"/>
      <c r="U491" s="11"/>
      <c r="V491" s="11"/>
      <c r="W491" s="11"/>
      <c r="X491" s="11"/>
      <c r="Y491" s="11"/>
      <c r="Z491" s="11"/>
    </row>
    <row r="492" spans="1:26" ht="14.25" customHeight="1">
      <c r="A492" s="11"/>
      <c r="B492" s="11"/>
      <c r="C492" s="11"/>
      <c r="D492" s="11"/>
      <c r="E492" s="11"/>
      <c r="F492" s="11"/>
      <c r="G492" s="11"/>
      <c r="H492" s="11"/>
      <c r="I492" s="46"/>
      <c r="J492" s="11"/>
      <c r="K492" s="11"/>
      <c r="L492" s="11"/>
      <c r="M492" s="11"/>
      <c r="N492" s="46"/>
      <c r="O492" s="11"/>
      <c r="P492" s="11"/>
      <c r="Q492" s="11"/>
      <c r="R492" s="11"/>
      <c r="S492" s="11"/>
      <c r="T492" s="11"/>
      <c r="U492" s="11"/>
      <c r="V492" s="11"/>
      <c r="W492" s="11"/>
      <c r="X492" s="11"/>
      <c r="Y492" s="11"/>
      <c r="Z492" s="11"/>
    </row>
    <row r="493" spans="1:26" ht="14.25" customHeight="1">
      <c r="A493" s="11"/>
      <c r="B493" s="11"/>
      <c r="C493" s="11"/>
      <c r="D493" s="11"/>
      <c r="E493" s="11"/>
      <c r="F493" s="11"/>
      <c r="G493" s="11"/>
      <c r="H493" s="11"/>
      <c r="I493" s="46"/>
      <c r="J493" s="11"/>
      <c r="K493" s="11"/>
      <c r="L493" s="11"/>
      <c r="M493" s="11"/>
      <c r="N493" s="46"/>
      <c r="O493" s="11"/>
      <c r="P493" s="11"/>
      <c r="Q493" s="11"/>
      <c r="R493" s="11"/>
      <c r="S493" s="11"/>
      <c r="T493" s="11"/>
      <c r="U493" s="11"/>
      <c r="V493" s="11"/>
      <c r="W493" s="11"/>
      <c r="X493" s="11"/>
      <c r="Y493" s="11"/>
      <c r="Z493" s="11"/>
    </row>
    <row r="494" spans="1:26" ht="14.25" customHeight="1">
      <c r="A494" s="11"/>
      <c r="B494" s="11"/>
      <c r="C494" s="11"/>
      <c r="D494" s="11"/>
      <c r="E494" s="11"/>
      <c r="F494" s="11"/>
      <c r="G494" s="11"/>
      <c r="H494" s="11"/>
      <c r="I494" s="46"/>
      <c r="J494" s="11"/>
      <c r="K494" s="11"/>
      <c r="L494" s="11"/>
      <c r="M494" s="11"/>
      <c r="N494" s="46"/>
      <c r="O494" s="11"/>
      <c r="P494" s="11"/>
      <c r="Q494" s="11"/>
      <c r="R494" s="11"/>
      <c r="S494" s="11"/>
      <c r="T494" s="11"/>
      <c r="U494" s="11"/>
      <c r="V494" s="11"/>
      <c r="W494" s="11"/>
      <c r="X494" s="11"/>
      <c r="Y494" s="11"/>
      <c r="Z494" s="11"/>
    </row>
    <row r="495" spans="1:26" ht="14.25" customHeight="1">
      <c r="A495" s="11"/>
      <c r="B495" s="11"/>
      <c r="C495" s="11"/>
      <c r="D495" s="11"/>
      <c r="E495" s="11"/>
      <c r="F495" s="11"/>
      <c r="G495" s="11"/>
      <c r="H495" s="11"/>
      <c r="I495" s="46"/>
      <c r="J495" s="11"/>
      <c r="K495" s="11"/>
      <c r="L495" s="11"/>
      <c r="M495" s="11"/>
      <c r="N495" s="46"/>
      <c r="O495" s="11"/>
      <c r="P495" s="11"/>
      <c r="Q495" s="11"/>
      <c r="R495" s="11"/>
      <c r="S495" s="11"/>
      <c r="T495" s="11"/>
      <c r="U495" s="11"/>
      <c r="V495" s="11"/>
      <c r="W495" s="11"/>
      <c r="X495" s="11"/>
      <c r="Y495" s="11"/>
      <c r="Z495" s="11"/>
    </row>
    <row r="496" spans="1:26" ht="14.25" customHeight="1">
      <c r="A496" s="11"/>
      <c r="B496" s="11"/>
      <c r="C496" s="11"/>
      <c r="D496" s="11"/>
      <c r="E496" s="11"/>
      <c r="F496" s="11"/>
      <c r="G496" s="11"/>
      <c r="H496" s="11"/>
      <c r="I496" s="46"/>
      <c r="J496" s="11"/>
      <c r="K496" s="11"/>
      <c r="L496" s="11"/>
      <c r="M496" s="11"/>
      <c r="N496" s="46"/>
      <c r="O496" s="11"/>
      <c r="P496" s="11"/>
      <c r="Q496" s="11"/>
      <c r="R496" s="11"/>
      <c r="S496" s="11"/>
      <c r="T496" s="11"/>
      <c r="U496" s="11"/>
      <c r="V496" s="11"/>
      <c r="W496" s="11"/>
      <c r="X496" s="11"/>
      <c r="Y496" s="11"/>
      <c r="Z496" s="11"/>
    </row>
    <row r="497" spans="1:26" ht="14.25" customHeight="1">
      <c r="A497" s="11"/>
      <c r="B497" s="11"/>
      <c r="C497" s="11"/>
      <c r="D497" s="11"/>
      <c r="E497" s="11"/>
      <c r="F497" s="11"/>
      <c r="G497" s="11"/>
      <c r="H497" s="11"/>
      <c r="I497" s="46"/>
      <c r="J497" s="11"/>
      <c r="K497" s="11"/>
      <c r="L497" s="11"/>
      <c r="M497" s="11"/>
      <c r="N497" s="46"/>
      <c r="O497" s="11"/>
      <c r="P497" s="11"/>
      <c r="Q497" s="11"/>
      <c r="R497" s="11"/>
      <c r="S497" s="11"/>
      <c r="T497" s="11"/>
      <c r="U497" s="11"/>
      <c r="V497" s="11"/>
      <c r="W497" s="11"/>
      <c r="X497" s="11"/>
      <c r="Y497" s="11"/>
      <c r="Z497" s="11"/>
    </row>
    <row r="498" spans="1:26" ht="14.25" customHeight="1">
      <c r="A498" s="11"/>
      <c r="B498" s="11"/>
      <c r="C498" s="11"/>
      <c r="D498" s="11"/>
      <c r="E498" s="11"/>
      <c r="F498" s="11"/>
      <c r="G498" s="11"/>
      <c r="H498" s="11"/>
      <c r="I498" s="46"/>
      <c r="J498" s="11"/>
      <c r="K498" s="11"/>
      <c r="L498" s="11"/>
      <c r="M498" s="11"/>
      <c r="N498" s="46"/>
      <c r="O498" s="11"/>
      <c r="P498" s="11"/>
      <c r="Q498" s="11"/>
      <c r="R498" s="11"/>
      <c r="S498" s="11"/>
      <c r="T498" s="11"/>
      <c r="U498" s="11"/>
      <c r="V498" s="11"/>
      <c r="W498" s="11"/>
      <c r="X498" s="11"/>
      <c r="Y498" s="11"/>
      <c r="Z498" s="11"/>
    </row>
    <row r="499" spans="1:26" ht="14.25" customHeight="1">
      <c r="A499" s="11"/>
      <c r="B499" s="11"/>
      <c r="C499" s="11"/>
      <c r="D499" s="11"/>
      <c r="E499" s="11"/>
      <c r="F499" s="11"/>
      <c r="G499" s="11"/>
      <c r="H499" s="11"/>
      <c r="I499" s="46"/>
      <c r="J499" s="11"/>
      <c r="K499" s="11"/>
      <c r="L499" s="11"/>
      <c r="M499" s="11"/>
      <c r="N499" s="46"/>
      <c r="O499" s="11"/>
      <c r="P499" s="11"/>
      <c r="Q499" s="11"/>
      <c r="R499" s="11"/>
      <c r="S499" s="11"/>
      <c r="T499" s="11"/>
      <c r="U499" s="11"/>
      <c r="V499" s="11"/>
      <c r="W499" s="11"/>
      <c r="X499" s="11"/>
      <c r="Y499" s="11"/>
      <c r="Z499" s="11"/>
    </row>
    <row r="500" spans="1:26" ht="14.25" customHeight="1">
      <c r="A500" s="11"/>
      <c r="B500" s="11"/>
      <c r="C500" s="11"/>
      <c r="D500" s="11"/>
      <c r="E500" s="11"/>
      <c r="F500" s="11"/>
      <c r="G500" s="11"/>
      <c r="H500" s="11"/>
      <c r="I500" s="46"/>
      <c r="J500" s="11"/>
      <c r="K500" s="11"/>
      <c r="L500" s="11"/>
      <c r="M500" s="11"/>
      <c r="N500" s="46"/>
      <c r="O500" s="11"/>
      <c r="P500" s="11"/>
      <c r="Q500" s="11"/>
      <c r="R500" s="11"/>
      <c r="S500" s="11"/>
      <c r="T500" s="11"/>
      <c r="U500" s="11"/>
      <c r="V500" s="11"/>
      <c r="W500" s="11"/>
      <c r="X500" s="11"/>
      <c r="Y500" s="11"/>
      <c r="Z500" s="11"/>
    </row>
    <row r="501" spans="1:26" ht="14.25" customHeight="1">
      <c r="A501" s="11"/>
      <c r="B501" s="11"/>
      <c r="C501" s="11"/>
      <c r="D501" s="11"/>
      <c r="E501" s="11"/>
      <c r="F501" s="11"/>
      <c r="G501" s="11"/>
      <c r="H501" s="11"/>
      <c r="I501" s="46"/>
      <c r="J501" s="11"/>
      <c r="K501" s="11"/>
      <c r="L501" s="11"/>
      <c r="M501" s="11"/>
      <c r="N501" s="46"/>
      <c r="O501" s="11"/>
      <c r="P501" s="11"/>
      <c r="Q501" s="11"/>
      <c r="R501" s="11"/>
      <c r="S501" s="11"/>
      <c r="T501" s="11"/>
      <c r="U501" s="11"/>
      <c r="V501" s="11"/>
      <c r="W501" s="11"/>
      <c r="X501" s="11"/>
      <c r="Y501" s="11"/>
      <c r="Z501" s="11"/>
    </row>
    <row r="502" spans="1:26" ht="14.25" customHeight="1">
      <c r="A502" s="11"/>
      <c r="B502" s="11"/>
      <c r="C502" s="11"/>
      <c r="D502" s="11"/>
      <c r="E502" s="11"/>
      <c r="F502" s="11"/>
      <c r="G502" s="11"/>
      <c r="H502" s="11"/>
      <c r="I502" s="46"/>
      <c r="J502" s="11"/>
      <c r="K502" s="11"/>
      <c r="L502" s="11"/>
      <c r="M502" s="11"/>
      <c r="N502" s="46"/>
      <c r="O502" s="11"/>
      <c r="P502" s="11"/>
      <c r="Q502" s="11"/>
      <c r="R502" s="11"/>
      <c r="S502" s="11"/>
      <c r="T502" s="11"/>
      <c r="U502" s="11"/>
      <c r="V502" s="11"/>
      <c r="W502" s="11"/>
      <c r="X502" s="11"/>
      <c r="Y502" s="11"/>
      <c r="Z502" s="11"/>
    </row>
    <row r="503" spans="1:26" ht="14.25" customHeight="1">
      <c r="A503" s="11"/>
      <c r="B503" s="11"/>
      <c r="C503" s="11"/>
      <c r="D503" s="11"/>
      <c r="E503" s="11"/>
      <c r="F503" s="11"/>
      <c r="G503" s="11"/>
      <c r="H503" s="11"/>
      <c r="I503" s="46"/>
      <c r="J503" s="11"/>
      <c r="K503" s="11"/>
      <c r="L503" s="11"/>
      <c r="M503" s="11"/>
      <c r="N503" s="46"/>
      <c r="O503" s="11"/>
      <c r="P503" s="11"/>
      <c r="Q503" s="11"/>
      <c r="R503" s="11"/>
      <c r="S503" s="11"/>
      <c r="T503" s="11"/>
      <c r="U503" s="11"/>
      <c r="V503" s="11"/>
      <c r="W503" s="11"/>
      <c r="X503" s="11"/>
      <c r="Y503" s="11"/>
      <c r="Z503" s="11"/>
    </row>
    <row r="504" spans="1:26" ht="14.25" customHeight="1">
      <c r="A504" s="11"/>
      <c r="B504" s="11"/>
      <c r="C504" s="11"/>
      <c r="D504" s="11"/>
      <c r="E504" s="11"/>
      <c r="F504" s="11"/>
      <c r="G504" s="11"/>
      <c r="H504" s="11"/>
      <c r="I504" s="46"/>
      <c r="J504" s="11"/>
      <c r="K504" s="11"/>
      <c r="L504" s="11"/>
      <c r="M504" s="11"/>
      <c r="N504" s="46"/>
      <c r="O504" s="11"/>
      <c r="P504" s="11"/>
      <c r="Q504" s="11"/>
      <c r="R504" s="11"/>
      <c r="S504" s="11"/>
      <c r="T504" s="11"/>
      <c r="U504" s="11"/>
      <c r="V504" s="11"/>
      <c r="W504" s="11"/>
      <c r="X504" s="11"/>
      <c r="Y504" s="11"/>
      <c r="Z504" s="11"/>
    </row>
    <row r="505" spans="1:26" ht="14.25" customHeight="1">
      <c r="A505" s="11"/>
      <c r="B505" s="11"/>
      <c r="C505" s="11"/>
      <c r="D505" s="11"/>
      <c r="E505" s="11"/>
      <c r="F505" s="11"/>
      <c r="G505" s="11"/>
      <c r="H505" s="11"/>
      <c r="I505" s="46"/>
      <c r="J505" s="11"/>
      <c r="K505" s="11"/>
      <c r="L505" s="11"/>
      <c r="M505" s="11"/>
      <c r="N505" s="46"/>
      <c r="O505" s="11"/>
      <c r="P505" s="11"/>
      <c r="Q505" s="11"/>
      <c r="R505" s="11"/>
      <c r="S505" s="11"/>
      <c r="T505" s="11"/>
      <c r="U505" s="11"/>
      <c r="V505" s="11"/>
      <c r="W505" s="11"/>
      <c r="X505" s="11"/>
      <c r="Y505" s="11"/>
      <c r="Z505" s="11"/>
    </row>
    <row r="506" spans="1:26" ht="14.25" customHeight="1">
      <c r="A506" s="11"/>
      <c r="B506" s="11"/>
      <c r="C506" s="11"/>
      <c r="D506" s="11"/>
      <c r="E506" s="11"/>
      <c r="F506" s="11"/>
      <c r="G506" s="11"/>
      <c r="H506" s="11"/>
      <c r="I506" s="46"/>
      <c r="J506" s="11"/>
      <c r="K506" s="11"/>
      <c r="L506" s="11"/>
      <c r="M506" s="11"/>
      <c r="N506" s="46"/>
      <c r="O506" s="11"/>
      <c r="P506" s="11"/>
      <c r="Q506" s="11"/>
      <c r="R506" s="11"/>
      <c r="S506" s="11"/>
      <c r="T506" s="11"/>
      <c r="U506" s="11"/>
      <c r="V506" s="11"/>
      <c r="W506" s="11"/>
      <c r="X506" s="11"/>
      <c r="Y506" s="11"/>
      <c r="Z506" s="11"/>
    </row>
    <row r="507" spans="1:26" ht="14.25" customHeight="1">
      <c r="A507" s="11"/>
      <c r="B507" s="11"/>
      <c r="C507" s="11"/>
      <c r="D507" s="11"/>
      <c r="E507" s="11"/>
      <c r="F507" s="11"/>
      <c r="G507" s="11"/>
      <c r="H507" s="11"/>
      <c r="I507" s="46"/>
      <c r="J507" s="11"/>
      <c r="K507" s="11"/>
      <c r="L507" s="11"/>
      <c r="M507" s="11"/>
      <c r="N507" s="46"/>
      <c r="O507" s="11"/>
      <c r="P507" s="11"/>
      <c r="Q507" s="11"/>
      <c r="R507" s="11"/>
      <c r="S507" s="11"/>
      <c r="T507" s="11"/>
      <c r="U507" s="11"/>
      <c r="V507" s="11"/>
      <c r="W507" s="11"/>
      <c r="X507" s="11"/>
      <c r="Y507" s="11"/>
      <c r="Z507" s="11"/>
    </row>
    <row r="508" spans="1:26" ht="14.25" customHeight="1">
      <c r="A508" s="11"/>
      <c r="B508" s="11"/>
      <c r="C508" s="11"/>
      <c r="D508" s="11"/>
      <c r="E508" s="11"/>
      <c r="F508" s="11"/>
      <c r="G508" s="11"/>
      <c r="H508" s="11"/>
      <c r="I508" s="46"/>
      <c r="J508" s="11"/>
      <c r="K508" s="11"/>
      <c r="L508" s="11"/>
      <c r="M508" s="11"/>
      <c r="N508" s="46"/>
      <c r="O508" s="11"/>
      <c r="P508" s="11"/>
      <c r="Q508" s="11"/>
      <c r="R508" s="11"/>
      <c r="S508" s="11"/>
      <c r="T508" s="11"/>
      <c r="U508" s="11"/>
      <c r="V508" s="11"/>
      <c r="W508" s="11"/>
      <c r="X508" s="11"/>
      <c r="Y508" s="11"/>
      <c r="Z508" s="11"/>
    </row>
    <row r="509" spans="1:26" ht="14.25" customHeight="1">
      <c r="A509" s="11"/>
      <c r="B509" s="11"/>
      <c r="C509" s="11"/>
      <c r="D509" s="11"/>
      <c r="E509" s="11"/>
      <c r="F509" s="11"/>
      <c r="G509" s="11"/>
      <c r="H509" s="11"/>
      <c r="I509" s="46"/>
      <c r="J509" s="11"/>
      <c r="K509" s="11"/>
      <c r="L509" s="11"/>
      <c r="M509" s="11"/>
      <c r="N509" s="46"/>
      <c r="O509" s="11"/>
      <c r="P509" s="11"/>
      <c r="Q509" s="11"/>
      <c r="R509" s="11"/>
      <c r="S509" s="11"/>
      <c r="T509" s="11"/>
      <c r="U509" s="11"/>
      <c r="V509" s="11"/>
      <c r="W509" s="11"/>
      <c r="X509" s="11"/>
      <c r="Y509" s="11"/>
      <c r="Z509" s="11"/>
    </row>
    <row r="510" spans="1:26" ht="14.25" customHeight="1">
      <c r="A510" s="11"/>
      <c r="B510" s="11"/>
      <c r="C510" s="11"/>
      <c r="D510" s="11"/>
      <c r="E510" s="11"/>
      <c r="F510" s="11"/>
      <c r="G510" s="11"/>
      <c r="H510" s="11"/>
      <c r="I510" s="46"/>
      <c r="J510" s="11"/>
      <c r="K510" s="11"/>
      <c r="L510" s="11"/>
      <c r="M510" s="11"/>
      <c r="N510" s="46"/>
      <c r="O510" s="11"/>
      <c r="P510" s="11"/>
      <c r="Q510" s="11"/>
      <c r="R510" s="11"/>
      <c r="S510" s="11"/>
      <c r="T510" s="11"/>
      <c r="U510" s="11"/>
      <c r="V510" s="11"/>
      <c r="W510" s="11"/>
      <c r="X510" s="11"/>
      <c r="Y510" s="11"/>
      <c r="Z510" s="11"/>
    </row>
    <row r="511" spans="1:26" ht="14.25" customHeight="1">
      <c r="A511" s="11"/>
      <c r="B511" s="11"/>
      <c r="C511" s="11"/>
      <c r="D511" s="11"/>
      <c r="E511" s="11"/>
      <c r="F511" s="11"/>
      <c r="G511" s="11"/>
      <c r="H511" s="11"/>
      <c r="I511" s="46"/>
      <c r="J511" s="11"/>
      <c r="K511" s="11"/>
      <c r="L511" s="11"/>
      <c r="M511" s="11"/>
      <c r="N511" s="46"/>
      <c r="O511" s="11"/>
      <c r="P511" s="11"/>
      <c r="Q511" s="11"/>
      <c r="R511" s="11"/>
      <c r="S511" s="11"/>
      <c r="T511" s="11"/>
      <c r="U511" s="11"/>
      <c r="V511" s="11"/>
      <c r="W511" s="11"/>
      <c r="X511" s="11"/>
      <c r="Y511" s="11"/>
      <c r="Z511" s="11"/>
    </row>
    <row r="512" spans="1:26" ht="14.25" customHeight="1">
      <c r="A512" s="11"/>
      <c r="B512" s="11"/>
      <c r="C512" s="11"/>
      <c r="D512" s="11"/>
      <c r="E512" s="11"/>
      <c r="F512" s="11"/>
      <c r="G512" s="11"/>
      <c r="H512" s="11"/>
      <c r="I512" s="46"/>
      <c r="J512" s="11"/>
      <c r="K512" s="11"/>
      <c r="L512" s="11"/>
      <c r="M512" s="11"/>
      <c r="N512" s="46"/>
      <c r="O512" s="11"/>
      <c r="P512" s="11"/>
      <c r="Q512" s="11"/>
      <c r="R512" s="11"/>
      <c r="S512" s="11"/>
      <c r="T512" s="11"/>
      <c r="U512" s="11"/>
      <c r="V512" s="11"/>
      <c r="W512" s="11"/>
      <c r="X512" s="11"/>
      <c r="Y512" s="11"/>
      <c r="Z512" s="11"/>
    </row>
    <row r="513" spans="1:26" ht="14.25" customHeight="1">
      <c r="A513" s="11"/>
      <c r="B513" s="11"/>
      <c r="C513" s="11"/>
      <c r="D513" s="11"/>
      <c r="E513" s="11"/>
      <c r="F513" s="11"/>
      <c r="G513" s="11"/>
      <c r="H513" s="11"/>
      <c r="I513" s="46"/>
      <c r="J513" s="11"/>
      <c r="K513" s="11"/>
      <c r="L513" s="11"/>
      <c r="M513" s="11"/>
      <c r="N513" s="46"/>
      <c r="O513" s="11"/>
      <c r="P513" s="11"/>
      <c r="Q513" s="11"/>
      <c r="R513" s="11"/>
      <c r="S513" s="11"/>
      <c r="T513" s="11"/>
      <c r="U513" s="11"/>
      <c r="V513" s="11"/>
      <c r="W513" s="11"/>
      <c r="X513" s="11"/>
      <c r="Y513" s="11"/>
      <c r="Z513" s="11"/>
    </row>
    <row r="514" spans="1:26" ht="14.25" customHeight="1">
      <c r="A514" s="11"/>
      <c r="B514" s="11"/>
      <c r="C514" s="11"/>
      <c r="D514" s="11"/>
      <c r="E514" s="11"/>
      <c r="F514" s="11"/>
      <c r="G514" s="11"/>
      <c r="H514" s="11"/>
      <c r="I514" s="46"/>
      <c r="J514" s="11"/>
      <c r="K514" s="11"/>
      <c r="L514" s="11"/>
      <c r="M514" s="11"/>
      <c r="N514" s="46"/>
      <c r="O514" s="11"/>
      <c r="P514" s="11"/>
      <c r="Q514" s="11"/>
      <c r="R514" s="11"/>
      <c r="S514" s="11"/>
      <c r="T514" s="11"/>
      <c r="U514" s="11"/>
      <c r="V514" s="11"/>
      <c r="W514" s="11"/>
      <c r="X514" s="11"/>
      <c r="Y514" s="11"/>
      <c r="Z514" s="11"/>
    </row>
    <row r="515" spans="1:26" ht="14.25" customHeight="1">
      <c r="A515" s="11"/>
      <c r="B515" s="11"/>
      <c r="C515" s="11"/>
      <c r="D515" s="11"/>
      <c r="E515" s="11"/>
      <c r="F515" s="11"/>
      <c r="G515" s="11"/>
      <c r="H515" s="11"/>
      <c r="I515" s="46"/>
      <c r="J515" s="11"/>
      <c r="K515" s="11"/>
      <c r="L515" s="11"/>
      <c r="M515" s="11"/>
      <c r="N515" s="46"/>
      <c r="O515" s="11"/>
      <c r="P515" s="11"/>
      <c r="Q515" s="11"/>
      <c r="R515" s="11"/>
      <c r="S515" s="11"/>
      <c r="T515" s="11"/>
      <c r="U515" s="11"/>
      <c r="V515" s="11"/>
      <c r="W515" s="11"/>
      <c r="X515" s="11"/>
      <c r="Y515" s="11"/>
      <c r="Z515" s="11"/>
    </row>
    <row r="516" spans="1:26" ht="14.25" customHeight="1">
      <c r="A516" s="11"/>
      <c r="B516" s="11"/>
      <c r="C516" s="11"/>
      <c r="D516" s="11"/>
      <c r="E516" s="11"/>
      <c r="F516" s="11"/>
      <c r="G516" s="11"/>
      <c r="H516" s="11"/>
      <c r="I516" s="46"/>
      <c r="J516" s="11"/>
      <c r="K516" s="11"/>
      <c r="L516" s="11"/>
      <c r="M516" s="11"/>
      <c r="N516" s="46"/>
      <c r="O516" s="11"/>
      <c r="P516" s="11"/>
      <c r="Q516" s="11"/>
      <c r="R516" s="11"/>
      <c r="S516" s="11"/>
      <c r="T516" s="11"/>
      <c r="U516" s="11"/>
      <c r="V516" s="11"/>
      <c r="W516" s="11"/>
      <c r="X516" s="11"/>
      <c r="Y516" s="11"/>
      <c r="Z516" s="11"/>
    </row>
    <row r="517" spans="1:26" ht="14.25" customHeight="1">
      <c r="A517" s="11"/>
      <c r="B517" s="11"/>
      <c r="C517" s="11"/>
      <c r="D517" s="11"/>
      <c r="E517" s="11"/>
      <c r="F517" s="11"/>
      <c r="G517" s="11"/>
      <c r="H517" s="11"/>
      <c r="I517" s="46"/>
      <c r="J517" s="11"/>
      <c r="K517" s="11"/>
      <c r="L517" s="11"/>
      <c r="M517" s="11"/>
      <c r="N517" s="46"/>
      <c r="O517" s="11"/>
      <c r="P517" s="11"/>
      <c r="Q517" s="11"/>
      <c r="R517" s="11"/>
      <c r="S517" s="11"/>
      <c r="T517" s="11"/>
      <c r="U517" s="11"/>
      <c r="V517" s="11"/>
      <c r="W517" s="11"/>
      <c r="X517" s="11"/>
      <c r="Y517" s="11"/>
      <c r="Z517" s="11"/>
    </row>
    <row r="518" spans="1:26" ht="14.25" customHeight="1">
      <c r="A518" s="11"/>
      <c r="B518" s="11"/>
      <c r="C518" s="11"/>
      <c r="D518" s="11"/>
      <c r="E518" s="11"/>
      <c r="F518" s="11"/>
      <c r="G518" s="11"/>
      <c r="H518" s="11"/>
      <c r="I518" s="46"/>
      <c r="J518" s="11"/>
      <c r="K518" s="11"/>
      <c r="L518" s="11"/>
      <c r="M518" s="11"/>
      <c r="N518" s="46"/>
      <c r="O518" s="11"/>
      <c r="P518" s="11"/>
      <c r="Q518" s="11"/>
      <c r="R518" s="11"/>
      <c r="S518" s="11"/>
      <c r="T518" s="11"/>
      <c r="U518" s="11"/>
      <c r="V518" s="11"/>
      <c r="W518" s="11"/>
      <c r="X518" s="11"/>
      <c r="Y518" s="11"/>
      <c r="Z518" s="11"/>
    </row>
    <row r="519" spans="1:26" ht="14.25" customHeight="1">
      <c r="A519" s="11"/>
      <c r="B519" s="11"/>
      <c r="C519" s="11"/>
      <c r="D519" s="11"/>
      <c r="E519" s="11"/>
      <c r="F519" s="11"/>
      <c r="G519" s="11"/>
      <c r="H519" s="11"/>
      <c r="I519" s="46"/>
      <c r="J519" s="11"/>
      <c r="K519" s="11"/>
      <c r="L519" s="11"/>
      <c r="M519" s="11"/>
      <c r="N519" s="46"/>
      <c r="O519" s="11"/>
      <c r="P519" s="11"/>
      <c r="Q519" s="11"/>
      <c r="R519" s="11"/>
      <c r="S519" s="11"/>
      <c r="T519" s="11"/>
      <c r="U519" s="11"/>
      <c r="V519" s="11"/>
      <c r="W519" s="11"/>
      <c r="X519" s="11"/>
      <c r="Y519" s="11"/>
      <c r="Z519" s="11"/>
    </row>
    <row r="520" spans="1:26" ht="14.25" customHeight="1">
      <c r="A520" s="11"/>
      <c r="B520" s="11"/>
      <c r="C520" s="11"/>
      <c r="D520" s="11"/>
      <c r="E520" s="11"/>
      <c r="F520" s="11"/>
      <c r="G520" s="11"/>
      <c r="H520" s="11"/>
      <c r="I520" s="46"/>
      <c r="J520" s="11"/>
      <c r="K520" s="11"/>
      <c r="L520" s="11"/>
      <c r="M520" s="11"/>
      <c r="N520" s="46"/>
      <c r="O520" s="11"/>
      <c r="P520" s="11"/>
      <c r="Q520" s="11"/>
      <c r="R520" s="11"/>
      <c r="S520" s="11"/>
      <c r="T520" s="11"/>
      <c r="U520" s="11"/>
      <c r="V520" s="11"/>
      <c r="W520" s="11"/>
      <c r="X520" s="11"/>
      <c r="Y520" s="11"/>
      <c r="Z520" s="11"/>
    </row>
    <row r="521" spans="1:26" ht="14.25" customHeight="1">
      <c r="A521" s="11"/>
      <c r="B521" s="11"/>
      <c r="C521" s="11"/>
      <c r="D521" s="11"/>
      <c r="E521" s="11"/>
      <c r="F521" s="11"/>
      <c r="G521" s="11"/>
      <c r="H521" s="11"/>
      <c r="I521" s="46"/>
      <c r="J521" s="11"/>
      <c r="K521" s="11"/>
      <c r="L521" s="11"/>
      <c r="M521" s="11"/>
      <c r="N521" s="46"/>
      <c r="O521" s="11"/>
      <c r="P521" s="11"/>
      <c r="Q521" s="11"/>
      <c r="R521" s="11"/>
      <c r="S521" s="11"/>
      <c r="T521" s="11"/>
      <c r="U521" s="11"/>
      <c r="V521" s="11"/>
      <c r="W521" s="11"/>
      <c r="X521" s="11"/>
      <c r="Y521" s="11"/>
      <c r="Z521" s="11"/>
    </row>
    <row r="522" spans="1:26" ht="14.25" customHeight="1">
      <c r="A522" s="11"/>
      <c r="B522" s="11"/>
      <c r="C522" s="11"/>
      <c r="D522" s="11"/>
      <c r="E522" s="11"/>
      <c r="F522" s="11"/>
      <c r="G522" s="11"/>
      <c r="H522" s="11"/>
      <c r="I522" s="46"/>
      <c r="J522" s="11"/>
      <c r="K522" s="11"/>
      <c r="L522" s="11"/>
      <c r="M522" s="11"/>
      <c r="N522" s="46"/>
      <c r="O522" s="11"/>
      <c r="P522" s="11"/>
      <c r="Q522" s="11"/>
      <c r="R522" s="11"/>
      <c r="S522" s="11"/>
      <c r="T522" s="11"/>
      <c r="U522" s="11"/>
      <c r="V522" s="11"/>
      <c r="W522" s="11"/>
      <c r="X522" s="11"/>
      <c r="Y522" s="11"/>
      <c r="Z522" s="11"/>
    </row>
    <row r="523" spans="1:26" ht="14.25" customHeight="1">
      <c r="A523" s="11"/>
      <c r="B523" s="11"/>
      <c r="C523" s="11"/>
      <c r="D523" s="11"/>
      <c r="E523" s="11"/>
      <c r="F523" s="11"/>
      <c r="G523" s="11"/>
      <c r="H523" s="11"/>
      <c r="I523" s="46"/>
      <c r="J523" s="11"/>
      <c r="K523" s="11"/>
      <c r="L523" s="11"/>
      <c r="M523" s="11"/>
      <c r="N523" s="46"/>
      <c r="O523" s="11"/>
      <c r="P523" s="11"/>
      <c r="Q523" s="11"/>
      <c r="R523" s="11"/>
      <c r="S523" s="11"/>
      <c r="T523" s="11"/>
      <c r="U523" s="11"/>
      <c r="V523" s="11"/>
      <c r="W523" s="11"/>
      <c r="X523" s="11"/>
      <c r="Y523" s="11"/>
      <c r="Z523" s="11"/>
    </row>
    <row r="524" spans="1:26" ht="14.25" customHeight="1">
      <c r="A524" s="11"/>
      <c r="B524" s="11"/>
      <c r="C524" s="11"/>
      <c r="D524" s="11"/>
      <c r="E524" s="11"/>
      <c r="F524" s="11"/>
      <c r="G524" s="11"/>
      <c r="H524" s="11"/>
      <c r="I524" s="46"/>
      <c r="J524" s="11"/>
      <c r="K524" s="11"/>
      <c r="L524" s="11"/>
      <c r="M524" s="11"/>
      <c r="N524" s="46"/>
      <c r="O524" s="11"/>
      <c r="P524" s="11"/>
      <c r="Q524" s="11"/>
      <c r="R524" s="11"/>
      <c r="S524" s="11"/>
      <c r="T524" s="11"/>
      <c r="U524" s="11"/>
      <c r="V524" s="11"/>
      <c r="W524" s="11"/>
      <c r="X524" s="11"/>
      <c r="Y524" s="11"/>
      <c r="Z524" s="11"/>
    </row>
    <row r="525" spans="1:26" ht="14.25" customHeight="1">
      <c r="A525" s="11"/>
      <c r="B525" s="11"/>
      <c r="C525" s="11"/>
      <c r="D525" s="11"/>
      <c r="E525" s="11"/>
      <c r="F525" s="11"/>
      <c r="G525" s="11"/>
      <c r="H525" s="11"/>
      <c r="I525" s="46"/>
      <c r="J525" s="11"/>
      <c r="K525" s="11"/>
      <c r="L525" s="11"/>
      <c r="M525" s="11"/>
      <c r="N525" s="46"/>
      <c r="O525" s="11"/>
      <c r="P525" s="11"/>
      <c r="Q525" s="11"/>
      <c r="R525" s="11"/>
      <c r="S525" s="11"/>
      <c r="T525" s="11"/>
      <c r="U525" s="11"/>
      <c r="V525" s="11"/>
      <c r="W525" s="11"/>
      <c r="X525" s="11"/>
      <c r="Y525" s="11"/>
      <c r="Z525" s="11"/>
    </row>
    <row r="526" spans="1:26" ht="14.25" customHeight="1">
      <c r="A526" s="11"/>
      <c r="B526" s="11"/>
      <c r="C526" s="11"/>
      <c r="D526" s="11"/>
      <c r="E526" s="11"/>
      <c r="F526" s="11"/>
      <c r="G526" s="11"/>
      <c r="H526" s="11"/>
      <c r="I526" s="46"/>
      <c r="J526" s="11"/>
      <c r="K526" s="11"/>
      <c r="L526" s="11"/>
      <c r="M526" s="11"/>
      <c r="N526" s="46"/>
      <c r="O526" s="11"/>
      <c r="P526" s="11"/>
      <c r="Q526" s="11"/>
      <c r="R526" s="11"/>
      <c r="S526" s="11"/>
      <c r="T526" s="11"/>
      <c r="U526" s="11"/>
      <c r="V526" s="11"/>
      <c r="W526" s="11"/>
      <c r="X526" s="11"/>
      <c r="Y526" s="11"/>
      <c r="Z526" s="11"/>
    </row>
    <row r="527" spans="1:26" ht="14.25" customHeight="1">
      <c r="A527" s="11"/>
      <c r="B527" s="11"/>
      <c r="C527" s="11"/>
      <c r="D527" s="11"/>
      <c r="E527" s="11"/>
      <c r="F527" s="11"/>
      <c r="G527" s="11"/>
      <c r="H527" s="11"/>
      <c r="I527" s="46"/>
      <c r="J527" s="11"/>
      <c r="K527" s="11"/>
      <c r="L527" s="11"/>
      <c r="M527" s="11"/>
      <c r="N527" s="46"/>
      <c r="O527" s="11"/>
      <c r="P527" s="11"/>
      <c r="Q527" s="11"/>
      <c r="R527" s="11"/>
      <c r="S527" s="11"/>
      <c r="T527" s="11"/>
      <c r="U527" s="11"/>
      <c r="V527" s="11"/>
      <c r="W527" s="11"/>
      <c r="X527" s="11"/>
      <c r="Y527" s="11"/>
      <c r="Z527" s="11"/>
    </row>
    <row r="528" spans="1:26" ht="14.25" customHeight="1">
      <c r="A528" s="11"/>
      <c r="B528" s="11"/>
      <c r="C528" s="11"/>
      <c r="D528" s="11"/>
      <c r="E528" s="11"/>
      <c r="F528" s="11"/>
      <c r="G528" s="11"/>
      <c r="H528" s="11"/>
      <c r="I528" s="46"/>
      <c r="J528" s="11"/>
      <c r="K528" s="11"/>
      <c r="L528" s="11"/>
      <c r="M528" s="11"/>
      <c r="N528" s="46"/>
      <c r="O528" s="11"/>
      <c r="P528" s="11"/>
      <c r="Q528" s="11"/>
      <c r="R528" s="11"/>
      <c r="S528" s="11"/>
      <c r="T528" s="11"/>
      <c r="U528" s="11"/>
      <c r="V528" s="11"/>
      <c r="W528" s="11"/>
      <c r="X528" s="11"/>
      <c r="Y528" s="11"/>
      <c r="Z528" s="11"/>
    </row>
    <row r="529" spans="1:26" ht="14.25" customHeight="1">
      <c r="A529" s="11"/>
      <c r="B529" s="11"/>
      <c r="C529" s="11"/>
      <c r="D529" s="11"/>
      <c r="E529" s="11"/>
      <c r="F529" s="11"/>
      <c r="G529" s="11"/>
      <c r="H529" s="11"/>
      <c r="I529" s="46"/>
      <c r="J529" s="11"/>
      <c r="K529" s="11"/>
      <c r="L529" s="11"/>
      <c r="M529" s="11"/>
      <c r="N529" s="46"/>
      <c r="O529" s="11"/>
      <c r="P529" s="11"/>
      <c r="Q529" s="11"/>
      <c r="R529" s="11"/>
      <c r="S529" s="11"/>
      <c r="T529" s="11"/>
      <c r="U529" s="11"/>
      <c r="V529" s="11"/>
      <c r="W529" s="11"/>
      <c r="X529" s="11"/>
      <c r="Y529" s="11"/>
      <c r="Z529" s="11"/>
    </row>
    <row r="530" spans="1:26" ht="14.25" customHeight="1">
      <c r="A530" s="11"/>
      <c r="B530" s="11"/>
      <c r="C530" s="11"/>
      <c r="D530" s="11"/>
      <c r="E530" s="11"/>
      <c r="F530" s="11"/>
      <c r="G530" s="11"/>
      <c r="H530" s="11"/>
      <c r="I530" s="46"/>
      <c r="J530" s="11"/>
      <c r="K530" s="11"/>
      <c r="L530" s="11"/>
      <c r="M530" s="11"/>
      <c r="N530" s="46"/>
      <c r="O530" s="11"/>
      <c r="P530" s="11"/>
      <c r="Q530" s="11"/>
      <c r="R530" s="11"/>
      <c r="S530" s="11"/>
      <c r="T530" s="11"/>
      <c r="U530" s="11"/>
      <c r="V530" s="11"/>
      <c r="W530" s="11"/>
      <c r="X530" s="11"/>
      <c r="Y530" s="11"/>
      <c r="Z530" s="11"/>
    </row>
    <row r="531" spans="1:26" ht="14.25" customHeight="1">
      <c r="A531" s="11"/>
      <c r="B531" s="11"/>
      <c r="C531" s="11"/>
      <c r="D531" s="11"/>
      <c r="E531" s="11"/>
      <c r="F531" s="11"/>
      <c r="G531" s="11"/>
      <c r="H531" s="11"/>
      <c r="I531" s="46"/>
      <c r="J531" s="11"/>
      <c r="K531" s="11"/>
      <c r="L531" s="11"/>
      <c r="M531" s="11"/>
      <c r="N531" s="46"/>
      <c r="O531" s="11"/>
      <c r="P531" s="11"/>
      <c r="Q531" s="11"/>
      <c r="R531" s="11"/>
      <c r="S531" s="11"/>
      <c r="T531" s="11"/>
      <c r="U531" s="11"/>
      <c r="V531" s="11"/>
      <c r="W531" s="11"/>
      <c r="X531" s="11"/>
      <c r="Y531" s="11"/>
      <c r="Z531" s="11"/>
    </row>
    <row r="532" spans="1:26" ht="14.25" customHeight="1">
      <c r="A532" s="11"/>
      <c r="B532" s="11"/>
      <c r="C532" s="11"/>
      <c r="D532" s="11"/>
      <c r="E532" s="11"/>
      <c r="F532" s="11"/>
      <c r="G532" s="11"/>
      <c r="H532" s="11"/>
      <c r="I532" s="46"/>
      <c r="J532" s="11"/>
      <c r="K532" s="11"/>
      <c r="L532" s="11"/>
      <c r="M532" s="11"/>
      <c r="N532" s="46"/>
      <c r="O532" s="11"/>
      <c r="P532" s="11"/>
      <c r="Q532" s="11"/>
      <c r="R532" s="11"/>
      <c r="S532" s="11"/>
      <c r="T532" s="11"/>
      <c r="U532" s="11"/>
      <c r="V532" s="11"/>
      <c r="W532" s="11"/>
      <c r="X532" s="11"/>
      <c r="Y532" s="11"/>
      <c r="Z532" s="11"/>
    </row>
    <row r="533" spans="1:26" ht="14.25" customHeight="1">
      <c r="A533" s="11"/>
      <c r="B533" s="11"/>
      <c r="C533" s="11"/>
      <c r="D533" s="11"/>
      <c r="E533" s="11"/>
      <c r="F533" s="11"/>
      <c r="G533" s="11"/>
      <c r="H533" s="11"/>
      <c r="I533" s="46"/>
      <c r="J533" s="11"/>
      <c r="K533" s="11"/>
      <c r="L533" s="11"/>
      <c r="M533" s="11"/>
      <c r="N533" s="46"/>
      <c r="O533" s="11"/>
      <c r="P533" s="11"/>
      <c r="Q533" s="11"/>
      <c r="R533" s="11"/>
      <c r="S533" s="11"/>
      <c r="T533" s="11"/>
      <c r="U533" s="11"/>
      <c r="V533" s="11"/>
      <c r="W533" s="11"/>
      <c r="X533" s="11"/>
      <c r="Y533" s="11"/>
      <c r="Z533" s="11"/>
    </row>
    <row r="534" spans="1:26" ht="14.25" customHeight="1">
      <c r="A534" s="11"/>
      <c r="B534" s="11"/>
      <c r="C534" s="11"/>
      <c r="D534" s="11"/>
      <c r="E534" s="11"/>
      <c r="F534" s="11"/>
      <c r="G534" s="11"/>
      <c r="H534" s="11"/>
      <c r="I534" s="46"/>
      <c r="J534" s="11"/>
      <c r="K534" s="11"/>
      <c r="L534" s="11"/>
      <c r="M534" s="11"/>
      <c r="N534" s="46"/>
      <c r="O534" s="11"/>
      <c r="P534" s="11"/>
      <c r="Q534" s="11"/>
      <c r="R534" s="11"/>
      <c r="S534" s="11"/>
      <c r="T534" s="11"/>
      <c r="U534" s="11"/>
      <c r="V534" s="11"/>
      <c r="W534" s="11"/>
      <c r="X534" s="11"/>
      <c r="Y534" s="11"/>
      <c r="Z534" s="11"/>
    </row>
    <row r="535" spans="1:26" ht="14.25" customHeight="1">
      <c r="A535" s="11"/>
      <c r="B535" s="11"/>
      <c r="C535" s="11"/>
      <c r="D535" s="11"/>
      <c r="E535" s="11"/>
      <c r="F535" s="11"/>
      <c r="G535" s="11"/>
      <c r="H535" s="11"/>
      <c r="I535" s="46"/>
      <c r="J535" s="11"/>
      <c r="K535" s="11"/>
      <c r="L535" s="11"/>
      <c r="M535" s="11"/>
      <c r="N535" s="46"/>
      <c r="O535" s="11"/>
      <c r="P535" s="11"/>
      <c r="Q535" s="11"/>
      <c r="R535" s="11"/>
      <c r="S535" s="11"/>
      <c r="T535" s="11"/>
      <c r="U535" s="11"/>
      <c r="V535" s="11"/>
      <c r="W535" s="11"/>
      <c r="X535" s="11"/>
      <c r="Y535" s="11"/>
      <c r="Z535" s="11"/>
    </row>
    <row r="536" spans="1:26" ht="14.25" customHeight="1">
      <c r="A536" s="11"/>
      <c r="B536" s="11"/>
      <c r="C536" s="11"/>
      <c r="D536" s="11"/>
      <c r="E536" s="11"/>
      <c r="F536" s="11"/>
      <c r="G536" s="11"/>
      <c r="H536" s="11"/>
      <c r="I536" s="46"/>
      <c r="J536" s="11"/>
      <c r="K536" s="11"/>
      <c r="L536" s="11"/>
      <c r="M536" s="11"/>
      <c r="N536" s="46"/>
      <c r="O536" s="11"/>
      <c r="P536" s="11"/>
      <c r="Q536" s="11"/>
      <c r="R536" s="11"/>
      <c r="S536" s="11"/>
      <c r="T536" s="11"/>
      <c r="U536" s="11"/>
      <c r="V536" s="11"/>
      <c r="W536" s="11"/>
      <c r="X536" s="11"/>
      <c r="Y536" s="11"/>
      <c r="Z536" s="11"/>
    </row>
    <row r="537" spans="1:26" ht="14.25" customHeight="1">
      <c r="A537" s="11"/>
      <c r="B537" s="11"/>
      <c r="C537" s="11"/>
      <c r="D537" s="11"/>
      <c r="E537" s="11"/>
      <c r="F537" s="11"/>
      <c r="G537" s="11"/>
      <c r="H537" s="11"/>
      <c r="I537" s="46"/>
      <c r="J537" s="11"/>
      <c r="K537" s="11"/>
      <c r="L537" s="11"/>
      <c r="M537" s="11"/>
      <c r="N537" s="46"/>
      <c r="O537" s="11"/>
      <c r="P537" s="11"/>
      <c r="Q537" s="11"/>
      <c r="R537" s="11"/>
      <c r="S537" s="11"/>
      <c r="T537" s="11"/>
      <c r="U537" s="11"/>
      <c r="V537" s="11"/>
      <c r="W537" s="11"/>
      <c r="X537" s="11"/>
      <c r="Y537" s="11"/>
      <c r="Z537" s="11"/>
    </row>
    <row r="538" spans="1:26" ht="14.25" customHeight="1">
      <c r="A538" s="11"/>
      <c r="B538" s="11"/>
      <c r="C538" s="11"/>
      <c r="D538" s="11"/>
      <c r="E538" s="11"/>
      <c r="F538" s="11"/>
      <c r="G538" s="11"/>
      <c r="H538" s="11"/>
      <c r="I538" s="46"/>
      <c r="J538" s="11"/>
      <c r="K538" s="11"/>
      <c r="L538" s="11"/>
      <c r="M538" s="11"/>
      <c r="N538" s="46"/>
      <c r="O538" s="11"/>
      <c r="P538" s="11"/>
      <c r="Q538" s="11"/>
      <c r="R538" s="11"/>
      <c r="S538" s="11"/>
      <c r="T538" s="11"/>
      <c r="U538" s="11"/>
      <c r="V538" s="11"/>
      <c r="W538" s="11"/>
      <c r="X538" s="11"/>
      <c r="Y538" s="11"/>
      <c r="Z538" s="11"/>
    </row>
    <row r="539" spans="1:26" ht="14.25" customHeight="1">
      <c r="A539" s="11"/>
      <c r="B539" s="11"/>
      <c r="C539" s="11"/>
      <c r="D539" s="11"/>
      <c r="E539" s="11"/>
      <c r="F539" s="11"/>
      <c r="G539" s="11"/>
      <c r="H539" s="11"/>
      <c r="I539" s="46"/>
      <c r="J539" s="11"/>
      <c r="K539" s="11"/>
      <c r="L539" s="11"/>
      <c r="M539" s="11"/>
      <c r="N539" s="46"/>
      <c r="O539" s="11"/>
      <c r="P539" s="11"/>
      <c r="Q539" s="11"/>
      <c r="R539" s="11"/>
      <c r="S539" s="11"/>
      <c r="T539" s="11"/>
      <c r="U539" s="11"/>
      <c r="V539" s="11"/>
      <c r="W539" s="11"/>
      <c r="X539" s="11"/>
      <c r="Y539" s="11"/>
      <c r="Z539" s="11"/>
    </row>
    <row r="540" spans="1:26" ht="14.25" customHeight="1">
      <c r="A540" s="11"/>
      <c r="B540" s="11"/>
      <c r="C540" s="11"/>
      <c r="D540" s="11"/>
      <c r="E540" s="11"/>
      <c r="F540" s="11"/>
      <c r="G540" s="11"/>
      <c r="H540" s="11"/>
      <c r="I540" s="46"/>
      <c r="J540" s="11"/>
      <c r="K540" s="11"/>
      <c r="L540" s="11"/>
      <c r="M540" s="11"/>
      <c r="N540" s="46"/>
      <c r="O540" s="11"/>
      <c r="P540" s="11"/>
      <c r="Q540" s="11"/>
      <c r="R540" s="11"/>
      <c r="S540" s="11"/>
      <c r="T540" s="11"/>
      <c r="U540" s="11"/>
      <c r="V540" s="11"/>
      <c r="W540" s="11"/>
      <c r="X540" s="11"/>
      <c r="Y540" s="11"/>
      <c r="Z540" s="11"/>
    </row>
    <row r="541" spans="1:26" ht="14.25" customHeight="1">
      <c r="A541" s="11"/>
      <c r="B541" s="11"/>
      <c r="C541" s="11"/>
      <c r="D541" s="11"/>
      <c r="E541" s="11"/>
      <c r="F541" s="11"/>
      <c r="G541" s="11"/>
      <c r="H541" s="11"/>
      <c r="I541" s="46"/>
      <c r="J541" s="11"/>
      <c r="K541" s="11"/>
      <c r="L541" s="11"/>
      <c r="M541" s="11"/>
      <c r="N541" s="46"/>
      <c r="O541" s="11"/>
      <c r="P541" s="11"/>
      <c r="Q541" s="11"/>
      <c r="R541" s="11"/>
      <c r="S541" s="11"/>
      <c r="T541" s="11"/>
      <c r="U541" s="11"/>
      <c r="V541" s="11"/>
      <c r="W541" s="11"/>
      <c r="X541" s="11"/>
      <c r="Y541" s="11"/>
      <c r="Z541" s="11"/>
    </row>
    <row r="542" spans="1:26" ht="14.25" customHeight="1">
      <c r="A542" s="11"/>
      <c r="B542" s="11"/>
      <c r="C542" s="11"/>
      <c r="D542" s="11"/>
      <c r="E542" s="11"/>
      <c r="F542" s="11"/>
      <c r="G542" s="11"/>
      <c r="H542" s="11"/>
      <c r="I542" s="46"/>
      <c r="J542" s="11"/>
      <c r="K542" s="11"/>
      <c r="L542" s="11"/>
      <c r="M542" s="11"/>
      <c r="N542" s="46"/>
      <c r="O542" s="11"/>
      <c r="P542" s="11"/>
      <c r="Q542" s="11"/>
      <c r="R542" s="11"/>
      <c r="S542" s="11"/>
      <c r="T542" s="11"/>
      <c r="U542" s="11"/>
      <c r="V542" s="11"/>
      <c r="W542" s="11"/>
      <c r="X542" s="11"/>
      <c r="Y542" s="11"/>
      <c r="Z542" s="11"/>
    </row>
    <row r="543" spans="1:26" ht="14.25" customHeight="1">
      <c r="A543" s="11"/>
      <c r="B543" s="11"/>
      <c r="C543" s="11"/>
      <c r="D543" s="11"/>
      <c r="E543" s="11"/>
      <c r="F543" s="11"/>
      <c r="G543" s="11"/>
      <c r="H543" s="11"/>
      <c r="I543" s="46"/>
      <c r="J543" s="11"/>
      <c r="K543" s="11"/>
      <c r="L543" s="11"/>
      <c r="M543" s="11"/>
      <c r="N543" s="46"/>
      <c r="O543" s="11"/>
      <c r="P543" s="11"/>
      <c r="Q543" s="11"/>
      <c r="R543" s="11"/>
      <c r="S543" s="11"/>
      <c r="T543" s="11"/>
      <c r="U543" s="11"/>
      <c r="V543" s="11"/>
      <c r="W543" s="11"/>
      <c r="X543" s="11"/>
      <c r="Y543" s="11"/>
      <c r="Z543" s="11"/>
    </row>
    <row r="544" spans="1:26" ht="14.25" customHeight="1">
      <c r="A544" s="11"/>
      <c r="B544" s="11"/>
      <c r="C544" s="11"/>
      <c r="D544" s="11"/>
      <c r="E544" s="11"/>
      <c r="F544" s="11"/>
      <c r="G544" s="11"/>
      <c r="H544" s="11"/>
      <c r="I544" s="46"/>
      <c r="J544" s="11"/>
      <c r="K544" s="11"/>
      <c r="L544" s="11"/>
      <c r="M544" s="11"/>
      <c r="N544" s="46"/>
      <c r="O544" s="11"/>
      <c r="P544" s="11"/>
      <c r="Q544" s="11"/>
      <c r="R544" s="11"/>
      <c r="S544" s="11"/>
      <c r="T544" s="11"/>
      <c r="U544" s="11"/>
      <c r="V544" s="11"/>
      <c r="W544" s="11"/>
      <c r="X544" s="11"/>
      <c r="Y544" s="11"/>
      <c r="Z544" s="11"/>
    </row>
    <row r="545" spans="1:26" ht="14.25" customHeight="1">
      <c r="A545" s="11"/>
      <c r="B545" s="11"/>
      <c r="C545" s="11"/>
      <c r="D545" s="11"/>
      <c r="E545" s="11"/>
      <c r="F545" s="11"/>
      <c r="G545" s="11"/>
      <c r="H545" s="11"/>
      <c r="I545" s="46"/>
      <c r="J545" s="11"/>
      <c r="K545" s="11"/>
      <c r="L545" s="11"/>
      <c r="M545" s="11"/>
      <c r="N545" s="46"/>
      <c r="O545" s="11"/>
      <c r="P545" s="11"/>
      <c r="Q545" s="11"/>
      <c r="R545" s="11"/>
      <c r="S545" s="11"/>
      <c r="T545" s="11"/>
      <c r="U545" s="11"/>
      <c r="V545" s="11"/>
      <c r="W545" s="11"/>
      <c r="X545" s="11"/>
      <c r="Y545" s="11"/>
      <c r="Z545" s="11"/>
    </row>
    <row r="546" spans="1:26" ht="14.25" customHeight="1">
      <c r="A546" s="11"/>
      <c r="B546" s="11"/>
      <c r="C546" s="11"/>
      <c r="D546" s="11"/>
      <c r="E546" s="11"/>
      <c r="F546" s="11"/>
      <c r="G546" s="11"/>
      <c r="H546" s="11"/>
      <c r="I546" s="46"/>
      <c r="J546" s="11"/>
      <c r="K546" s="11"/>
      <c r="L546" s="11"/>
      <c r="M546" s="11"/>
      <c r="N546" s="46"/>
      <c r="O546" s="11"/>
      <c r="P546" s="11"/>
      <c r="Q546" s="11"/>
      <c r="R546" s="11"/>
      <c r="S546" s="11"/>
      <c r="T546" s="11"/>
      <c r="U546" s="11"/>
      <c r="V546" s="11"/>
      <c r="W546" s="11"/>
      <c r="X546" s="11"/>
      <c r="Y546" s="11"/>
      <c r="Z546" s="11"/>
    </row>
    <row r="547" spans="1:26" ht="14.25" customHeight="1">
      <c r="A547" s="11"/>
      <c r="B547" s="11"/>
      <c r="C547" s="11"/>
      <c r="D547" s="11"/>
      <c r="E547" s="11"/>
      <c r="F547" s="11"/>
      <c r="G547" s="11"/>
      <c r="H547" s="11"/>
      <c r="I547" s="46"/>
      <c r="J547" s="11"/>
      <c r="K547" s="11"/>
      <c r="L547" s="11"/>
      <c r="M547" s="11"/>
      <c r="N547" s="46"/>
      <c r="O547" s="11"/>
      <c r="P547" s="11"/>
      <c r="Q547" s="11"/>
      <c r="R547" s="11"/>
      <c r="S547" s="11"/>
      <c r="T547" s="11"/>
      <c r="U547" s="11"/>
      <c r="V547" s="11"/>
      <c r="W547" s="11"/>
      <c r="X547" s="11"/>
      <c r="Y547" s="11"/>
      <c r="Z547" s="11"/>
    </row>
    <row r="548" spans="1:26" ht="14.25" customHeight="1">
      <c r="A548" s="11"/>
      <c r="B548" s="11"/>
      <c r="C548" s="11"/>
      <c r="D548" s="11"/>
      <c r="E548" s="11"/>
      <c r="F548" s="11"/>
      <c r="G548" s="11"/>
      <c r="H548" s="11"/>
      <c r="I548" s="46"/>
      <c r="J548" s="11"/>
      <c r="K548" s="11"/>
      <c r="L548" s="11"/>
      <c r="M548" s="11"/>
      <c r="N548" s="46"/>
      <c r="O548" s="11"/>
      <c r="P548" s="11"/>
      <c r="Q548" s="11"/>
      <c r="R548" s="11"/>
      <c r="S548" s="11"/>
      <c r="T548" s="11"/>
      <c r="U548" s="11"/>
      <c r="V548" s="11"/>
      <c r="W548" s="11"/>
      <c r="X548" s="11"/>
      <c r="Y548" s="11"/>
      <c r="Z548" s="11"/>
    </row>
    <row r="549" spans="1:26" ht="14.25" customHeight="1">
      <c r="A549" s="11"/>
      <c r="B549" s="11"/>
      <c r="C549" s="11"/>
      <c r="D549" s="11"/>
      <c r="E549" s="11"/>
      <c r="F549" s="11"/>
      <c r="G549" s="11"/>
      <c r="H549" s="11"/>
      <c r="I549" s="46"/>
      <c r="J549" s="11"/>
      <c r="K549" s="11"/>
      <c r="L549" s="11"/>
      <c r="M549" s="11"/>
      <c r="N549" s="46"/>
      <c r="O549" s="11"/>
      <c r="P549" s="11"/>
      <c r="Q549" s="11"/>
      <c r="R549" s="11"/>
      <c r="S549" s="11"/>
      <c r="T549" s="11"/>
      <c r="U549" s="11"/>
      <c r="V549" s="11"/>
      <c r="W549" s="11"/>
      <c r="X549" s="11"/>
      <c r="Y549" s="11"/>
      <c r="Z549" s="11"/>
    </row>
    <row r="550" spans="1:26" ht="14.25" customHeight="1">
      <c r="A550" s="11"/>
      <c r="B550" s="11"/>
      <c r="C550" s="11"/>
      <c r="D550" s="11"/>
      <c r="E550" s="11"/>
      <c r="F550" s="11"/>
      <c r="G550" s="11"/>
      <c r="H550" s="11"/>
      <c r="I550" s="46"/>
      <c r="J550" s="11"/>
      <c r="K550" s="11"/>
      <c r="L550" s="11"/>
      <c r="M550" s="11"/>
      <c r="N550" s="46"/>
      <c r="O550" s="11"/>
      <c r="P550" s="11"/>
      <c r="Q550" s="11"/>
      <c r="R550" s="11"/>
      <c r="S550" s="11"/>
      <c r="T550" s="11"/>
      <c r="U550" s="11"/>
      <c r="V550" s="11"/>
      <c r="W550" s="11"/>
      <c r="X550" s="11"/>
      <c r="Y550" s="11"/>
      <c r="Z550" s="11"/>
    </row>
    <row r="551" spans="1:26" ht="14.25" customHeight="1">
      <c r="A551" s="11"/>
      <c r="B551" s="11"/>
      <c r="C551" s="11"/>
      <c r="D551" s="11"/>
      <c r="E551" s="11"/>
      <c r="F551" s="11"/>
      <c r="G551" s="11"/>
      <c r="H551" s="11"/>
      <c r="I551" s="46"/>
      <c r="J551" s="11"/>
      <c r="K551" s="11"/>
      <c r="L551" s="11"/>
      <c r="M551" s="11"/>
      <c r="N551" s="46"/>
      <c r="O551" s="11"/>
      <c r="P551" s="11"/>
      <c r="Q551" s="11"/>
      <c r="R551" s="11"/>
      <c r="S551" s="11"/>
      <c r="T551" s="11"/>
      <c r="U551" s="11"/>
      <c r="V551" s="11"/>
      <c r="W551" s="11"/>
      <c r="X551" s="11"/>
      <c r="Y551" s="11"/>
      <c r="Z551" s="11"/>
    </row>
    <row r="552" spans="1:26" ht="14.25" customHeight="1">
      <c r="A552" s="11"/>
      <c r="B552" s="11"/>
      <c r="C552" s="11"/>
      <c r="D552" s="11"/>
      <c r="E552" s="11"/>
      <c r="F552" s="11"/>
      <c r="G552" s="11"/>
      <c r="H552" s="11"/>
      <c r="I552" s="46"/>
      <c r="J552" s="11"/>
      <c r="K552" s="11"/>
      <c r="L552" s="11"/>
      <c r="M552" s="11"/>
      <c r="N552" s="46"/>
      <c r="O552" s="11"/>
      <c r="P552" s="11"/>
      <c r="Q552" s="11"/>
      <c r="R552" s="11"/>
      <c r="S552" s="11"/>
      <c r="T552" s="11"/>
      <c r="U552" s="11"/>
      <c r="V552" s="11"/>
      <c r="W552" s="11"/>
      <c r="X552" s="11"/>
      <c r="Y552" s="11"/>
      <c r="Z552" s="11"/>
    </row>
    <row r="553" spans="1:26" ht="14.25" customHeight="1">
      <c r="A553" s="11"/>
      <c r="B553" s="11"/>
      <c r="C553" s="11"/>
      <c r="D553" s="11"/>
      <c r="E553" s="11"/>
      <c r="F553" s="11"/>
      <c r="G553" s="11"/>
      <c r="H553" s="11"/>
      <c r="I553" s="46"/>
      <c r="J553" s="11"/>
      <c r="K553" s="11"/>
      <c r="L553" s="11"/>
      <c r="M553" s="11"/>
      <c r="N553" s="46"/>
      <c r="O553" s="11"/>
      <c r="P553" s="11"/>
      <c r="Q553" s="11"/>
      <c r="R553" s="11"/>
      <c r="S553" s="11"/>
      <c r="T553" s="11"/>
      <c r="U553" s="11"/>
      <c r="V553" s="11"/>
      <c r="W553" s="11"/>
      <c r="X553" s="11"/>
      <c r="Y553" s="11"/>
      <c r="Z553" s="11"/>
    </row>
    <row r="554" spans="1:26" ht="14.25" customHeight="1">
      <c r="A554" s="11"/>
      <c r="B554" s="11"/>
      <c r="C554" s="11"/>
      <c r="D554" s="11"/>
      <c r="E554" s="11"/>
      <c r="F554" s="11"/>
      <c r="G554" s="11"/>
      <c r="H554" s="11"/>
      <c r="I554" s="46"/>
      <c r="J554" s="11"/>
      <c r="K554" s="11"/>
      <c r="L554" s="11"/>
      <c r="M554" s="11"/>
      <c r="N554" s="46"/>
      <c r="O554" s="11"/>
      <c r="P554" s="11"/>
      <c r="Q554" s="11"/>
      <c r="R554" s="11"/>
      <c r="S554" s="11"/>
      <c r="T554" s="11"/>
      <c r="U554" s="11"/>
      <c r="V554" s="11"/>
      <c r="W554" s="11"/>
      <c r="X554" s="11"/>
      <c r="Y554" s="11"/>
      <c r="Z554" s="11"/>
    </row>
    <row r="555" spans="1:26" ht="14.25" customHeight="1">
      <c r="A555" s="11"/>
      <c r="B555" s="11"/>
      <c r="C555" s="11"/>
      <c r="D555" s="11"/>
      <c r="E555" s="11"/>
      <c r="F555" s="11"/>
      <c r="G555" s="11"/>
      <c r="H555" s="11"/>
      <c r="I555" s="46"/>
      <c r="J555" s="11"/>
      <c r="K555" s="11"/>
      <c r="L555" s="11"/>
      <c r="M555" s="11"/>
      <c r="N555" s="46"/>
      <c r="O555" s="11"/>
      <c r="P555" s="11"/>
      <c r="Q555" s="11"/>
      <c r="R555" s="11"/>
      <c r="S555" s="11"/>
      <c r="T555" s="11"/>
      <c r="U555" s="11"/>
      <c r="V555" s="11"/>
      <c r="W555" s="11"/>
      <c r="X555" s="11"/>
      <c r="Y555" s="11"/>
      <c r="Z555" s="11"/>
    </row>
    <row r="556" spans="1:26" ht="14.25" customHeight="1">
      <c r="A556" s="11"/>
      <c r="B556" s="11"/>
      <c r="C556" s="11"/>
      <c r="D556" s="11"/>
      <c r="E556" s="11"/>
      <c r="F556" s="11"/>
      <c r="G556" s="11"/>
      <c r="H556" s="11"/>
      <c r="I556" s="46"/>
      <c r="J556" s="11"/>
      <c r="K556" s="11"/>
      <c r="L556" s="11"/>
      <c r="M556" s="11"/>
      <c r="N556" s="46"/>
      <c r="O556" s="11"/>
      <c r="P556" s="11"/>
      <c r="Q556" s="11"/>
      <c r="R556" s="11"/>
      <c r="S556" s="11"/>
      <c r="T556" s="11"/>
      <c r="U556" s="11"/>
      <c r="V556" s="11"/>
      <c r="W556" s="11"/>
      <c r="X556" s="11"/>
      <c r="Y556" s="11"/>
      <c r="Z556" s="11"/>
    </row>
    <row r="557" spans="1:26" ht="14.25" customHeight="1">
      <c r="A557" s="11"/>
      <c r="B557" s="11"/>
      <c r="C557" s="11"/>
      <c r="D557" s="11"/>
      <c r="E557" s="11"/>
      <c r="F557" s="11"/>
      <c r="G557" s="11"/>
      <c r="H557" s="11"/>
      <c r="I557" s="46"/>
      <c r="J557" s="11"/>
      <c r="K557" s="11"/>
      <c r="L557" s="11"/>
      <c r="M557" s="11"/>
      <c r="N557" s="46"/>
      <c r="O557" s="11"/>
      <c r="P557" s="11"/>
      <c r="Q557" s="11"/>
      <c r="R557" s="11"/>
      <c r="S557" s="11"/>
      <c r="T557" s="11"/>
      <c r="U557" s="11"/>
      <c r="V557" s="11"/>
      <c r="W557" s="11"/>
      <c r="X557" s="11"/>
      <c r="Y557" s="11"/>
      <c r="Z557" s="11"/>
    </row>
    <row r="558" spans="1:26" ht="14.25" customHeight="1">
      <c r="A558" s="11"/>
      <c r="B558" s="11"/>
      <c r="C558" s="11"/>
      <c r="D558" s="11"/>
      <c r="E558" s="11"/>
      <c r="F558" s="11"/>
      <c r="G558" s="11"/>
      <c r="H558" s="11"/>
      <c r="I558" s="46"/>
      <c r="J558" s="11"/>
      <c r="K558" s="11"/>
      <c r="L558" s="11"/>
      <c r="M558" s="11"/>
      <c r="N558" s="46"/>
      <c r="O558" s="11"/>
      <c r="P558" s="11"/>
      <c r="Q558" s="11"/>
      <c r="R558" s="11"/>
      <c r="S558" s="11"/>
      <c r="T558" s="11"/>
      <c r="U558" s="11"/>
      <c r="V558" s="11"/>
      <c r="W558" s="11"/>
      <c r="X558" s="11"/>
      <c r="Y558" s="11"/>
      <c r="Z558" s="11"/>
    </row>
    <row r="559" spans="1:26" ht="14.25" customHeight="1">
      <c r="A559" s="11"/>
      <c r="B559" s="11"/>
      <c r="C559" s="11"/>
      <c r="D559" s="11"/>
      <c r="E559" s="11"/>
      <c r="F559" s="11"/>
      <c r="G559" s="11"/>
      <c r="H559" s="11"/>
      <c r="I559" s="46"/>
      <c r="J559" s="11"/>
      <c r="K559" s="11"/>
      <c r="L559" s="11"/>
      <c r="M559" s="11"/>
      <c r="N559" s="46"/>
      <c r="O559" s="11"/>
      <c r="P559" s="11"/>
      <c r="Q559" s="11"/>
      <c r="R559" s="11"/>
      <c r="S559" s="11"/>
      <c r="T559" s="11"/>
      <c r="U559" s="11"/>
      <c r="V559" s="11"/>
      <c r="W559" s="11"/>
      <c r="X559" s="11"/>
      <c r="Y559" s="11"/>
      <c r="Z559" s="11"/>
    </row>
    <row r="560" spans="1:26" ht="14.25" customHeight="1">
      <c r="A560" s="11"/>
      <c r="B560" s="11"/>
      <c r="C560" s="11"/>
      <c r="D560" s="11"/>
      <c r="E560" s="11"/>
      <c r="F560" s="11"/>
      <c r="G560" s="11"/>
      <c r="H560" s="11"/>
      <c r="I560" s="46"/>
      <c r="J560" s="11"/>
      <c r="K560" s="11"/>
      <c r="L560" s="11"/>
      <c r="M560" s="11"/>
      <c r="N560" s="46"/>
      <c r="O560" s="11"/>
      <c r="P560" s="11"/>
      <c r="Q560" s="11"/>
      <c r="R560" s="11"/>
      <c r="S560" s="11"/>
      <c r="T560" s="11"/>
      <c r="U560" s="11"/>
      <c r="V560" s="11"/>
      <c r="W560" s="11"/>
      <c r="X560" s="11"/>
      <c r="Y560" s="11"/>
      <c r="Z560" s="11"/>
    </row>
    <row r="561" spans="1:26" ht="14.25" customHeight="1">
      <c r="A561" s="11"/>
      <c r="B561" s="11"/>
      <c r="C561" s="11"/>
      <c r="D561" s="11"/>
      <c r="E561" s="11"/>
      <c r="F561" s="11"/>
      <c r="G561" s="11"/>
      <c r="H561" s="11"/>
      <c r="I561" s="46"/>
      <c r="J561" s="11"/>
      <c r="K561" s="11"/>
      <c r="L561" s="11"/>
      <c r="M561" s="11"/>
      <c r="N561" s="46"/>
      <c r="O561" s="11"/>
      <c r="P561" s="11"/>
      <c r="Q561" s="11"/>
      <c r="R561" s="11"/>
      <c r="S561" s="11"/>
      <c r="T561" s="11"/>
      <c r="U561" s="11"/>
      <c r="V561" s="11"/>
      <c r="W561" s="11"/>
      <c r="X561" s="11"/>
      <c r="Y561" s="11"/>
      <c r="Z561" s="11"/>
    </row>
    <row r="562" spans="1:26" ht="14.25" customHeight="1">
      <c r="A562" s="11"/>
      <c r="B562" s="11"/>
      <c r="C562" s="11"/>
      <c r="D562" s="11"/>
      <c r="E562" s="11"/>
      <c r="F562" s="11"/>
      <c r="G562" s="11"/>
      <c r="H562" s="11"/>
      <c r="I562" s="46"/>
      <c r="J562" s="11"/>
      <c r="K562" s="11"/>
      <c r="L562" s="11"/>
      <c r="M562" s="11"/>
      <c r="N562" s="46"/>
      <c r="O562" s="11"/>
      <c r="P562" s="11"/>
      <c r="Q562" s="11"/>
      <c r="R562" s="11"/>
      <c r="S562" s="11"/>
      <c r="T562" s="11"/>
      <c r="U562" s="11"/>
      <c r="V562" s="11"/>
      <c r="W562" s="11"/>
      <c r="X562" s="11"/>
      <c r="Y562" s="11"/>
      <c r="Z562" s="11"/>
    </row>
    <row r="563" spans="1:26" ht="14.25" customHeight="1">
      <c r="A563" s="11"/>
      <c r="B563" s="11"/>
      <c r="C563" s="11"/>
      <c r="D563" s="11"/>
      <c r="E563" s="11"/>
      <c r="F563" s="11"/>
      <c r="G563" s="11"/>
      <c r="H563" s="11"/>
      <c r="I563" s="46"/>
      <c r="J563" s="11"/>
      <c r="K563" s="11"/>
      <c r="L563" s="11"/>
      <c r="M563" s="11"/>
      <c r="N563" s="46"/>
      <c r="O563" s="11"/>
      <c r="P563" s="11"/>
      <c r="Q563" s="11"/>
      <c r="R563" s="11"/>
      <c r="S563" s="11"/>
      <c r="T563" s="11"/>
      <c r="U563" s="11"/>
      <c r="V563" s="11"/>
      <c r="W563" s="11"/>
      <c r="X563" s="11"/>
      <c r="Y563" s="11"/>
      <c r="Z563" s="11"/>
    </row>
    <row r="564" spans="1:26" ht="14.25" customHeight="1">
      <c r="A564" s="11"/>
      <c r="B564" s="11"/>
      <c r="C564" s="11"/>
      <c r="D564" s="11"/>
      <c r="E564" s="11"/>
      <c r="F564" s="11"/>
      <c r="G564" s="11"/>
      <c r="H564" s="11"/>
      <c r="I564" s="46"/>
      <c r="J564" s="11"/>
      <c r="K564" s="11"/>
      <c r="L564" s="11"/>
      <c r="M564" s="11"/>
      <c r="N564" s="46"/>
      <c r="O564" s="11"/>
      <c r="P564" s="11"/>
      <c r="Q564" s="11"/>
      <c r="R564" s="11"/>
      <c r="S564" s="11"/>
      <c r="T564" s="11"/>
      <c r="U564" s="11"/>
      <c r="V564" s="11"/>
      <c r="W564" s="11"/>
      <c r="X564" s="11"/>
      <c r="Y564" s="11"/>
      <c r="Z564" s="11"/>
    </row>
    <row r="565" spans="1:26" ht="14.25" customHeight="1">
      <c r="A565" s="11"/>
      <c r="B565" s="11"/>
      <c r="C565" s="11"/>
      <c r="D565" s="11"/>
      <c r="E565" s="11"/>
      <c r="F565" s="11"/>
      <c r="G565" s="11"/>
      <c r="H565" s="11"/>
      <c r="I565" s="46"/>
      <c r="J565" s="11"/>
      <c r="K565" s="11"/>
      <c r="L565" s="11"/>
      <c r="M565" s="11"/>
      <c r="N565" s="46"/>
      <c r="O565" s="11"/>
      <c r="P565" s="11"/>
      <c r="Q565" s="11"/>
      <c r="R565" s="11"/>
      <c r="S565" s="11"/>
      <c r="T565" s="11"/>
      <c r="U565" s="11"/>
      <c r="V565" s="11"/>
      <c r="W565" s="11"/>
      <c r="X565" s="11"/>
      <c r="Y565" s="11"/>
      <c r="Z565" s="11"/>
    </row>
    <row r="566" spans="1:26" ht="14.25" customHeight="1">
      <c r="A566" s="11"/>
      <c r="B566" s="11"/>
      <c r="C566" s="11"/>
      <c r="D566" s="11"/>
      <c r="E566" s="11"/>
      <c r="F566" s="11"/>
      <c r="G566" s="11"/>
      <c r="H566" s="11"/>
      <c r="I566" s="46"/>
      <c r="J566" s="11"/>
      <c r="K566" s="11"/>
      <c r="L566" s="11"/>
      <c r="M566" s="11"/>
      <c r="N566" s="46"/>
      <c r="O566" s="11"/>
      <c r="P566" s="11"/>
      <c r="Q566" s="11"/>
      <c r="R566" s="11"/>
      <c r="S566" s="11"/>
      <c r="T566" s="11"/>
      <c r="U566" s="11"/>
      <c r="V566" s="11"/>
      <c r="W566" s="11"/>
      <c r="X566" s="11"/>
      <c r="Y566" s="11"/>
      <c r="Z566" s="11"/>
    </row>
    <row r="567" spans="1:26" ht="14.25" customHeight="1">
      <c r="A567" s="11"/>
      <c r="B567" s="11"/>
      <c r="C567" s="11"/>
      <c r="D567" s="11"/>
      <c r="E567" s="11"/>
      <c r="F567" s="11"/>
      <c r="G567" s="11"/>
      <c r="H567" s="11"/>
      <c r="I567" s="46"/>
      <c r="J567" s="11"/>
      <c r="K567" s="11"/>
      <c r="L567" s="11"/>
      <c r="M567" s="11"/>
      <c r="N567" s="46"/>
      <c r="O567" s="11"/>
      <c r="P567" s="11"/>
      <c r="Q567" s="11"/>
      <c r="R567" s="11"/>
      <c r="S567" s="11"/>
      <c r="T567" s="11"/>
      <c r="U567" s="11"/>
      <c r="V567" s="11"/>
      <c r="W567" s="11"/>
      <c r="X567" s="11"/>
      <c r="Y567" s="11"/>
      <c r="Z567" s="11"/>
    </row>
    <row r="568" spans="1:26" ht="14.25" customHeight="1">
      <c r="A568" s="11"/>
      <c r="B568" s="11"/>
      <c r="C568" s="11"/>
      <c r="D568" s="11"/>
      <c r="E568" s="11"/>
      <c r="F568" s="11"/>
      <c r="G568" s="11"/>
      <c r="H568" s="11"/>
      <c r="I568" s="46"/>
      <c r="J568" s="11"/>
      <c r="K568" s="11"/>
      <c r="L568" s="11"/>
      <c r="M568" s="11"/>
      <c r="N568" s="46"/>
      <c r="O568" s="11"/>
      <c r="P568" s="11"/>
      <c r="Q568" s="11"/>
      <c r="R568" s="11"/>
      <c r="S568" s="11"/>
      <c r="T568" s="11"/>
      <c r="U568" s="11"/>
      <c r="V568" s="11"/>
      <c r="W568" s="11"/>
      <c r="X568" s="11"/>
      <c r="Y568" s="11"/>
      <c r="Z568" s="11"/>
    </row>
    <row r="569" spans="1:26" ht="14.25" customHeight="1">
      <c r="A569" s="11"/>
      <c r="B569" s="11"/>
      <c r="C569" s="11"/>
      <c r="D569" s="11"/>
      <c r="E569" s="11"/>
      <c r="F569" s="11"/>
      <c r="G569" s="11"/>
      <c r="H569" s="11"/>
      <c r="I569" s="46"/>
      <c r="J569" s="11"/>
      <c r="K569" s="11"/>
      <c r="L569" s="11"/>
      <c r="M569" s="11"/>
      <c r="N569" s="46"/>
      <c r="O569" s="11"/>
      <c r="P569" s="11"/>
      <c r="Q569" s="11"/>
      <c r="R569" s="11"/>
      <c r="S569" s="11"/>
      <c r="T569" s="11"/>
      <c r="U569" s="11"/>
      <c r="V569" s="11"/>
      <c r="W569" s="11"/>
      <c r="X569" s="11"/>
      <c r="Y569" s="11"/>
      <c r="Z569" s="11"/>
    </row>
    <row r="570" spans="1:26" ht="14.25" customHeight="1">
      <c r="A570" s="11"/>
      <c r="B570" s="11"/>
      <c r="C570" s="11"/>
      <c r="D570" s="11"/>
      <c r="E570" s="11"/>
      <c r="F570" s="11"/>
      <c r="G570" s="11"/>
      <c r="H570" s="11"/>
      <c r="I570" s="46"/>
      <c r="J570" s="11"/>
      <c r="K570" s="11"/>
      <c r="L570" s="11"/>
      <c r="M570" s="11"/>
      <c r="N570" s="46"/>
      <c r="O570" s="11"/>
      <c r="P570" s="11"/>
      <c r="Q570" s="11"/>
      <c r="R570" s="11"/>
      <c r="S570" s="11"/>
      <c r="T570" s="11"/>
      <c r="U570" s="11"/>
      <c r="V570" s="11"/>
      <c r="W570" s="11"/>
      <c r="X570" s="11"/>
      <c r="Y570" s="11"/>
      <c r="Z570" s="11"/>
    </row>
    <row r="571" spans="1:26" ht="14.25" customHeight="1">
      <c r="A571" s="11"/>
      <c r="B571" s="11"/>
      <c r="C571" s="11"/>
      <c r="D571" s="11"/>
      <c r="E571" s="11"/>
      <c r="F571" s="11"/>
      <c r="G571" s="11"/>
      <c r="H571" s="11"/>
      <c r="I571" s="46"/>
      <c r="J571" s="11"/>
      <c r="K571" s="11"/>
      <c r="L571" s="11"/>
      <c r="M571" s="11"/>
      <c r="N571" s="46"/>
      <c r="O571" s="11"/>
      <c r="P571" s="11"/>
      <c r="Q571" s="11"/>
      <c r="R571" s="11"/>
      <c r="S571" s="11"/>
      <c r="T571" s="11"/>
      <c r="U571" s="11"/>
      <c r="V571" s="11"/>
      <c r="W571" s="11"/>
      <c r="X571" s="11"/>
      <c r="Y571" s="11"/>
      <c r="Z571" s="11"/>
    </row>
    <row r="572" spans="1:26" ht="14.25" customHeight="1">
      <c r="A572" s="11"/>
      <c r="B572" s="11"/>
      <c r="C572" s="11"/>
      <c r="D572" s="11"/>
      <c r="E572" s="11"/>
      <c r="F572" s="11"/>
      <c r="G572" s="11"/>
      <c r="H572" s="11"/>
      <c r="I572" s="46"/>
      <c r="J572" s="11"/>
      <c r="K572" s="11"/>
      <c r="L572" s="11"/>
      <c r="M572" s="11"/>
      <c r="N572" s="46"/>
      <c r="O572" s="11"/>
      <c r="P572" s="11"/>
      <c r="Q572" s="11"/>
      <c r="R572" s="11"/>
      <c r="S572" s="11"/>
      <c r="T572" s="11"/>
      <c r="U572" s="11"/>
      <c r="V572" s="11"/>
      <c r="W572" s="11"/>
      <c r="X572" s="11"/>
      <c r="Y572" s="11"/>
      <c r="Z572" s="11"/>
    </row>
    <row r="573" spans="1:26" ht="14.25" customHeight="1">
      <c r="A573" s="11"/>
      <c r="B573" s="11"/>
      <c r="C573" s="11"/>
      <c r="D573" s="11"/>
      <c r="E573" s="11"/>
      <c r="F573" s="11"/>
      <c r="G573" s="11"/>
      <c r="H573" s="11"/>
      <c r="I573" s="46"/>
      <c r="J573" s="11"/>
      <c r="K573" s="11"/>
      <c r="L573" s="11"/>
      <c r="M573" s="11"/>
      <c r="N573" s="46"/>
      <c r="O573" s="11"/>
      <c r="P573" s="11"/>
      <c r="Q573" s="11"/>
      <c r="R573" s="11"/>
      <c r="S573" s="11"/>
      <c r="T573" s="11"/>
      <c r="U573" s="11"/>
      <c r="V573" s="11"/>
      <c r="W573" s="11"/>
      <c r="X573" s="11"/>
      <c r="Y573" s="11"/>
      <c r="Z573" s="11"/>
    </row>
    <row r="574" spans="1:26" ht="14.25" customHeight="1">
      <c r="A574" s="11"/>
      <c r="B574" s="11"/>
      <c r="C574" s="11"/>
      <c r="D574" s="11"/>
      <c r="E574" s="11"/>
      <c r="F574" s="11"/>
      <c r="G574" s="11"/>
      <c r="H574" s="11"/>
      <c r="I574" s="46"/>
      <c r="J574" s="11"/>
      <c r="K574" s="11"/>
      <c r="L574" s="11"/>
      <c r="M574" s="11"/>
      <c r="N574" s="46"/>
      <c r="O574" s="11"/>
      <c r="P574" s="11"/>
      <c r="Q574" s="11"/>
      <c r="R574" s="11"/>
      <c r="S574" s="11"/>
      <c r="T574" s="11"/>
      <c r="U574" s="11"/>
      <c r="V574" s="11"/>
      <c r="W574" s="11"/>
      <c r="X574" s="11"/>
      <c r="Y574" s="11"/>
      <c r="Z574" s="11"/>
    </row>
    <row r="575" spans="1:26" ht="14.25" customHeight="1">
      <c r="A575" s="11"/>
      <c r="B575" s="11"/>
      <c r="C575" s="11"/>
      <c r="D575" s="11"/>
      <c r="E575" s="11"/>
      <c r="F575" s="11"/>
      <c r="G575" s="11"/>
      <c r="H575" s="11"/>
      <c r="I575" s="46"/>
      <c r="J575" s="11"/>
      <c r="K575" s="11"/>
      <c r="L575" s="11"/>
      <c r="M575" s="11"/>
      <c r="N575" s="46"/>
      <c r="O575" s="11"/>
      <c r="P575" s="11"/>
      <c r="Q575" s="11"/>
      <c r="R575" s="11"/>
      <c r="S575" s="11"/>
      <c r="T575" s="11"/>
      <c r="U575" s="11"/>
      <c r="V575" s="11"/>
      <c r="W575" s="11"/>
      <c r="X575" s="11"/>
      <c r="Y575" s="11"/>
      <c r="Z575" s="11"/>
    </row>
    <row r="576" spans="1:26" ht="14.25" customHeight="1">
      <c r="A576" s="11"/>
      <c r="B576" s="11"/>
      <c r="C576" s="11"/>
      <c r="D576" s="11"/>
      <c r="E576" s="11"/>
      <c r="F576" s="11"/>
      <c r="G576" s="11"/>
      <c r="H576" s="11"/>
      <c r="I576" s="46"/>
      <c r="J576" s="11"/>
      <c r="K576" s="11"/>
      <c r="L576" s="11"/>
      <c r="M576" s="11"/>
      <c r="N576" s="46"/>
      <c r="O576" s="11"/>
      <c r="P576" s="11"/>
      <c r="Q576" s="11"/>
      <c r="R576" s="11"/>
      <c r="S576" s="11"/>
      <c r="T576" s="11"/>
      <c r="U576" s="11"/>
      <c r="V576" s="11"/>
      <c r="W576" s="11"/>
      <c r="X576" s="11"/>
      <c r="Y576" s="11"/>
      <c r="Z576" s="11"/>
    </row>
    <row r="577" spans="1:26" ht="14.25" customHeight="1">
      <c r="A577" s="11"/>
      <c r="B577" s="11"/>
      <c r="C577" s="11"/>
      <c r="D577" s="11"/>
      <c r="E577" s="11"/>
      <c r="F577" s="11"/>
      <c r="G577" s="11"/>
      <c r="H577" s="11"/>
      <c r="I577" s="46"/>
      <c r="J577" s="11"/>
      <c r="K577" s="11"/>
      <c r="L577" s="11"/>
      <c r="M577" s="11"/>
      <c r="N577" s="46"/>
      <c r="O577" s="11"/>
      <c r="P577" s="11"/>
      <c r="Q577" s="11"/>
      <c r="R577" s="11"/>
      <c r="S577" s="11"/>
      <c r="T577" s="11"/>
      <c r="U577" s="11"/>
      <c r="V577" s="11"/>
      <c r="W577" s="11"/>
      <c r="X577" s="11"/>
      <c r="Y577" s="11"/>
      <c r="Z577" s="11"/>
    </row>
    <row r="578" spans="1:26" ht="14.25" customHeight="1">
      <c r="A578" s="11"/>
      <c r="B578" s="11"/>
      <c r="C578" s="11"/>
      <c r="D578" s="11"/>
      <c r="E578" s="11"/>
      <c r="F578" s="11"/>
      <c r="G578" s="11"/>
      <c r="H578" s="11"/>
      <c r="I578" s="46"/>
      <c r="J578" s="11"/>
      <c r="K578" s="11"/>
      <c r="L578" s="11"/>
      <c r="M578" s="11"/>
      <c r="N578" s="46"/>
      <c r="O578" s="11"/>
      <c r="P578" s="11"/>
      <c r="Q578" s="11"/>
      <c r="R578" s="11"/>
      <c r="S578" s="11"/>
      <c r="T578" s="11"/>
      <c r="U578" s="11"/>
      <c r="V578" s="11"/>
      <c r="W578" s="11"/>
      <c r="X578" s="11"/>
      <c r="Y578" s="11"/>
      <c r="Z578" s="11"/>
    </row>
    <row r="579" spans="1:26" ht="14.25" customHeight="1">
      <c r="A579" s="11"/>
      <c r="B579" s="11"/>
      <c r="C579" s="11"/>
      <c r="D579" s="11"/>
      <c r="E579" s="11"/>
      <c r="F579" s="11"/>
      <c r="G579" s="11"/>
      <c r="H579" s="11"/>
      <c r="I579" s="46"/>
      <c r="J579" s="11"/>
      <c r="K579" s="11"/>
      <c r="L579" s="11"/>
      <c r="M579" s="11"/>
      <c r="N579" s="46"/>
      <c r="O579" s="11"/>
      <c r="P579" s="11"/>
      <c r="Q579" s="11"/>
      <c r="R579" s="11"/>
      <c r="S579" s="11"/>
      <c r="T579" s="11"/>
      <c r="U579" s="11"/>
      <c r="V579" s="11"/>
      <c r="W579" s="11"/>
      <c r="X579" s="11"/>
      <c r="Y579" s="11"/>
      <c r="Z579" s="11"/>
    </row>
    <row r="580" spans="1:26" ht="14.25" customHeight="1">
      <c r="A580" s="11"/>
      <c r="B580" s="11"/>
      <c r="C580" s="11"/>
      <c r="D580" s="11"/>
      <c r="E580" s="11"/>
      <c r="F580" s="11"/>
      <c r="G580" s="11"/>
      <c r="H580" s="11"/>
      <c r="I580" s="46"/>
      <c r="J580" s="11"/>
      <c r="K580" s="11"/>
      <c r="L580" s="11"/>
      <c r="M580" s="11"/>
      <c r="N580" s="46"/>
      <c r="O580" s="11"/>
      <c r="P580" s="11"/>
      <c r="Q580" s="11"/>
      <c r="R580" s="11"/>
      <c r="S580" s="11"/>
      <c r="T580" s="11"/>
      <c r="U580" s="11"/>
      <c r="V580" s="11"/>
      <c r="W580" s="11"/>
      <c r="X580" s="11"/>
      <c r="Y580" s="11"/>
      <c r="Z580" s="11"/>
    </row>
    <row r="581" spans="1:26" ht="14.25" customHeight="1">
      <c r="A581" s="11"/>
      <c r="B581" s="11"/>
      <c r="C581" s="11"/>
      <c r="D581" s="11"/>
      <c r="E581" s="11"/>
      <c r="F581" s="11"/>
      <c r="G581" s="11"/>
      <c r="H581" s="11"/>
      <c r="I581" s="46"/>
      <c r="J581" s="11"/>
      <c r="K581" s="11"/>
      <c r="L581" s="11"/>
      <c r="M581" s="11"/>
      <c r="N581" s="46"/>
      <c r="O581" s="11"/>
      <c r="P581" s="11"/>
      <c r="Q581" s="11"/>
      <c r="R581" s="11"/>
      <c r="S581" s="11"/>
      <c r="T581" s="11"/>
      <c r="U581" s="11"/>
      <c r="V581" s="11"/>
      <c r="W581" s="11"/>
      <c r="X581" s="11"/>
      <c r="Y581" s="11"/>
      <c r="Z581" s="11"/>
    </row>
    <row r="582" spans="1:26" ht="14.25" customHeight="1">
      <c r="A582" s="11"/>
      <c r="B582" s="11"/>
      <c r="C582" s="11"/>
      <c r="D582" s="11"/>
      <c r="E582" s="11"/>
      <c r="F582" s="11"/>
      <c r="G582" s="11"/>
      <c r="H582" s="11"/>
      <c r="I582" s="46"/>
      <c r="J582" s="11"/>
      <c r="K582" s="11"/>
      <c r="L582" s="11"/>
      <c r="M582" s="11"/>
      <c r="N582" s="46"/>
      <c r="O582" s="11"/>
      <c r="P582" s="11"/>
      <c r="Q582" s="11"/>
      <c r="R582" s="11"/>
      <c r="S582" s="11"/>
      <c r="T582" s="11"/>
      <c r="U582" s="11"/>
      <c r="V582" s="11"/>
      <c r="W582" s="11"/>
      <c r="X582" s="11"/>
      <c r="Y582" s="11"/>
      <c r="Z582" s="11"/>
    </row>
    <row r="583" spans="1:26" ht="14.25" customHeight="1">
      <c r="A583" s="11"/>
      <c r="B583" s="11"/>
      <c r="C583" s="11"/>
      <c r="D583" s="11"/>
      <c r="E583" s="11"/>
      <c r="F583" s="11"/>
      <c r="G583" s="11"/>
      <c r="H583" s="11"/>
      <c r="I583" s="46"/>
      <c r="J583" s="11"/>
      <c r="K583" s="11"/>
      <c r="L583" s="11"/>
      <c r="M583" s="11"/>
      <c r="N583" s="46"/>
      <c r="O583" s="11"/>
      <c r="P583" s="11"/>
      <c r="Q583" s="11"/>
      <c r="R583" s="11"/>
      <c r="S583" s="11"/>
      <c r="T583" s="11"/>
      <c r="U583" s="11"/>
      <c r="V583" s="11"/>
      <c r="W583" s="11"/>
      <c r="X583" s="11"/>
      <c r="Y583" s="11"/>
      <c r="Z583" s="11"/>
    </row>
    <row r="584" spans="1:26" ht="14.25" customHeight="1">
      <c r="A584" s="11"/>
      <c r="B584" s="11"/>
      <c r="C584" s="11"/>
      <c r="D584" s="11"/>
      <c r="E584" s="11"/>
      <c r="F584" s="11"/>
      <c r="G584" s="11"/>
      <c r="H584" s="11"/>
      <c r="I584" s="46"/>
      <c r="J584" s="11"/>
      <c r="K584" s="11"/>
      <c r="L584" s="11"/>
      <c r="M584" s="11"/>
      <c r="N584" s="46"/>
      <c r="O584" s="11"/>
      <c r="P584" s="11"/>
      <c r="Q584" s="11"/>
      <c r="R584" s="11"/>
      <c r="S584" s="11"/>
      <c r="T584" s="11"/>
      <c r="U584" s="11"/>
      <c r="V584" s="11"/>
      <c r="W584" s="11"/>
      <c r="X584" s="11"/>
      <c r="Y584" s="11"/>
      <c r="Z584" s="11"/>
    </row>
    <row r="585" spans="1:26" ht="14.25" customHeight="1">
      <c r="A585" s="11"/>
      <c r="B585" s="11"/>
      <c r="C585" s="11"/>
      <c r="D585" s="11"/>
      <c r="E585" s="11"/>
      <c r="F585" s="11"/>
      <c r="G585" s="11"/>
      <c r="H585" s="11"/>
      <c r="I585" s="46"/>
      <c r="J585" s="11"/>
      <c r="K585" s="11"/>
      <c r="L585" s="11"/>
      <c r="M585" s="11"/>
      <c r="N585" s="46"/>
      <c r="O585" s="11"/>
      <c r="P585" s="11"/>
      <c r="Q585" s="11"/>
      <c r="R585" s="11"/>
      <c r="S585" s="11"/>
      <c r="T585" s="11"/>
      <c r="U585" s="11"/>
      <c r="V585" s="11"/>
      <c r="W585" s="11"/>
      <c r="X585" s="11"/>
      <c r="Y585" s="11"/>
      <c r="Z585" s="11"/>
    </row>
    <row r="586" spans="1:26" ht="14.25" customHeight="1">
      <c r="A586" s="11"/>
      <c r="B586" s="11"/>
      <c r="C586" s="11"/>
      <c r="D586" s="11"/>
      <c r="E586" s="11"/>
      <c r="F586" s="11"/>
      <c r="G586" s="11"/>
      <c r="H586" s="11"/>
      <c r="I586" s="46"/>
      <c r="J586" s="11"/>
      <c r="K586" s="11"/>
      <c r="L586" s="11"/>
      <c r="M586" s="11"/>
      <c r="N586" s="46"/>
      <c r="O586" s="11"/>
      <c r="P586" s="11"/>
      <c r="Q586" s="11"/>
      <c r="R586" s="11"/>
      <c r="S586" s="11"/>
      <c r="T586" s="11"/>
      <c r="U586" s="11"/>
      <c r="V586" s="11"/>
      <c r="W586" s="11"/>
      <c r="X586" s="11"/>
      <c r="Y586" s="11"/>
      <c r="Z586" s="11"/>
    </row>
    <row r="587" spans="1:26" ht="14.25" customHeight="1">
      <c r="A587" s="11"/>
      <c r="B587" s="11"/>
      <c r="C587" s="11"/>
      <c r="D587" s="11"/>
      <c r="E587" s="11"/>
      <c r="F587" s="11"/>
      <c r="G587" s="11"/>
      <c r="H587" s="11"/>
      <c r="I587" s="46"/>
      <c r="J587" s="11"/>
      <c r="K587" s="11"/>
      <c r="L587" s="11"/>
      <c r="M587" s="11"/>
      <c r="N587" s="46"/>
      <c r="O587" s="11"/>
      <c r="P587" s="11"/>
      <c r="Q587" s="11"/>
      <c r="R587" s="11"/>
      <c r="S587" s="11"/>
      <c r="T587" s="11"/>
      <c r="U587" s="11"/>
      <c r="V587" s="11"/>
      <c r="W587" s="11"/>
      <c r="X587" s="11"/>
      <c r="Y587" s="11"/>
      <c r="Z587" s="11"/>
    </row>
    <row r="588" spans="1:26" ht="14.25" customHeight="1">
      <c r="A588" s="11"/>
      <c r="B588" s="11"/>
      <c r="C588" s="11"/>
      <c r="D588" s="11"/>
      <c r="E588" s="11"/>
      <c r="F588" s="11"/>
      <c r="G588" s="11"/>
      <c r="H588" s="11"/>
      <c r="I588" s="46"/>
      <c r="J588" s="11"/>
      <c r="K588" s="11"/>
      <c r="L588" s="11"/>
      <c r="M588" s="11"/>
      <c r="N588" s="46"/>
      <c r="O588" s="11"/>
      <c r="P588" s="11"/>
      <c r="Q588" s="11"/>
      <c r="R588" s="11"/>
      <c r="S588" s="11"/>
      <c r="T588" s="11"/>
      <c r="U588" s="11"/>
      <c r="V588" s="11"/>
      <c r="W588" s="11"/>
      <c r="X588" s="11"/>
      <c r="Y588" s="11"/>
      <c r="Z588" s="11"/>
    </row>
    <row r="589" spans="1:26" ht="14.25" customHeight="1">
      <c r="A589" s="11"/>
      <c r="B589" s="11"/>
      <c r="C589" s="11"/>
      <c r="D589" s="11"/>
      <c r="E589" s="11"/>
      <c r="F589" s="11"/>
      <c r="G589" s="11"/>
      <c r="H589" s="11"/>
      <c r="I589" s="46"/>
      <c r="J589" s="11"/>
      <c r="K589" s="11"/>
      <c r="L589" s="11"/>
      <c r="M589" s="11"/>
      <c r="N589" s="46"/>
      <c r="O589" s="11"/>
      <c r="P589" s="11"/>
      <c r="Q589" s="11"/>
      <c r="R589" s="11"/>
      <c r="S589" s="11"/>
      <c r="T589" s="11"/>
      <c r="U589" s="11"/>
      <c r="V589" s="11"/>
      <c r="W589" s="11"/>
      <c r="X589" s="11"/>
      <c r="Y589" s="11"/>
      <c r="Z589" s="11"/>
    </row>
    <row r="590" spans="1:26" ht="14.25" customHeight="1">
      <c r="A590" s="11"/>
      <c r="B590" s="11"/>
      <c r="C590" s="11"/>
      <c r="D590" s="11"/>
      <c r="E590" s="11"/>
      <c r="F590" s="11"/>
      <c r="G590" s="11"/>
      <c r="H590" s="11"/>
      <c r="I590" s="46"/>
      <c r="J590" s="11"/>
      <c r="K590" s="11"/>
      <c r="L590" s="11"/>
      <c r="M590" s="11"/>
      <c r="N590" s="46"/>
      <c r="O590" s="11"/>
      <c r="P590" s="11"/>
      <c r="Q590" s="11"/>
      <c r="R590" s="11"/>
      <c r="S590" s="11"/>
      <c r="T590" s="11"/>
      <c r="U590" s="11"/>
      <c r="V590" s="11"/>
      <c r="W590" s="11"/>
      <c r="X590" s="11"/>
      <c r="Y590" s="11"/>
      <c r="Z590" s="11"/>
    </row>
    <row r="591" spans="1:26" ht="14.25" customHeight="1">
      <c r="A591" s="11"/>
      <c r="B591" s="11"/>
      <c r="C591" s="11"/>
      <c r="D591" s="11"/>
      <c r="E591" s="11"/>
      <c r="F591" s="11"/>
      <c r="G591" s="11"/>
      <c r="H591" s="11"/>
      <c r="I591" s="46"/>
      <c r="J591" s="11"/>
      <c r="K591" s="11"/>
      <c r="L591" s="11"/>
      <c r="M591" s="11"/>
      <c r="N591" s="46"/>
      <c r="O591" s="11"/>
      <c r="P591" s="11"/>
      <c r="Q591" s="11"/>
      <c r="R591" s="11"/>
      <c r="S591" s="11"/>
      <c r="T591" s="11"/>
      <c r="U591" s="11"/>
      <c r="V591" s="11"/>
      <c r="W591" s="11"/>
      <c r="X591" s="11"/>
      <c r="Y591" s="11"/>
      <c r="Z591" s="11"/>
    </row>
    <row r="592" spans="1:26" ht="14.25" customHeight="1">
      <c r="A592" s="11"/>
      <c r="B592" s="11"/>
      <c r="C592" s="11"/>
      <c r="D592" s="11"/>
      <c r="E592" s="11"/>
      <c r="F592" s="11"/>
      <c r="G592" s="11"/>
      <c r="H592" s="11"/>
      <c r="I592" s="46"/>
      <c r="J592" s="11"/>
      <c r="K592" s="11"/>
      <c r="L592" s="11"/>
      <c r="M592" s="11"/>
      <c r="N592" s="46"/>
      <c r="O592" s="11"/>
      <c r="P592" s="11"/>
      <c r="Q592" s="11"/>
      <c r="R592" s="11"/>
      <c r="S592" s="11"/>
      <c r="T592" s="11"/>
      <c r="U592" s="11"/>
      <c r="V592" s="11"/>
      <c r="W592" s="11"/>
      <c r="X592" s="11"/>
      <c r="Y592" s="11"/>
      <c r="Z592" s="11"/>
    </row>
    <row r="593" spans="1:26" ht="14.25" customHeight="1">
      <c r="A593" s="11"/>
      <c r="B593" s="11"/>
      <c r="C593" s="11"/>
      <c r="D593" s="11"/>
      <c r="E593" s="11"/>
      <c r="F593" s="11"/>
      <c r="G593" s="11"/>
      <c r="H593" s="11"/>
      <c r="I593" s="46"/>
      <c r="J593" s="11"/>
      <c r="K593" s="11"/>
      <c r="L593" s="11"/>
      <c r="M593" s="11"/>
      <c r="N593" s="46"/>
      <c r="O593" s="11"/>
      <c r="P593" s="11"/>
      <c r="Q593" s="11"/>
      <c r="R593" s="11"/>
      <c r="S593" s="11"/>
      <c r="T593" s="11"/>
      <c r="U593" s="11"/>
      <c r="V593" s="11"/>
      <c r="W593" s="11"/>
      <c r="X593" s="11"/>
      <c r="Y593" s="11"/>
      <c r="Z593" s="11"/>
    </row>
    <row r="594" spans="1:26" ht="14.25" customHeight="1">
      <c r="A594" s="11"/>
      <c r="B594" s="11"/>
      <c r="C594" s="11"/>
      <c r="D594" s="11"/>
      <c r="E594" s="11"/>
      <c r="F594" s="11"/>
      <c r="G594" s="11"/>
      <c r="H594" s="11"/>
      <c r="I594" s="46"/>
      <c r="J594" s="11"/>
      <c r="K594" s="11"/>
      <c r="L594" s="11"/>
      <c r="M594" s="11"/>
      <c r="N594" s="46"/>
      <c r="O594" s="11"/>
      <c r="P594" s="11"/>
      <c r="Q594" s="11"/>
      <c r="R594" s="11"/>
      <c r="S594" s="11"/>
      <c r="T594" s="11"/>
      <c r="U594" s="11"/>
      <c r="V594" s="11"/>
      <c r="W594" s="11"/>
      <c r="X594" s="11"/>
      <c r="Y594" s="11"/>
      <c r="Z594" s="11"/>
    </row>
    <row r="595" spans="1:26" ht="14.25" customHeight="1">
      <c r="A595" s="11"/>
      <c r="B595" s="11"/>
      <c r="C595" s="11"/>
      <c r="D595" s="11"/>
      <c r="E595" s="11"/>
      <c r="F595" s="11"/>
      <c r="G595" s="11"/>
      <c r="H595" s="11"/>
      <c r="I595" s="46"/>
      <c r="J595" s="11"/>
      <c r="K595" s="11"/>
      <c r="L595" s="11"/>
      <c r="M595" s="11"/>
      <c r="N595" s="46"/>
      <c r="O595" s="11"/>
      <c r="P595" s="11"/>
      <c r="Q595" s="11"/>
      <c r="R595" s="11"/>
      <c r="S595" s="11"/>
      <c r="T595" s="11"/>
      <c r="U595" s="11"/>
      <c r="V595" s="11"/>
      <c r="W595" s="11"/>
      <c r="X595" s="11"/>
      <c r="Y595" s="11"/>
      <c r="Z595" s="11"/>
    </row>
    <row r="596" spans="1:26" ht="14.25" customHeight="1">
      <c r="A596" s="11"/>
      <c r="B596" s="11"/>
      <c r="C596" s="11"/>
      <c r="D596" s="11"/>
      <c r="E596" s="11"/>
      <c r="F596" s="11"/>
      <c r="G596" s="11"/>
      <c r="H596" s="11"/>
      <c r="I596" s="46"/>
      <c r="J596" s="11"/>
      <c r="K596" s="11"/>
      <c r="L596" s="11"/>
      <c r="M596" s="11"/>
      <c r="N596" s="46"/>
      <c r="O596" s="11"/>
      <c r="P596" s="11"/>
      <c r="Q596" s="11"/>
      <c r="R596" s="11"/>
      <c r="S596" s="11"/>
      <c r="T596" s="11"/>
      <c r="U596" s="11"/>
      <c r="V596" s="11"/>
      <c r="W596" s="11"/>
      <c r="X596" s="11"/>
      <c r="Y596" s="11"/>
      <c r="Z596" s="11"/>
    </row>
    <row r="597" spans="1:26" ht="14.25" customHeight="1">
      <c r="A597" s="11"/>
      <c r="B597" s="11"/>
      <c r="C597" s="11"/>
      <c r="D597" s="11"/>
      <c r="E597" s="11"/>
      <c r="F597" s="11"/>
      <c r="G597" s="11"/>
      <c r="H597" s="11"/>
      <c r="I597" s="46"/>
      <c r="J597" s="11"/>
      <c r="K597" s="11"/>
      <c r="L597" s="11"/>
      <c r="M597" s="11"/>
      <c r="N597" s="46"/>
      <c r="O597" s="11"/>
      <c r="P597" s="11"/>
      <c r="Q597" s="11"/>
      <c r="R597" s="11"/>
      <c r="S597" s="11"/>
      <c r="T597" s="11"/>
      <c r="U597" s="11"/>
      <c r="V597" s="11"/>
      <c r="W597" s="11"/>
      <c r="X597" s="11"/>
      <c r="Y597" s="11"/>
      <c r="Z597" s="11"/>
    </row>
    <row r="598" spans="1:26" ht="14.25" customHeight="1">
      <c r="A598" s="11"/>
      <c r="B598" s="11"/>
      <c r="C598" s="11"/>
      <c r="D598" s="11"/>
      <c r="E598" s="11"/>
      <c r="F598" s="11"/>
      <c r="G598" s="11"/>
      <c r="H598" s="11"/>
      <c r="I598" s="46"/>
      <c r="J598" s="11"/>
      <c r="K598" s="11"/>
      <c r="L598" s="11"/>
      <c r="M598" s="11"/>
      <c r="N598" s="46"/>
      <c r="O598" s="11"/>
      <c r="P598" s="11"/>
      <c r="Q598" s="11"/>
      <c r="R598" s="11"/>
      <c r="S598" s="11"/>
      <c r="T598" s="11"/>
      <c r="U598" s="11"/>
      <c r="V598" s="11"/>
      <c r="W598" s="11"/>
      <c r="X598" s="11"/>
      <c r="Y598" s="11"/>
      <c r="Z598" s="11"/>
    </row>
    <row r="599" spans="1:26" ht="14.25" customHeight="1">
      <c r="A599" s="11"/>
      <c r="B599" s="11"/>
      <c r="C599" s="11"/>
      <c r="D599" s="11"/>
      <c r="E599" s="11"/>
      <c r="F599" s="11"/>
      <c r="G599" s="11"/>
      <c r="H599" s="11"/>
      <c r="I599" s="46"/>
      <c r="J599" s="11"/>
      <c r="K599" s="11"/>
      <c r="L599" s="11"/>
      <c r="M599" s="11"/>
      <c r="N599" s="46"/>
      <c r="O599" s="11"/>
      <c r="P599" s="11"/>
      <c r="Q599" s="11"/>
      <c r="R599" s="11"/>
      <c r="S599" s="11"/>
      <c r="T599" s="11"/>
      <c r="U599" s="11"/>
      <c r="V599" s="11"/>
      <c r="W599" s="11"/>
      <c r="X599" s="11"/>
      <c r="Y599" s="11"/>
      <c r="Z599" s="11"/>
    </row>
    <row r="600" spans="1:26" ht="14.25" customHeight="1">
      <c r="A600" s="11"/>
      <c r="B600" s="11"/>
      <c r="C600" s="11"/>
      <c r="D600" s="11"/>
      <c r="E600" s="11"/>
      <c r="F600" s="11"/>
      <c r="G600" s="11"/>
      <c r="H600" s="11"/>
      <c r="I600" s="46"/>
      <c r="J600" s="11"/>
      <c r="K600" s="11"/>
      <c r="L600" s="11"/>
      <c r="M600" s="11"/>
      <c r="N600" s="46"/>
      <c r="O600" s="11"/>
      <c r="P600" s="11"/>
      <c r="Q600" s="11"/>
      <c r="R600" s="11"/>
      <c r="S600" s="11"/>
      <c r="T600" s="11"/>
      <c r="U600" s="11"/>
      <c r="V600" s="11"/>
      <c r="W600" s="11"/>
      <c r="X600" s="11"/>
      <c r="Y600" s="11"/>
      <c r="Z600" s="11"/>
    </row>
    <row r="601" spans="1:26" ht="14.25" customHeight="1">
      <c r="A601" s="11"/>
      <c r="B601" s="11"/>
      <c r="C601" s="11"/>
      <c r="D601" s="11"/>
      <c r="E601" s="11"/>
      <c r="F601" s="11"/>
      <c r="G601" s="11"/>
      <c r="H601" s="11"/>
      <c r="I601" s="46"/>
      <c r="J601" s="11"/>
      <c r="K601" s="11"/>
      <c r="L601" s="11"/>
      <c r="M601" s="11"/>
      <c r="N601" s="46"/>
      <c r="O601" s="11"/>
      <c r="P601" s="11"/>
      <c r="Q601" s="11"/>
      <c r="R601" s="11"/>
      <c r="S601" s="11"/>
      <c r="T601" s="11"/>
      <c r="U601" s="11"/>
      <c r="V601" s="11"/>
      <c r="W601" s="11"/>
      <c r="X601" s="11"/>
      <c r="Y601" s="11"/>
      <c r="Z601" s="11"/>
    </row>
    <row r="602" spans="1:26" ht="14.25" customHeight="1">
      <c r="A602" s="11"/>
      <c r="B602" s="11"/>
      <c r="C602" s="11"/>
      <c r="D602" s="11"/>
      <c r="E602" s="11"/>
      <c r="F602" s="11"/>
      <c r="G602" s="11"/>
      <c r="H602" s="11"/>
      <c r="I602" s="46"/>
      <c r="J602" s="11"/>
      <c r="K602" s="11"/>
      <c r="L602" s="11"/>
      <c r="M602" s="11"/>
      <c r="N602" s="46"/>
      <c r="O602" s="11"/>
      <c r="P602" s="11"/>
      <c r="Q602" s="11"/>
      <c r="R602" s="11"/>
      <c r="S602" s="11"/>
      <c r="T602" s="11"/>
      <c r="U602" s="11"/>
      <c r="V602" s="11"/>
      <c r="W602" s="11"/>
      <c r="X602" s="11"/>
      <c r="Y602" s="11"/>
      <c r="Z602" s="11"/>
    </row>
    <row r="603" spans="1:26" ht="14.25" customHeight="1">
      <c r="A603" s="11"/>
      <c r="B603" s="11"/>
      <c r="C603" s="11"/>
      <c r="D603" s="11"/>
      <c r="E603" s="11"/>
      <c r="F603" s="11"/>
      <c r="G603" s="11"/>
      <c r="H603" s="11"/>
      <c r="I603" s="46"/>
      <c r="J603" s="11"/>
      <c r="K603" s="11"/>
      <c r="L603" s="11"/>
      <c r="M603" s="11"/>
      <c r="N603" s="46"/>
      <c r="O603" s="11"/>
      <c r="P603" s="11"/>
      <c r="Q603" s="11"/>
      <c r="R603" s="11"/>
      <c r="S603" s="11"/>
      <c r="T603" s="11"/>
      <c r="U603" s="11"/>
      <c r="V603" s="11"/>
      <c r="W603" s="11"/>
      <c r="X603" s="11"/>
      <c r="Y603" s="11"/>
      <c r="Z603" s="11"/>
    </row>
    <row r="604" spans="1:26" ht="14.25" customHeight="1">
      <c r="A604" s="11"/>
      <c r="B604" s="11"/>
      <c r="C604" s="11"/>
      <c r="D604" s="11"/>
      <c r="E604" s="11"/>
      <c r="F604" s="11"/>
      <c r="G604" s="11"/>
      <c r="H604" s="11"/>
      <c r="I604" s="46"/>
      <c r="J604" s="11"/>
      <c r="K604" s="11"/>
      <c r="L604" s="11"/>
      <c r="M604" s="11"/>
      <c r="N604" s="46"/>
      <c r="O604" s="11"/>
      <c r="P604" s="11"/>
      <c r="Q604" s="11"/>
      <c r="R604" s="11"/>
      <c r="S604" s="11"/>
      <c r="T604" s="11"/>
      <c r="U604" s="11"/>
      <c r="V604" s="11"/>
      <c r="W604" s="11"/>
      <c r="X604" s="11"/>
      <c r="Y604" s="11"/>
      <c r="Z604" s="11"/>
    </row>
    <row r="605" spans="1:26" ht="14.25" customHeight="1">
      <c r="A605" s="11"/>
      <c r="B605" s="11"/>
      <c r="C605" s="11"/>
      <c r="D605" s="11"/>
      <c r="E605" s="11"/>
      <c r="F605" s="11"/>
      <c r="G605" s="11"/>
      <c r="H605" s="11"/>
      <c r="I605" s="46"/>
      <c r="J605" s="11"/>
      <c r="K605" s="11"/>
      <c r="L605" s="11"/>
      <c r="M605" s="11"/>
      <c r="N605" s="46"/>
      <c r="O605" s="11"/>
      <c r="P605" s="11"/>
      <c r="Q605" s="11"/>
      <c r="R605" s="11"/>
      <c r="S605" s="11"/>
      <c r="T605" s="11"/>
      <c r="U605" s="11"/>
      <c r="V605" s="11"/>
      <c r="W605" s="11"/>
      <c r="X605" s="11"/>
      <c r="Y605" s="11"/>
      <c r="Z605" s="11"/>
    </row>
    <row r="606" spans="1:26" ht="14.25" customHeight="1">
      <c r="A606" s="11"/>
      <c r="B606" s="11"/>
      <c r="C606" s="11"/>
      <c r="D606" s="11"/>
      <c r="E606" s="11"/>
      <c r="F606" s="11"/>
      <c r="G606" s="11"/>
      <c r="H606" s="11"/>
      <c r="I606" s="46"/>
      <c r="J606" s="11"/>
      <c r="K606" s="11"/>
      <c r="L606" s="11"/>
      <c r="M606" s="11"/>
      <c r="N606" s="46"/>
      <c r="O606" s="11"/>
      <c r="P606" s="11"/>
      <c r="Q606" s="11"/>
      <c r="R606" s="11"/>
      <c r="S606" s="11"/>
      <c r="T606" s="11"/>
      <c r="U606" s="11"/>
      <c r="V606" s="11"/>
      <c r="W606" s="11"/>
      <c r="X606" s="11"/>
      <c r="Y606" s="11"/>
      <c r="Z606" s="11"/>
    </row>
    <row r="607" spans="1:26" ht="14.25" customHeight="1">
      <c r="A607" s="11"/>
      <c r="B607" s="11"/>
      <c r="C607" s="11"/>
      <c r="D607" s="11"/>
      <c r="E607" s="11"/>
      <c r="F607" s="11"/>
      <c r="G607" s="11"/>
      <c r="H607" s="11"/>
      <c r="I607" s="46"/>
      <c r="J607" s="11"/>
      <c r="K607" s="11"/>
      <c r="L607" s="11"/>
      <c r="M607" s="11"/>
      <c r="N607" s="46"/>
      <c r="O607" s="11"/>
      <c r="P607" s="11"/>
      <c r="Q607" s="11"/>
      <c r="R607" s="11"/>
      <c r="S607" s="11"/>
      <c r="T607" s="11"/>
      <c r="U607" s="11"/>
      <c r="V607" s="11"/>
      <c r="W607" s="11"/>
      <c r="X607" s="11"/>
      <c r="Y607" s="11"/>
      <c r="Z607" s="11"/>
    </row>
    <row r="608" spans="1:26" ht="14.25" customHeight="1">
      <c r="A608" s="11"/>
      <c r="B608" s="11"/>
      <c r="C608" s="11"/>
      <c r="D608" s="11"/>
      <c r="E608" s="11"/>
      <c r="F608" s="11"/>
      <c r="G608" s="11"/>
      <c r="H608" s="11"/>
      <c r="I608" s="46"/>
      <c r="J608" s="11"/>
      <c r="K608" s="11"/>
      <c r="L608" s="11"/>
      <c r="M608" s="11"/>
      <c r="N608" s="46"/>
      <c r="O608" s="11"/>
      <c r="P608" s="11"/>
      <c r="Q608" s="11"/>
      <c r="R608" s="11"/>
      <c r="S608" s="11"/>
      <c r="T608" s="11"/>
      <c r="U608" s="11"/>
      <c r="V608" s="11"/>
      <c r="W608" s="11"/>
      <c r="X608" s="11"/>
      <c r="Y608" s="11"/>
      <c r="Z608" s="11"/>
    </row>
    <row r="609" spans="1:26" ht="14.25" customHeight="1">
      <c r="A609" s="11"/>
      <c r="B609" s="11"/>
      <c r="C609" s="11"/>
      <c r="D609" s="11"/>
      <c r="E609" s="11"/>
      <c r="F609" s="11"/>
      <c r="G609" s="11"/>
      <c r="H609" s="11"/>
      <c r="I609" s="46"/>
      <c r="J609" s="11"/>
      <c r="K609" s="11"/>
      <c r="L609" s="11"/>
      <c r="M609" s="11"/>
      <c r="N609" s="46"/>
      <c r="O609" s="11"/>
      <c r="P609" s="11"/>
      <c r="Q609" s="11"/>
      <c r="R609" s="11"/>
      <c r="S609" s="11"/>
      <c r="T609" s="11"/>
      <c r="U609" s="11"/>
      <c r="V609" s="11"/>
      <c r="W609" s="11"/>
      <c r="X609" s="11"/>
      <c r="Y609" s="11"/>
      <c r="Z609" s="11"/>
    </row>
    <row r="610" spans="1:26" ht="14.25" customHeight="1">
      <c r="A610" s="11"/>
      <c r="B610" s="11"/>
      <c r="C610" s="11"/>
      <c r="D610" s="11"/>
      <c r="E610" s="11"/>
      <c r="F610" s="11"/>
      <c r="G610" s="11"/>
      <c r="H610" s="11"/>
      <c r="I610" s="46"/>
      <c r="J610" s="11"/>
      <c r="K610" s="11"/>
      <c r="L610" s="11"/>
      <c r="M610" s="11"/>
      <c r="N610" s="46"/>
      <c r="O610" s="11"/>
      <c r="P610" s="11"/>
      <c r="Q610" s="11"/>
      <c r="R610" s="11"/>
      <c r="S610" s="11"/>
      <c r="T610" s="11"/>
      <c r="U610" s="11"/>
      <c r="V610" s="11"/>
      <c r="W610" s="11"/>
      <c r="X610" s="11"/>
      <c r="Y610" s="11"/>
      <c r="Z610" s="11"/>
    </row>
    <row r="611" spans="1:26" ht="14.25" customHeight="1">
      <c r="A611" s="11"/>
      <c r="B611" s="11"/>
      <c r="C611" s="11"/>
      <c r="D611" s="11"/>
      <c r="E611" s="11"/>
      <c r="F611" s="11"/>
      <c r="G611" s="11"/>
      <c r="H611" s="11"/>
      <c r="I611" s="46"/>
      <c r="J611" s="11"/>
      <c r="K611" s="11"/>
      <c r="L611" s="11"/>
      <c r="M611" s="11"/>
      <c r="N611" s="46"/>
      <c r="O611" s="11"/>
      <c r="P611" s="11"/>
      <c r="Q611" s="11"/>
      <c r="R611" s="11"/>
      <c r="S611" s="11"/>
      <c r="T611" s="11"/>
      <c r="U611" s="11"/>
      <c r="V611" s="11"/>
      <c r="W611" s="11"/>
      <c r="X611" s="11"/>
      <c r="Y611" s="11"/>
      <c r="Z611" s="11"/>
    </row>
    <row r="612" spans="1:26" ht="14.25" customHeight="1">
      <c r="A612" s="11"/>
      <c r="B612" s="11"/>
      <c r="C612" s="11"/>
      <c r="D612" s="11"/>
      <c r="E612" s="11"/>
      <c r="F612" s="11"/>
      <c r="G612" s="11"/>
      <c r="H612" s="11"/>
      <c r="I612" s="46"/>
      <c r="J612" s="11"/>
      <c r="K612" s="11"/>
      <c r="L612" s="11"/>
      <c r="M612" s="11"/>
      <c r="N612" s="46"/>
      <c r="O612" s="11"/>
      <c r="P612" s="11"/>
      <c r="Q612" s="11"/>
      <c r="R612" s="11"/>
      <c r="S612" s="11"/>
      <c r="T612" s="11"/>
      <c r="U612" s="11"/>
      <c r="V612" s="11"/>
      <c r="W612" s="11"/>
      <c r="X612" s="11"/>
      <c r="Y612" s="11"/>
      <c r="Z612" s="11"/>
    </row>
    <row r="613" spans="1:26" ht="14.25" customHeight="1">
      <c r="A613" s="11"/>
      <c r="B613" s="11"/>
      <c r="C613" s="11"/>
      <c r="D613" s="11"/>
      <c r="E613" s="11"/>
      <c r="F613" s="11"/>
      <c r="G613" s="11"/>
      <c r="H613" s="11"/>
      <c r="I613" s="46"/>
      <c r="J613" s="11"/>
      <c r="K613" s="11"/>
      <c r="L613" s="11"/>
      <c r="M613" s="11"/>
      <c r="N613" s="46"/>
      <c r="O613" s="11"/>
      <c r="P613" s="11"/>
      <c r="Q613" s="11"/>
      <c r="R613" s="11"/>
      <c r="S613" s="11"/>
      <c r="T613" s="11"/>
      <c r="U613" s="11"/>
      <c r="V613" s="11"/>
      <c r="W613" s="11"/>
      <c r="X613" s="11"/>
      <c r="Y613" s="11"/>
      <c r="Z613" s="11"/>
    </row>
    <row r="614" spans="1:26" ht="14.25" customHeight="1">
      <c r="A614" s="11"/>
      <c r="B614" s="11"/>
      <c r="C614" s="11"/>
      <c r="D614" s="11"/>
      <c r="E614" s="11"/>
      <c r="F614" s="11"/>
      <c r="G614" s="11"/>
      <c r="H614" s="11"/>
      <c r="I614" s="46"/>
      <c r="J614" s="11"/>
      <c r="K614" s="11"/>
      <c r="L614" s="11"/>
      <c r="M614" s="11"/>
      <c r="N614" s="46"/>
      <c r="O614" s="11"/>
      <c r="P614" s="11"/>
      <c r="Q614" s="11"/>
      <c r="R614" s="11"/>
      <c r="S614" s="11"/>
      <c r="T614" s="11"/>
      <c r="U614" s="11"/>
      <c r="V614" s="11"/>
      <c r="W614" s="11"/>
      <c r="X614" s="11"/>
      <c r="Y614" s="11"/>
      <c r="Z614" s="11"/>
    </row>
    <row r="615" spans="1:26" ht="14.25" customHeight="1">
      <c r="A615" s="11"/>
      <c r="B615" s="11"/>
      <c r="C615" s="11"/>
      <c r="D615" s="11"/>
      <c r="E615" s="11"/>
      <c r="F615" s="11"/>
      <c r="G615" s="11"/>
      <c r="H615" s="11"/>
      <c r="I615" s="46"/>
      <c r="J615" s="11"/>
      <c r="K615" s="11"/>
      <c r="L615" s="11"/>
      <c r="M615" s="11"/>
      <c r="N615" s="46"/>
      <c r="O615" s="11"/>
      <c r="P615" s="11"/>
      <c r="Q615" s="11"/>
      <c r="R615" s="11"/>
      <c r="S615" s="11"/>
      <c r="T615" s="11"/>
      <c r="U615" s="11"/>
      <c r="V615" s="11"/>
      <c r="W615" s="11"/>
      <c r="X615" s="11"/>
      <c r="Y615" s="11"/>
      <c r="Z615" s="11"/>
    </row>
    <row r="616" spans="1:26" ht="14.25" customHeight="1">
      <c r="A616" s="11"/>
      <c r="B616" s="11"/>
      <c r="C616" s="11"/>
      <c r="D616" s="11"/>
      <c r="E616" s="11"/>
      <c r="F616" s="11"/>
      <c r="G616" s="11"/>
      <c r="H616" s="11"/>
      <c r="I616" s="46"/>
      <c r="J616" s="11"/>
      <c r="K616" s="11"/>
      <c r="L616" s="11"/>
      <c r="M616" s="11"/>
      <c r="N616" s="46"/>
      <c r="O616" s="11"/>
      <c r="P616" s="11"/>
      <c r="Q616" s="11"/>
      <c r="R616" s="11"/>
      <c r="S616" s="11"/>
      <c r="T616" s="11"/>
      <c r="U616" s="11"/>
      <c r="V616" s="11"/>
      <c r="W616" s="11"/>
      <c r="X616" s="11"/>
      <c r="Y616" s="11"/>
      <c r="Z616" s="11"/>
    </row>
    <row r="617" spans="1:26" ht="14.25" customHeight="1">
      <c r="A617" s="11"/>
      <c r="B617" s="11"/>
      <c r="C617" s="11"/>
      <c r="D617" s="11"/>
      <c r="E617" s="11"/>
      <c r="F617" s="11"/>
      <c r="G617" s="11"/>
      <c r="H617" s="11"/>
      <c r="I617" s="46"/>
      <c r="J617" s="11"/>
      <c r="K617" s="11"/>
      <c r="L617" s="11"/>
      <c r="M617" s="11"/>
      <c r="N617" s="46"/>
      <c r="O617" s="11"/>
      <c r="P617" s="11"/>
      <c r="Q617" s="11"/>
      <c r="R617" s="11"/>
      <c r="S617" s="11"/>
      <c r="T617" s="11"/>
      <c r="U617" s="11"/>
      <c r="V617" s="11"/>
      <c r="W617" s="11"/>
      <c r="X617" s="11"/>
      <c r="Y617" s="11"/>
      <c r="Z617" s="11"/>
    </row>
    <row r="618" spans="1:26" ht="14.25" customHeight="1">
      <c r="A618" s="11"/>
      <c r="B618" s="11"/>
      <c r="C618" s="11"/>
      <c r="D618" s="11"/>
      <c r="E618" s="11"/>
      <c r="F618" s="11"/>
      <c r="G618" s="11"/>
      <c r="H618" s="11"/>
      <c r="I618" s="46"/>
      <c r="J618" s="11"/>
      <c r="K618" s="11"/>
      <c r="L618" s="11"/>
      <c r="M618" s="11"/>
      <c r="N618" s="46"/>
      <c r="O618" s="11"/>
      <c r="P618" s="11"/>
      <c r="Q618" s="11"/>
      <c r="R618" s="11"/>
      <c r="S618" s="11"/>
      <c r="T618" s="11"/>
      <c r="U618" s="11"/>
      <c r="V618" s="11"/>
      <c r="W618" s="11"/>
      <c r="X618" s="11"/>
      <c r="Y618" s="11"/>
      <c r="Z618" s="11"/>
    </row>
    <row r="619" spans="1:26" ht="14.25" customHeight="1">
      <c r="A619" s="11"/>
      <c r="B619" s="11"/>
      <c r="C619" s="11"/>
      <c r="D619" s="11"/>
      <c r="E619" s="11"/>
      <c r="F619" s="11"/>
      <c r="G619" s="11"/>
      <c r="H619" s="11"/>
      <c r="I619" s="46"/>
      <c r="J619" s="11"/>
      <c r="K619" s="11"/>
      <c r="L619" s="11"/>
      <c r="M619" s="11"/>
      <c r="N619" s="46"/>
      <c r="O619" s="11"/>
      <c r="P619" s="11"/>
      <c r="Q619" s="11"/>
      <c r="R619" s="11"/>
      <c r="S619" s="11"/>
      <c r="T619" s="11"/>
      <c r="U619" s="11"/>
      <c r="V619" s="11"/>
      <c r="W619" s="11"/>
      <c r="X619" s="11"/>
      <c r="Y619" s="11"/>
      <c r="Z619" s="11"/>
    </row>
    <row r="620" spans="1:26" ht="14.25" customHeight="1">
      <c r="A620" s="11"/>
      <c r="B620" s="11"/>
      <c r="C620" s="11"/>
      <c r="D620" s="11"/>
      <c r="E620" s="11"/>
      <c r="F620" s="11"/>
      <c r="G620" s="11"/>
      <c r="H620" s="11"/>
      <c r="I620" s="46"/>
      <c r="J620" s="11"/>
      <c r="K620" s="11"/>
      <c r="L620" s="11"/>
      <c r="M620" s="11"/>
      <c r="N620" s="46"/>
      <c r="O620" s="11"/>
      <c r="P620" s="11"/>
      <c r="Q620" s="11"/>
      <c r="R620" s="11"/>
      <c r="S620" s="11"/>
      <c r="T620" s="11"/>
      <c r="U620" s="11"/>
      <c r="V620" s="11"/>
      <c r="W620" s="11"/>
      <c r="X620" s="11"/>
      <c r="Y620" s="11"/>
      <c r="Z620" s="11"/>
    </row>
    <row r="621" spans="1:26" ht="14.25" customHeight="1">
      <c r="A621" s="11"/>
      <c r="B621" s="11"/>
      <c r="C621" s="11"/>
      <c r="D621" s="11"/>
      <c r="E621" s="11"/>
      <c r="F621" s="11"/>
      <c r="G621" s="11"/>
      <c r="H621" s="11"/>
      <c r="I621" s="46"/>
      <c r="J621" s="11"/>
      <c r="K621" s="11"/>
      <c r="L621" s="11"/>
      <c r="M621" s="11"/>
      <c r="N621" s="46"/>
      <c r="O621" s="11"/>
      <c r="P621" s="11"/>
      <c r="Q621" s="11"/>
      <c r="R621" s="11"/>
      <c r="S621" s="11"/>
      <c r="T621" s="11"/>
      <c r="U621" s="11"/>
      <c r="V621" s="11"/>
      <c r="W621" s="11"/>
      <c r="X621" s="11"/>
      <c r="Y621" s="11"/>
      <c r="Z621" s="11"/>
    </row>
    <row r="622" spans="1:26" ht="14.25" customHeight="1">
      <c r="A622" s="11"/>
      <c r="B622" s="11"/>
      <c r="C622" s="11"/>
      <c r="D622" s="11"/>
      <c r="E622" s="11"/>
      <c r="F622" s="11"/>
      <c r="G622" s="11"/>
      <c r="H622" s="11"/>
      <c r="I622" s="46"/>
      <c r="J622" s="11"/>
      <c r="K622" s="11"/>
      <c r="L622" s="11"/>
      <c r="M622" s="11"/>
      <c r="N622" s="46"/>
      <c r="O622" s="11"/>
      <c r="P622" s="11"/>
      <c r="Q622" s="11"/>
      <c r="R622" s="11"/>
      <c r="S622" s="11"/>
      <c r="T622" s="11"/>
      <c r="U622" s="11"/>
      <c r="V622" s="11"/>
      <c r="W622" s="11"/>
      <c r="X622" s="11"/>
      <c r="Y622" s="11"/>
      <c r="Z622" s="11"/>
    </row>
    <row r="623" spans="1:26" ht="14.25" customHeight="1">
      <c r="A623" s="11"/>
      <c r="B623" s="11"/>
      <c r="C623" s="11"/>
      <c r="D623" s="11"/>
      <c r="E623" s="11"/>
      <c r="F623" s="11"/>
      <c r="G623" s="11"/>
      <c r="H623" s="11"/>
      <c r="I623" s="46"/>
      <c r="J623" s="11"/>
      <c r="K623" s="11"/>
      <c r="L623" s="11"/>
      <c r="M623" s="11"/>
      <c r="N623" s="46"/>
      <c r="O623" s="11"/>
      <c r="P623" s="11"/>
      <c r="Q623" s="11"/>
      <c r="R623" s="11"/>
      <c r="S623" s="11"/>
      <c r="T623" s="11"/>
      <c r="U623" s="11"/>
      <c r="V623" s="11"/>
      <c r="W623" s="11"/>
      <c r="X623" s="11"/>
      <c r="Y623" s="11"/>
      <c r="Z623" s="11"/>
    </row>
    <row r="624" spans="1:26" ht="14.25" customHeight="1">
      <c r="A624" s="11"/>
      <c r="B624" s="11"/>
      <c r="C624" s="11"/>
      <c r="D624" s="11"/>
      <c r="E624" s="11"/>
      <c r="F624" s="11"/>
      <c r="G624" s="11"/>
      <c r="H624" s="11"/>
      <c r="I624" s="46"/>
      <c r="J624" s="11"/>
      <c r="K624" s="11"/>
      <c r="L624" s="11"/>
      <c r="M624" s="11"/>
      <c r="N624" s="46"/>
      <c r="O624" s="11"/>
      <c r="P624" s="11"/>
      <c r="Q624" s="11"/>
      <c r="R624" s="11"/>
      <c r="S624" s="11"/>
      <c r="T624" s="11"/>
      <c r="U624" s="11"/>
      <c r="V624" s="11"/>
      <c r="W624" s="11"/>
      <c r="X624" s="11"/>
      <c r="Y624" s="11"/>
      <c r="Z624" s="11"/>
    </row>
    <row r="625" spans="1:26" ht="14.25" customHeight="1">
      <c r="A625" s="11"/>
      <c r="B625" s="11"/>
      <c r="C625" s="11"/>
      <c r="D625" s="11"/>
      <c r="E625" s="11"/>
      <c r="F625" s="11"/>
      <c r="G625" s="11"/>
      <c r="H625" s="11"/>
      <c r="I625" s="46"/>
      <c r="J625" s="11"/>
      <c r="K625" s="11"/>
      <c r="L625" s="11"/>
      <c r="M625" s="11"/>
      <c r="N625" s="46"/>
      <c r="O625" s="11"/>
      <c r="P625" s="11"/>
      <c r="Q625" s="11"/>
      <c r="R625" s="11"/>
      <c r="S625" s="11"/>
      <c r="T625" s="11"/>
      <c r="U625" s="11"/>
      <c r="V625" s="11"/>
      <c r="W625" s="11"/>
      <c r="X625" s="11"/>
      <c r="Y625" s="11"/>
      <c r="Z625" s="11"/>
    </row>
    <row r="626" spans="1:26" ht="14.25" customHeight="1">
      <c r="A626" s="11"/>
      <c r="B626" s="11"/>
      <c r="C626" s="11"/>
      <c r="D626" s="11"/>
      <c r="E626" s="11"/>
      <c r="F626" s="11"/>
      <c r="G626" s="11"/>
      <c r="H626" s="11"/>
      <c r="I626" s="46"/>
      <c r="J626" s="11"/>
      <c r="K626" s="11"/>
      <c r="L626" s="11"/>
      <c r="M626" s="11"/>
      <c r="N626" s="46"/>
      <c r="O626" s="11"/>
      <c r="P626" s="11"/>
      <c r="Q626" s="11"/>
      <c r="R626" s="11"/>
      <c r="S626" s="11"/>
      <c r="T626" s="11"/>
      <c r="U626" s="11"/>
      <c r="V626" s="11"/>
      <c r="W626" s="11"/>
      <c r="X626" s="11"/>
      <c r="Y626" s="11"/>
      <c r="Z626" s="11"/>
    </row>
    <row r="627" spans="1:26" ht="14.25" customHeight="1">
      <c r="A627" s="11"/>
      <c r="B627" s="11"/>
      <c r="C627" s="11"/>
      <c r="D627" s="11"/>
      <c r="E627" s="11"/>
      <c r="F627" s="11"/>
      <c r="G627" s="11"/>
      <c r="H627" s="11"/>
      <c r="I627" s="46"/>
      <c r="J627" s="11"/>
      <c r="K627" s="11"/>
      <c r="L627" s="11"/>
      <c r="M627" s="11"/>
      <c r="N627" s="46"/>
      <c r="O627" s="11"/>
      <c r="P627" s="11"/>
      <c r="Q627" s="11"/>
      <c r="R627" s="11"/>
      <c r="S627" s="11"/>
      <c r="T627" s="11"/>
      <c r="U627" s="11"/>
      <c r="V627" s="11"/>
      <c r="W627" s="11"/>
      <c r="X627" s="11"/>
      <c r="Y627" s="11"/>
      <c r="Z627" s="11"/>
    </row>
    <row r="628" spans="1:26" ht="14.25" customHeight="1">
      <c r="A628" s="11"/>
      <c r="B628" s="11"/>
      <c r="C628" s="11"/>
      <c r="D628" s="11"/>
      <c r="E628" s="11"/>
      <c r="F628" s="11"/>
      <c r="G628" s="11"/>
      <c r="H628" s="11"/>
      <c r="I628" s="46"/>
      <c r="J628" s="11"/>
      <c r="K628" s="11"/>
      <c r="L628" s="11"/>
      <c r="M628" s="11"/>
      <c r="N628" s="46"/>
      <c r="O628" s="11"/>
      <c r="P628" s="11"/>
      <c r="Q628" s="11"/>
      <c r="R628" s="11"/>
      <c r="S628" s="11"/>
      <c r="T628" s="11"/>
      <c r="U628" s="11"/>
      <c r="V628" s="11"/>
      <c r="W628" s="11"/>
      <c r="X628" s="11"/>
      <c r="Y628" s="11"/>
      <c r="Z628" s="11"/>
    </row>
    <row r="629" spans="1:26" ht="14.25" customHeight="1">
      <c r="A629" s="11"/>
      <c r="B629" s="11"/>
      <c r="C629" s="11"/>
      <c r="D629" s="11"/>
      <c r="E629" s="11"/>
      <c r="F629" s="11"/>
      <c r="G629" s="11"/>
      <c r="H629" s="11"/>
      <c r="I629" s="46"/>
      <c r="J629" s="11"/>
      <c r="K629" s="11"/>
      <c r="L629" s="11"/>
      <c r="M629" s="11"/>
      <c r="N629" s="46"/>
      <c r="O629" s="11"/>
      <c r="P629" s="11"/>
      <c r="Q629" s="11"/>
      <c r="R629" s="11"/>
      <c r="S629" s="11"/>
      <c r="T629" s="11"/>
      <c r="U629" s="11"/>
      <c r="V629" s="11"/>
      <c r="W629" s="11"/>
      <c r="X629" s="11"/>
      <c r="Y629" s="11"/>
      <c r="Z629" s="11"/>
    </row>
    <row r="630" spans="1:26" ht="14.25" customHeight="1">
      <c r="A630" s="11"/>
      <c r="B630" s="11"/>
      <c r="C630" s="11"/>
      <c r="D630" s="11"/>
      <c r="E630" s="11"/>
      <c r="F630" s="11"/>
      <c r="G630" s="11"/>
      <c r="H630" s="11"/>
      <c r="I630" s="46"/>
      <c r="J630" s="11"/>
      <c r="K630" s="11"/>
      <c r="L630" s="11"/>
      <c r="M630" s="11"/>
      <c r="N630" s="46"/>
      <c r="O630" s="11"/>
      <c r="P630" s="11"/>
      <c r="Q630" s="11"/>
      <c r="R630" s="11"/>
      <c r="S630" s="11"/>
      <c r="T630" s="11"/>
      <c r="U630" s="11"/>
      <c r="V630" s="11"/>
      <c r="W630" s="11"/>
      <c r="X630" s="11"/>
      <c r="Y630" s="11"/>
      <c r="Z630" s="11"/>
    </row>
    <row r="631" spans="1:26" ht="14.25" customHeight="1">
      <c r="A631" s="11"/>
      <c r="B631" s="11"/>
      <c r="C631" s="11"/>
      <c r="D631" s="11"/>
      <c r="E631" s="11"/>
      <c r="F631" s="11"/>
      <c r="G631" s="11"/>
      <c r="H631" s="11"/>
      <c r="I631" s="46"/>
      <c r="J631" s="11"/>
      <c r="K631" s="11"/>
      <c r="L631" s="11"/>
      <c r="M631" s="11"/>
      <c r="N631" s="46"/>
      <c r="O631" s="11"/>
      <c r="P631" s="11"/>
      <c r="Q631" s="11"/>
      <c r="R631" s="11"/>
      <c r="S631" s="11"/>
      <c r="T631" s="11"/>
      <c r="U631" s="11"/>
      <c r="V631" s="11"/>
      <c r="W631" s="11"/>
      <c r="X631" s="11"/>
      <c r="Y631" s="11"/>
      <c r="Z631" s="11"/>
    </row>
    <row r="632" spans="1:26" ht="14.25" customHeight="1">
      <c r="A632" s="11"/>
      <c r="B632" s="11"/>
      <c r="C632" s="11"/>
      <c r="D632" s="11"/>
      <c r="E632" s="11"/>
      <c r="F632" s="11"/>
      <c r="G632" s="11"/>
      <c r="H632" s="11"/>
      <c r="I632" s="46"/>
      <c r="J632" s="11"/>
      <c r="K632" s="11"/>
      <c r="L632" s="11"/>
      <c r="M632" s="11"/>
      <c r="N632" s="46"/>
      <c r="O632" s="11"/>
      <c r="P632" s="11"/>
      <c r="Q632" s="11"/>
      <c r="R632" s="11"/>
      <c r="S632" s="11"/>
      <c r="T632" s="11"/>
      <c r="U632" s="11"/>
      <c r="V632" s="11"/>
      <c r="W632" s="11"/>
      <c r="X632" s="11"/>
      <c r="Y632" s="11"/>
      <c r="Z632" s="11"/>
    </row>
    <row r="633" spans="1:26" ht="14.25" customHeight="1">
      <c r="A633" s="11"/>
      <c r="B633" s="11"/>
      <c r="C633" s="11"/>
      <c r="D633" s="11"/>
      <c r="E633" s="11"/>
      <c r="F633" s="11"/>
      <c r="G633" s="11"/>
      <c r="H633" s="11"/>
      <c r="I633" s="46"/>
      <c r="J633" s="11"/>
      <c r="K633" s="11"/>
      <c r="L633" s="11"/>
      <c r="M633" s="11"/>
      <c r="N633" s="46"/>
      <c r="O633" s="11"/>
      <c r="P633" s="11"/>
      <c r="Q633" s="11"/>
      <c r="R633" s="11"/>
      <c r="S633" s="11"/>
      <c r="T633" s="11"/>
      <c r="U633" s="11"/>
      <c r="V633" s="11"/>
      <c r="W633" s="11"/>
      <c r="X633" s="11"/>
      <c r="Y633" s="11"/>
      <c r="Z633" s="11"/>
    </row>
    <row r="634" spans="1:26" ht="14.25" customHeight="1">
      <c r="A634" s="11"/>
      <c r="B634" s="11"/>
      <c r="C634" s="11"/>
      <c r="D634" s="11"/>
      <c r="E634" s="11"/>
      <c r="F634" s="11"/>
      <c r="G634" s="11"/>
      <c r="H634" s="11"/>
      <c r="I634" s="46"/>
      <c r="J634" s="11"/>
      <c r="K634" s="11"/>
      <c r="L634" s="11"/>
      <c r="M634" s="11"/>
      <c r="N634" s="46"/>
      <c r="O634" s="11"/>
      <c r="P634" s="11"/>
      <c r="Q634" s="11"/>
      <c r="R634" s="11"/>
      <c r="S634" s="11"/>
      <c r="T634" s="11"/>
      <c r="U634" s="11"/>
      <c r="V634" s="11"/>
      <c r="W634" s="11"/>
      <c r="X634" s="11"/>
      <c r="Y634" s="11"/>
      <c r="Z634" s="11"/>
    </row>
    <row r="635" spans="1:26" ht="14.25" customHeight="1">
      <c r="A635" s="11"/>
      <c r="B635" s="11"/>
      <c r="C635" s="11"/>
      <c r="D635" s="11"/>
      <c r="E635" s="11"/>
      <c r="F635" s="11"/>
      <c r="G635" s="11"/>
      <c r="H635" s="11"/>
      <c r="I635" s="46"/>
      <c r="J635" s="11"/>
      <c r="K635" s="11"/>
      <c r="L635" s="11"/>
      <c r="M635" s="11"/>
      <c r="N635" s="46"/>
      <c r="O635" s="11"/>
      <c r="P635" s="11"/>
      <c r="Q635" s="11"/>
      <c r="R635" s="11"/>
      <c r="S635" s="11"/>
      <c r="T635" s="11"/>
      <c r="U635" s="11"/>
      <c r="V635" s="11"/>
      <c r="W635" s="11"/>
      <c r="X635" s="11"/>
      <c r="Y635" s="11"/>
      <c r="Z635" s="11"/>
    </row>
    <row r="636" spans="1:26" ht="14.25" customHeight="1">
      <c r="A636" s="11"/>
      <c r="B636" s="11"/>
      <c r="C636" s="11"/>
      <c r="D636" s="11"/>
      <c r="E636" s="11"/>
      <c r="F636" s="11"/>
      <c r="G636" s="11"/>
      <c r="H636" s="11"/>
      <c r="I636" s="46"/>
      <c r="J636" s="11"/>
      <c r="K636" s="11"/>
      <c r="L636" s="11"/>
      <c r="M636" s="11"/>
      <c r="N636" s="46"/>
      <c r="O636" s="11"/>
      <c r="P636" s="11"/>
      <c r="Q636" s="11"/>
      <c r="R636" s="11"/>
      <c r="S636" s="11"/>
      <c r="T636" s="11"/>
      <c r="U636" s="11"/>
      <c r="V636" s="11"/>
      <c r="W636" s="11"/>
      <c r="X636" s="11"/>
      <c r="Y636" s="11"/>
      <c r="Z636" s="11"/>
    </row>
    <row r="637" spans="1:26" ht="14.25" customHeight="1">
      <c r="A637" s="11"/>
      <c r="B637" s="11"/>
      <c r="C637" s="11"/>
      <c r="D637" s="11"/>
      <c r="E637" s="11"/>
      <c r="F637" s="11"/>
      <c r="G637" s="11"/>
      <c r="H637" s="11"/>
      <c r="I637" s="46"/>
      <c r="J637" s="11"/>
      <c r="K637" s="11"/>
      <c r="L637" s="11"/>
      <c r="M637" s="11"/>
      <c r="N637" s="46"/>
      <c r="O637" s="11"/>
      <c r="P637" s="11"/>
      <c r="Q637" s="11"/>
      <c r="R637" s="11"/>
      <c r="S637" s="11"/>
      <c r="T637" s="11"/>
      <c r="U637" s="11"/>
      <c r="V637" s="11"/>
      <c r="W637" s="11"/>
      <c r="X637" s="11"/>
      <c r="Y637" s="11"/>
      <c r="Z637" s="11"/>
    </row>
    <row r="638" spans="1:26" ht="14.25" customHeight="1">
      <c r="A638" s="11"/>
      <c r="B638" s="11"/>
      <c r="C638" s="11"/>
      <c r="D638" s="11"/>
      <c r="E638" s="11"/>
      <c r="F638" s="11"/>
      <c r="G638" s="11"/>
      <c r="H638" s="11"/>
      <c r="I638" s="46"/>
      <c r="J638" s="11"/>
      <c r="K638" s="11"/>
      <c r="L638" s="11"/>
      <c r="M638" s="11"/>
      <c r="N638" s="46"/>
      <c r="O638" s="11"/>
      <c r="P638" s="11"/>
      <c r="Q638" s="11"/>
      <c r="R638" s="11"/>
      <c r="S638" s="11"/>
      <c r="T638" s="11"/>
      <c r="U638" s="11"/>
      <c r="V638" s="11"/>
      <c r="W638" s="11"/>
      <c r="X638" s="11"/>
      <c r="Y638" s="11"/>
      <c r="Z638" s="11"/>
    </row>
    <row r="639" spans="1:26" ht="14.25" customHeight="1">
      <c r="A639" s="11"/>
      <c r="B639" s="11"/>
      <c r="C639" s="11"/>
      <c r="D639" s="11"/>
      <c r="E639" s="11"/>
      <c r="F639" s="11"/>
      <c r="G639" s="11"/>
      <c r="H639" s="11"/>
      <c r="I639" s="46"/>
      <c r="J639" s="11"/>
      <c r="K639" s="11"/>
      <c r="L639" s="11"/>
      <c r="M639" s="11"/>
      <c r="N639" s="46"/>
      <c r="O639" s="11"/>
      <c r="P639" s="11"/>
      <c r="Q639" s="11"/>
      <c r="R639" s="11"/>
      <c r="S639" s="11"/>
      <c r="T639" s="11"/>
      <c r="U639" s="11"/>
      <c r="V639" s="11"/>
      <c r="W639" s="11"/>
      <c r="X639" s="11"/>
      <c r="Y639" s="11"/>
      <c r="Z639" s="11"/>
    </row>
    <row r="640" spans="1:26" ht="14.25" customHeight="1">
      <c r="A640" s="11"/>
      <c r="B640" s="11"/>
      <c r="C640" s="11"/>
      <c r="D640" s="11"/>
      <c r="E640" s="11"/>
      <c r="F640" s="11"/>
      <c r="G640" s="11"/>
      <c r="H640" s="11"/>
      <c r="I640" s="46"/>
      <c r="J640" s="11"/>
      <c r="K640" s="11"/>
      <c r="L640" s="11"/>
      <c r="M640" s="11"/>
      <c r="N640" s="46"/>
      <c r="O640" s="11"/>
      <c r="P640" s="11"/>
      <c r="Q640" s="11"/>
      <c r="R640" s="11"/>
      <c r="S640" s="11"/>
      <c r="T640" s="11"/>
      <c r="U640" s="11"/>
      <c r="V640" s="11"/>
      <c r="W640" s="11"/>
      <c r="X640" s="11"/>
      <c r="Y640" s="11"/>
      <c r="Z640" s="11"/>
    </row>
    <row r="641" spans="1:26" ht="14.25" customHeight="1">
      <c r="A641" s="11"/>
      <c r="B641" s="11"/>
      <c r="C641" s="11"/>
      <c r="D641" s="11"/>
      <c r="E641" s="11"/>
      <c r="F641" s="11"/>
      <c r="G641" s="11"/>
      <c r="H641" s="11"/>
      <c r="I641" s="46"/>
      <c r="J641" s="11"/>
      <c r="K641" s="11"/>
      <c r="L641" s="11"/>
      <c r="M641" s="11"/>
      <c r="N641" s="46"/>
      <c r="O641" s="11"/>
      <c r="P641" s="11"/>
      <c r="Q641" s="11"/>
      <c r="R641" s="11"/>
      <c r="S641" s="11"/>
      <c r="T641" s="11"/>
      <c r="U641" s="11"/>
      <c r="V641" s="11"/>
      <c r="W641" s="11"/>
      <c r="X641" s="11"/>
      <c r="Y641" s="11"/>
      <c r="Z641" s="11"/>
    </row>
    <row r="642" spans="1:26" ht="14.25" customHeight="1">
      <c r="A642" s="11"/>
      <c r="B642" s="11"/>
      <c r="C642" s="11"/>
      <c r="D642" s="11"/>
      <c r="E642" s="11"/>
      <c r="F642" s="11"/>
      <c r="G642" s="11"/>
      <c r="H642" s="11"/>
      <c r="I642" s="46"/>
      <c r="J642" s="11"/>
      <c r="K642" s="11"/>
      <c r="L642" s="11"/>
      <c r="M642" s="11"/>
      <c r="N642" s="46"/>
      <c r="O642" s="11"/>
      <c r="P642" s="11"/>
      <c r="Q642" s="11"/>
      <c r="R642" s="11"/>
      <c r="S642" s="11"/>
      <c r="T642" s="11"/>
      <c r="U642" s="11"/>
      <c r="V642" s="11"/>
      <c r="W642" s="11"/>
      <c r="X642" s="11"/>
      <c r="Y642" s="11"/>
      <c r="Z642" s="11"/>
    </row>
    <row r="643" spans="1:26" ht="14.25" customHeight="1">
      <c r="A643" s="11"/>
      <c r="B643" s="11"/>
      <c r="C643" s="11"/>
      <c r="D643" s="11"/>
      <c r="E643" s="11"/>
      <c r="F643" s="11"/>
      <c r="G643" s="11"/>
      <c r="H643" s="11"/>
      <c r="I643" s="46"/>
      <c r="J643" s="11"/>
      <c r="K643" s="11"/>
      <c r="L643" s="11"/>
      <c r="M643" s="11"/>
      <c r="N643" s="46"/>
      <c r="O643" s="11"/>
      <c r="P643" s="11"/>
      <c r="Q643" s="11"/>
      <c r="R643" s="11"/>
      <c r="S643" s="11"/>
      <c r="T643" s="11"/>
      <c r="U643" s="11"/>
      <c r="V643" s="11"/>
      <c r="W643" s="11"/>
      <c r="X643" s="11"/>
      <c r="Y643" s="11"/>
      <c r="Z643" s="11"/>
    </row>
    <row r="644" spans="1:26" ht="14.25" customHeight="1">
      <c r="A644" s="11"/>
      <c r="B644" s="11"/>
      <c r="C644" s="11"/>
      <c r="D644" s="11"/>
      <c r="E644" s="11"/>
      <c r="F644" s="11"/>
      <c r="G644" s="11"/>
      <c r="H644" s="11"/>
      <c r="I644" s="46"/>
      <c r="J644" s="11"/>
      <c r="K644" s="11"/>
      <c r="L644" s="11"/>
      <c r="M644" s="11"/>
      <c r="N644" s="46"/>
      <c r="O644" s="11"/>
      <c r="P644" s="11"/>
      <c r="Q644" s="11"/>
      <c r="R644" s="11"/>
      <c r="S644" s="11"/>
      <c r="T644" s="11"/>
      <c r="U644" s="11"/>
      <c r="V644" s="11"/>
      <c r="W644" s="11"/>
      <c r="X644" s="11"/>
      <c r="Y644" s="11"/>
      <c r="Z644" s="11"/>
    </row>
    <row r="645" spans="1:26" ht="14.25" customHeight="1">
      <c r="A645" s="11"/>
      <c r="B645" s="11"/>
      <c r="C645" s="11"/>
      <c r="D645" s="11"/>
      <c r="E645" s="11"/>
      <c r="F645" s="11"/>
      <c r="G645" s="11"/>
      <c r="H645" s="11"/>
      <c r="I645" s="46"/>
      <c r="J645" s="11"/>
      <c r="K645" s="11"/>
      <c r="L645" s="11"/>
      <c r="M645" s="11"/>
      <c r="N645" s="46"/>
      <c r="O645" s="11"/>
      <c r="P645" s="11"/>
      <c r="Q645" s="11"/>
      <c r="R645" s="11"/>
      <c r="S645" s="11"/>
      <c r="T645" s="11"/>
      <c r="U645" s="11"/>
      <c r="V645" s="11"/>
      <c r="W645" s="11"/>
      <c r="X645" s="11"/>
      <c r="Y645" s="11"/>
      <c r="Z645" s="11"/>
    </row>
    <row r="646" spans="1:26" ht="14.25" customHeight="1">
      <c r="A646" s="11"/>
      <c r="B646" s="11"/>
      <c r="C646" s="11"/>
      <c r="D646" s="11"/>
      <c r="E646" s="11"/>
      <c r="F646" s="11"/>
      <c r="G646" s="11"/>
      <c r="H646" s="11"/>
      <c r="I646" s="46"/>
      <c r="J646" s="11"/>
      <c r="K646" s="11"/>
      <c r="L646" s="11"/>
      <c r="M646" s="11"/>
      <c r="N646" s="46"/>
      <c r="O646" s="11"/>
      <c r="P646" s="11"/>
      <c r="Q646" s="11"/>
      <c r="R646" s="11"/>
      <c r="S646" s="11"/>
      <c r="T646" s="11"/>
      <c r="U646" s="11"/>
      <c r="V646" s="11"/>
      <c r="W646" s="11"/>
      <c r="X646" s="11"/>
      <c r="Y646" s="11"/>
      <c r="Z646" s="11"/>
    </row>
    <row r="647" spans="1:26" ht="14.25" customHeight="1">
      <c r="A647" s="11"/>
      <c r="B647" s="11"/>
      <c r="C647" s="11"/>
      <c r="D647" s="11"/>
      <c r="E647" s="11"/>
      <c r="F647" s="11"/>
      <c r="G647" s="11"/>
      <c r="H647" s="11"/>
      <c r="I647" s="46"/>
      <c r="J647" s="11"/>
      <c r="K647" s="11"/>
      <c r="L647" s="11"/>
      <c r="M647" s="11"/>
      <c r="N647" s="46"/>
      <c r="O647" s="11"/>
      <c r="P647" s="11"/>
      <c r="Q647" s="11"/>
      <c r="R647" s="11"/>
      <c r="S647" s="11"/>
      <c r="T647" s="11"/>
      <c r="U647" s="11"/>
      <c r="V647" s="11"/>
      <c r="W647" s="11"/>
      <c r="X647" s="11"/>
      <c r="Y647" s="11"/>
      <c r="Z647" s="11"/>
    </row>
    <row r="648" spans="1:26" ht="14.25" customHeight="1">
      <c r="A648" s="11"/>
      <c r="B648" s="11"/>
      <c r="C648" s="11"/>
      <c r="D648" s="11"/>
      <c r="E648" s="11"/>
      <c r="F648" s="11"/>
      <c r="G648" s="11"/>
      <c r="H648" s="11"/>
      <c r="I648" s="46"/>
      <c r="J648" s="11"/>
      <c r="K648" s="11"/>
      <c r="L648" s="11"/>
      <c r="M648" s="11"/>
      <c r="N648" s="46"/>
      <c r="O648" s="11"/>
      <c r="P648" s="11"/>
      <c r="Q648" s="11"/>
      <c r="R648" s="11"/>
      <c r="S648" s="11"/>
      <c r="T648" s="11"/>
      <c r="U648" s="11"/>
      <c r="V648" s="11"/>
      <c r="W648" s="11"/>
      <c r="X648" s="11"/>
      <c r="Y648" s="11"/>
      <c r="Z648" s="11"/>
    </row>
    <row r="649" spans="1:26" ht="14.25" customHeight="1">
      <c r="A649" s="11"/>
      <c r="B649" s="11"/>
      <c r="C649" s="11"/>
      <c r="D649" s="11"/>
      <c r="E649" s="11"/>
      <c r="F649" s="11"/>
      <c r="G649" s="11"/>
      <c r="H649" s="11"/>
      <c r="I649" s="46"/>
      <c r="J649" s="11"/>
      <c r="K649" s="11"/>
      <c r="L649" s="11"/>
      <c r="M649" s="11"/>
      <c r="N649" s="46"/>
      <c r="O649" s="11"/>
      <c r="P649" s="11"/>
      <c r="Q649" s="11"/>
      <c r="R649" s="11"/>
      <c r="S649" s="11"/>
      <c r="T649" s="11"/>
      <c r="U649" s="11"/>
      <c r="V649" s="11"/>
      <c r="W649" s="11"/>
      <c r="X649" s="11"/>
      <c r="Y649" s="11"/>
      <c r="Z649" s="11"/>
    </row>
    <row r="650" spans="1:26" ht="14.25" customHeight="1">
      <c r="A650" s="11"/>
      <c r="B650" s="11"/>
      <c r="C650" s="11"/>
      <c r="D650" s="11"/>
      <c r="E650" s="11"/>
      <c r="F650" s="11"/>
      <c r="G650" s="11"/>
      <c r="H650" s="11"/>
      <c r="I650" s="46"/>
      <c r="J650" s="11"/>
      <c r="K650" s="11"/>
      <c r="L650" s="11"/>
      <c r="M650" s="11"/>
      <c r="N650" s="46"/>
      <c r="O650" s="11"/>
      <c r="P650" s="11"/>
      <c r="Q650" s="11"/>
      <c r="R650" s="11"/>
      <c r="S650" s="11"/>
      <c r="T650" s="11"/>
      <c r="U650" s="11"/>
      <c r="V650" s="11"/>
      <c r="W650" s="11"/>
      <c r="X650" s="11"/>
      <c r="Y650" s="11"/>
      <c r="Z650" s="11"/>
    </row>
    <row r="651" spans="1:26" ht="14.25" customHeight="1">
      <c r="A651" s="11"/>
      <c r="B651" s="11"/>
      <c r="C651" s="11"/>
      <c r="D651" s="11"/>
      <c r="E651" s="11"/>
      <c r="F651" s="11"/>
      <c r="G651" s="11"/>
      <c r="H651" s="11"/>
      <c r="I651" s="46"/>
      <c r="J651" s="11"/>
      <c r="K651" s="11"/>
      <c r="L651" s="11"/>
      <c r="M651" s="11"/>
      <c r="N651" s="46"/>
      <c r="O651" s="11"/>
      <c r="P651" s="11"/>
      <c r="Q651" s="11"/>
      <c r="R651" s="11"/>
      <c r="S651" s="11"/>
      <c r="T651" s="11"/>
      <c r="U651" s="11"/>
      <c r="V651" s="11"/>
      <c r="W651" s="11"/>
      <c r="X651" s="11"/>
      <c r="Y651" s="11"/>
      <c r="Z651" s="11"/>
    </row>
    <row r="652" spans="1:26" ht="14.25" customHeight="1">
      <c r="A652" s="11"/>
      <c r="B652" s="11"/>
      <c r="C652" s="11"/>
      <c r="D652" s="11"/>
      <c r="E652" s="11"/>
      <c r="F652" s="11"/>
      <c r="G652" s="11"/>
      <c r="H652" s="11"/>
      <c r="I652" s="46"/>
      <c r="J652" s="11"/>
      <c r="K652" s="11"/>
      <c r="L652" s="11"/>
      <c r="M652" s="11"/>
      <c r="N652" s="46"/>
      <c r="O652" s="11"/>
      <c r="P652" s="11"/>
      <c r="Q652" s="11"/>
      <c r="R652" s="11"/>
      <c r="S652" s="11"/>
      <c r="T652" s="11"/>
      <c r="U652" s="11"/>
      <c r="V652" s="11"/>
      <c r="W652" s="11"/>
      <c r="X652" s="11"/>
      <c r="Y652" s="11"/>
      <c r="Z652" s="11"/>
    </row>
    <row r="653" spans="1:26" ht="14.25" customHeight="1">
      <c r="A653" s="11"/>
      <c r="B653" s="11"/>
      <c r="C653" s="11"/>
      <c r="D653" s="11"/>
      <c r="E653" s="11"/>
      <c r="F653" s="11"/>
      <c r="G653" s="11"/>
      <c r="H653" s="11"/>
      <c r="I653" s="46"/>
      <c r="J653" s="11"/>
      <c r="K653" s="11"/>
      <c r="L653" s="11"/>
      <c r="M653" s="11"/>
      <c r="N653" s="46"/>
      <c r="O653" s="11"/>
      <c r="P653" s="11"/>
      <c r="Q653" s="11"/>
      <c r="R653" s="11"/>
      <c r="S653" s="11"/>
      <c r="T653" s="11"/>
      <c r="U653" s="11"/>
      <c r="V653" s="11"/>
      <c r="W653" s="11"/>
      <c r="X653" s="11"/>
      <c r="Y653" s="11"/>
      <c r="Z653" s="11"/>
    </row>
    <row r="654" spans="1:26" ht="14.25" customHeight="1">
      <c r="A654" s="11"/>
      <c r="B654" s="11"/>
      <c r="C654" s="11"/>
      <c r="D654" s="11"/>
      <c r="E654" s="11"/>
      <c r="F654" s="11"/>
      <c r="G654" s="11"/>
      <c r="H654" s="11"/>
      <c r="I654" s="46"/>
      <c r="J654" s="11"/>
      <c r="K654" s="11"/>
      <c r="L654" s="11"/>
      <c r="M654" s="11"/>
      <c r="N654" s="46"/>
      <c r="O654" s="11"/>
      <c r="P654" s="11"/>
      <c r="Q654" s="11"/>
      <c r="R654" s="11"/>
      <c r="S654" s="11"/>
      <c r="T654" s="11"/>
      <c r="U654" s="11"/>
      <c r="V654" s="11"/>
      <c r="W654" s="11"/>
      <c r="X654" s="11"/>
      <c r="Y654" s="11"/>
      <c r="Z654" s="11"/>
    </row>
    <row r="655" spans="1:26" ht="14.25" customHeight="1">
      <c r="A655" s="11"/>
      <c r="B655" s="11"/>
      <c r="C655" s="11"/>
      <c r="D655" s="11"/>
      <c r="E655" s="11"/>
      <c r="F655" s="11"/>
      <c r="G655" s="11"/>
      <c r="H655" s="11"/>
      <c r="I655" s="46"/>
      <c r="J655" s="11"/>
      <c r="K655" s="11"/>
      <c r="L655" s="11"/>
      <c r="M655" s="11"/>
      <c r="N655" s="46"/>
      <c r="O655" s="11"/>
      <c r="P655" s="11"/>
      <c r="Q655" s="11"/>
      <c r="R655" s="11"/>
      <c r="S655" s="11"/>
      <c r="T655" s="11"/>
      <c r="U655" s="11"/>
      <c r="V655" s="11"/>
      <c r="W655" s="11"/>
      <c r="X655" s="11"/>
      <c r="Y655" s="11"/>
      <c r="Z655" s="11"/>
    </row>
    <row r="656" spans="1:26" ht="14.25" customHeight="1">
      <c r="A656" s="11"/>
      <c r="B656" s="11"/>
      <c r="C656" s="11"/>
      <c r="D656" s="11"/>
      <c r="E656" s="11"/>
      <c r="F656" s="11"/>
      <c r="G656" s="11"/>
      <c r="H656" s="11"/>
      <c r="I656" s="46"/>
      <c r="J656" s="11"/>
      <c r="K656" s="11"/>
      <c r="L656" s="11"/>
      <c r="M656" s="11"/>
      <c r="N656" s="46"/>
      <c r="O656" s="11"/>
      <c r="P656" s="11"/>
      <c r="Q656" s="11"/>
      <c r="R656" s="11"/>
      <c r="S656" s="11"/>
      <c r="T656" s="11"/>
      <c r="U656" s="11"/>
      <c r="V656" s="11"/>
      <c r="W656" s="11"/>
      <c r="X656" s="11"/>
      <c r="Y656" s="11"/>
      <c r="Z656" s="11"/>
    </row>
    <row r="657" spans="1:26" ht="14.25" customHeight="1">
      <c r="A657" s="11"/>
      <c r="B657" s="11"/>
      <c r="C657" s="11"/>
      <c r="D657" s="11"/>
      <c r="E657" s="11"/>
      <c r="F657" s="11"/>
      <c r="G657" s="11"/>
      <c r="H657" s="11"/>
      <c r="I657" s="46"/>
      <c r="J657" s="11"/>
      <c r="K657" s="11"/>
      <c r="L657" s="11"/>
      <c r="M657" s="11"/>
      <c r="N657" s="46"/>
      <c r="O657" s="11"/>
      <c r="P657" s="11"/>
      <c r="Q657" s="11"/>
      <c r="R657" s="11"/>
      <c r="S657" s="11"/>
      <c r="T657" s="11"/>
      <c r="U657" s="11"/>
      <c r="V657" s="11"/>
      <c r="W657" s="11"/>
      <c r="X657" s="11"/>
      <c r="Y657" s="11"/>
      <c r="Z657" s="11"/>
    </row>
    <row r="658" spans="1:26" ht="14.25" customHeight="1">
      <c r="A658" s="11"/>
      <c r="B658" s="11"/>
      <c r="C658" s="11"/>
      <c r="D658" s="11"/>
      <c r="E658" s="11"/>
      <c r="F658" s="11"/>
      <c r="G658" s="11"/>
      <c r="H658" s="11"/>
      <c r="I658" s="46"/>
      <c r="J658" s="11"/>
      <c r="K658" s="11"/>
      <c r="L658" s="11"/>
      <c r="M658" s="11"/>
      <c r="N658" s="46"/>
      <c r="O658" s="11"/>
      <c r="P658" s="11"/>
      <c r="Q658" s="11"/>
      <c r="R658" s="11"/>
      <c r="S658" s="11"/>
      <c r="T658" s="11"/>
      <c r="U658" s="11"/>
      <c r="V658" s="11"/>
      <c r="W658" s="11"/>
      <c r="X658" s="11"/>
      <c r="Y658" s="11"/>
      <c r="Z658" s="11"/>
    </row>
    <row r="659" spans="1:26" ht="14.25" customHeight="1">
      <c r="A659" s="11"/>
      <c r="B659" s="11"/>
      <c r="C659" s="11"/>
      <c r="D659" s="11"/>
      <c r="E659" s="11"/>
      <c r="F659" s="11"/>
      <c r="G659" s="11"/>
      <c r="H659" s="11"/>
      <c r="I659" s="46"/>
      <c r="J659" s="11"/>
      <c r="K659" s="11"/>
      <c r="L659" s="11"/>
      <c r="M659" s="11"/>
      <c r="N659" s="46"/>
      <c r="O659" s="11"/>
      <c r="P659" s="11"/>
      <c r="Q659" s="11"/>
      <c r="R659" s="11"/>
      <c r="S659" s="11"/>
      <c r="T659" s="11"/>
      <c r="U659" s="11"/>
      <c r="V659" s="11"/>
      <c r="W659" s="11"/>
      <c r="X659" s="11"/>
      <c r="Y659" s="11"/>
      <c r="Z659" s="11"/>
    </row>
    <row r="660" spans="1:26" ht="14.25" customHeight="1">
      <c r="A660" s="11"/>
      <c r="B660" s="11"/>
      <c r="C660" s="11"/>
      <c r="D660" s="11"/>
      <c r="E660" s="11"/>
      <c r="F660" s="11"/>
      <c r="G660" s="11"/>
      <c r="H660" s="11"/>
      <c r="I660" s="46"/>
      <c r="J660" s="11"/>
      <c r="K660" s="11"/>
      <c r="L660" s="11"/>
      <c r="M660" s="11"/>
      <c r="N660" s="46"/>
      <c r="O660" s="11"/>
      <c r="P660" s="11"/>
      <c r="Q660" s="11"/>
      <c r="R660" s="11"/>
      <c r="S660" s="11"/>
      <c r="T660" s="11"/>
      <c r="U660" s="11"/>
      <c r="V660" s="11"/>
      <c r="W660" s="11"/>
      <c r="X660" s="11"/>
      <c r="Y660" s="11"/>
      <c r="Z660" s="11"/>
    </row>
    <row r="661" spans="1:26" ht="14.25" customHeight="1">
      <c r="A661" s="11"/>
      <c r="B661" s="11"/>
      <c r="C661" s="11"/>
      <c r="D661" s="11"/>
      <c r="E661" s="11"/>
      <c r="F661" s="11"/>
      <c r="G661" s="11"/>
      <c r="H661" s="11"/>
      <c r="I661" s="46"/>
      <c r="J661" s="11"/>
      <c r="K661" s="11"/>
      <c r="L661" s="11"/>
      <c r="M661" s="11"/>
      <c r="N661" s="46"/>
      <c r="O661" s="11"/>
      <c r="P661" s="11"/>
      <c r="Q661" s="11"/>
      <c r="R661" s="11"/>
      <c r="S661" s="11"/>
      <c r="T661" s="11"/>
      <c r="U661" s="11"/>
      <c r="V661" s="11"/>
      <c r="W661" s="11"/>
      <c r="X661" s="11"/>
      <c r="Y661" s="11"/>
      <c r="Z661" s="11"/>
    </row>
    <row r="662" spans="1:26" ht="14.25" customHeight="1">
      <c r="A662" s="11"/>
      <c r="B662" s="11"/>
      <c r="C662" s="11"/>
      <c r="D662" s="11"/>
      <c r="E662" s="11"/>
      <c r="F662" s="11"/>
      <c r="G662" s="11"/>
      <c r="H662" s="11"/>
      <c r="I662" s="46"/>
      <c r="J662" s="11"/>
      <c r="K662" s="11"/>
      <c r="L662" s="11"/>
      <c r="M662" s="11"/>
      <c r="N662" s="46"/>
      <c r="O662" s="11"/>
      <c r="P662" s="11"/>
      <c r="Q662" s="11"/>
      <c r="R662" s="11"/>
      <c r="S662" s="11"/>
      <c r="T662" s="11"/>
      <c r="U662" s="11"/>
      <c r="V662" s="11"/>
      <c r="W662" s="11"/>
      <c r="X662" s="11"/>
      <c r="Y662" s="11"/>
      <c r="Z662" s="11"/>
    </row>
    <row r="663" spans="1:26" ht="14.25" customHeight="1">
      <c r="A663" s="11"/>
      <c r="B663" s="11"/>
      <c r="C663" s="11"/>
      <c r="D663" s="11"/>
      <c r="E663" s="11"/>
      <c r="F663" s="11"/>
      <c r="G663" s="11"/>
      <c r="H663" s="11"/>
      <c r="I663" s="46"/>
      <c r="J663" s="11"/>
      <c r="K663" s="11"/>
      <c r="L663" s="11"/>
      <c r="M663" s="11"/>
      <c r="N663" s="46"/>
      <c r="O663" s="11"/>
      <c r="P663" s="11"/>
      <c r="Q663" s="11"/>
      <c r="R663" s="11"/>
      <c r="S663" s="11"/>
      <c r="T663" s="11"/>
      <c r="U663" s="11"/>
      <c r="V663" s="11"/>
      <c r="W663" s="11"/>
      <c r="X663" s="11"/>
      <c r="Y663" s="11"/>
      <c r="Z663" s="11"/>
    </row>
    <row r="664" spans="1:26" ht="14.25" customHeight="1">
      <c r="A664" s="11"/>
      <c r="B664" s="11"/>
      <c r="C664" s="11"/>
      <c r="D664" s="11"/>
      <c r="E664" s="11"/>
      <c r="F664" s="11"/>
      <c r="G664" s="11"/>
      <c r="H664" s="11"/>
      <c r="I664" s="46"/>
      <c r="J664" s="11"/>
      <c r="K664" s="11"/>
      <c r="L664" s="11"/>
      <c r="M664" s="11"/>
      <c r="N664" s="46"/>
      <c r="O664" s="11"/>
      <c r="P664" s="11"/>
      <c r="Q664" s="11"/>
      <c r="R664" s="11"/>
      <c r="S664" s="11"/>
      <c r="T664" s="11"/>
      <c r="U664" s="11"/>
      <c r="V664" s="11"/>
      <c r="W664" s="11"/>
      <c r="X664" s="11"/>
      <c r="Y664" s="11"/>
      <c r="Z664" s="11"/>
    </row>
    <row r="665" spans="1:26" ht="14.25" customHeight="1">
      <c r="A665" s="11"/>
      <c r="B665" s="11"/>
      <c r="C665" s="11"/>
      <c r="D665" s="11"/>
      <c r="E665" s="11"/>
      <c r="F665" s="11"/>
      <c r="G665" s="11"/>
      <c r="H665" s="11"/>
      <c r="I665" s="46"/>
      <c r="J665" s="11"/>
      <c r="K665" s="11"/>
      <c r="L665" s="11"/>
      <c r="M665" s="11"/>
      <c r="N665" s="46"/>
      <c r="O665" s="11"/>
      <c r="P665" s="11"/>
      <c r="Q665" s="11"/>
      <c r="R665" s="11"/>
      <c r="S665" s="11"/>
      <c r="T665" s="11"/>
      <c r="U665" s="11"/>
      <c r="V665" s="11"/>
      <c r="W665" s="11"/>
      <c r="X665" s="11"/>
      <c r="Y665" s="11"/>
      <c r="Z665" s="11"/>
    </row>
    <row r="666" spans="1:26" ht="14.25" customHeight="1">
      <c r="A666" s="11"/>
      <c r="B666" s="11"/>
      <c r="C666" s="11"/>
      <c r="D666" s="11"/>
      <c r="E666" s="11"/>
      <c r="F666" s="11"/>
      <c r="G666" s="11"/>
      <c r="H666" s="11"/>
      <c r="I666" s="46"/>
      <c r="J666" s="11"/>
      <c r="K666" s="11"/>
      <c r="L666" s="11"/>
      <c r="M666" s="11"/>
      <c r="N666" s="46"/>
      <c r="O666" s="11"/>
      <c r="P666" s="11"/>
      <c r="Q666" s="11"/>
      <c r="R666" s="11"/>
      <c r="S666" s="11"/>
      <c r="T666" s="11"/>
      <c r="U666" s="11"/>
      <c r="V666" s="11"/>
      <c r="W666" s="11"/>
      <c r="X666" s="11"/>
      <c r="Y666" s="11"/>
      <c r="Z666" s="11"/>
    </row>
    <row r="667" spans="1:26" ht="14.25" customHeight="1">
      <c r="A667" s="11"/>
      <c r="B667" s="11"/>
      <c r="C667" s="11"/>
      <c r="D667" s="11"/>
      <c r="E667" s="11"/>
      <c r="F667" s="11"/>
      <c r="G667" s="11"/>
      <c r="H667" s="11"/>
      <c r="I667" s="46"/>
      <c r="J667" s="11"/>
      <c r="K667" s="11"/>
      <c r="L667" s="11"/>
      <c r="M667" s="11"/>
      <c r="N667" s="46"/>
      <c r="O667" s="11"/>
      <c r="P667" s="11"/>
      <c r="Q667" s="11"/>
      <c r="R667" s="11"/>
      <c r="S667" s="11"/>
      <c r="T667" s="11"/>
      <c r="U667" s="11"/>
      <c r="V667" s="11"/>
      <c r="W667" s="11"/>
      <c r="X667" s="11"/>
      <c r="Y667" s="11"/>
      <c r="Z667" s="11"/>
    </row>
    <row r="668" spans="1:26" ht="14.25" customHeight="1">
      <c r="A668" s="11"/>
      <c r="B668" s="11"/>
      <c r="C668" s="11"/>
      <c r="D668" s="11"/>
      <c r="E668" s="11"/>
      <c r="F668" s="11"/>
      <c r="G668" s="11"/>
      <c r="H668" s="11"/>
      <c r="I668" s="46"/>
      <c r="J668" s="11"/>
      <c r="K668" s="11"/>
      <c r="L668" s="11"/>
      <c r="M668" s="11"/>
      <c r="N668" s="46"/>
      <c r="O668" s="11"/>
      <c r="P668" s="11"/>
      <c r="Q668" s="11"/>
      <c r="R668" s="11"/>
      <c r="S668" s="11"/>
      <c r="T668" s="11"/>
      <c r="U668" s="11"/>
      <c r="V668" s="11"/>
      <c r="W668" s="11"/>
      <c r="X668" s="11"/>
      <c r="Y668" s="11"/>
      <c r="Z668" s="11"/>
    </row>
    <row r="669" spans="1:26" ht="14.25" customHeight="1">
      <c r="A669" s="11"/>
      <c r="B669" s="11"/>
      <c r="C669" s="11"/>
      <c r="D669" s="11"/>
      <c r="E669" s="11"/>
      <c r="F669" s="11"/>
      <c r="G669" s="11"/>
      <c r="H669" s="11"/>
      <c r="I669" s="46"/>
      <c r="J669" s="11"/>
      <c r="K669" s="11"/>
      <c r="L669" s="11"/>
      <c r="M669" s="11"/>
      <c r="N669" s="46"/>
      <c r="O669" s="11"/>
      <c r="P669" s="11"/>
      <c r="Q669" s="11"/>
      <c r="R669" s="11"/>
      <c r="S669" s="11"/>
      <c r="T669" s="11"/>
      <c r="U669" s="11"/>
      <c r="V669" s="11"/>
      <c r="W669" s="11"/>
      <c r="X669" s="11"/>
      <c r="Y669" s="11"/>
      <c r="Z669" s="11"/>
    </row>
    <row r="670" spans="1:26" ht="14.25" customHeight="1">
      <c r="A670" s="11"/>
      <c r="B670" s="11"/>
      <c r="C670" s="11"/>
      <c r="D670" s="11"/>
      <c r="E670" s="11"/>
      <c r="F670" s="11"/>
      <c r="G670" s="11"/>
      <c r="H670" s="11"/>
      <c r="I670" s="46"/>
      <c r="J670" s="11"/>
      <c r="K670" s="11"/>
      <c r="L670" s="11"/>
      <c r="M670" s="11"/>
      <c r="N670" s="46"/>
      <c r="O670" s="11"/>
      <c r="P670" s="11"/>
      <c r="Q670" s="11"/>
      <c r="R670" s="11"/>
      <c r="S670" s="11"/>
      <c r="T670" s="11"/>
      <c r="U670" s="11"/>
      <c r="V670" s="11"/>
      <c r="W670" s="11"/>
      <c r="X670" s="11"/>
      <c r="Y670" s="11"/>
      <c r="Z670" s="11"/>
    </row>
    <row r="671" spans="1:26" ht="14.25" customHeight="1">
      <c r="A671" s="11"/>
      <c r="B671" s="11"/>
      <c r="C671" s="11"/>
      <c r="D671" s="11"/>
      <c r="E671" s="11"/>
      <c r="F671" s="11"/>
      <c r="G671" s="11"/>
      <c r="H671" s="11"/>
      <c r="I671" s="46"/>
      <c r="J671" s="11"/>
      <c r="K671" s="11"/>
      <c r="L671" s="11"/>
      <c r="M671" s="11"/>
      <c r="N671" s="46"/>
      <c r="O671" s="11"/>
      <c r="P671" s="11"/>
      <c r="Q671" s="11"/>
      <c r="R671" s="11"/>
      <c r="S671" s="11"/>
      <c r="T671" s="11"/>
      <c r="U671" s="11"/>
      <c r="V671" s="11"/>
      <c r="W671" s="11"/>
      <c r="X671" s="11"/>
      <c r="Y671" s="11"/>
      <c r="Z671" s="11"/>
    </row>
    <row r="672" spans="1:26" ht="14.25" customHeight="1">
      <c r="A672" s="11"/>
      <c r="B672" s="11"/>
      <c r="C672" s="11"/>
      <c r="D672" s="11"/>
      <c r="E672" s="11"/>
      <c r="F672" s="11"/>
      <c r="G672" s="11"/>
      <c r="H672" s="11"/>
      <c r="I672" s="46"/>
      <c r="J672" s="11"/>
      <c r="K672" s="11"/>
      <c r="L672" s="11"/>
      <c r="M672" s="11"/>
      <c r="N672" s="46"/>
      <c r="O672" s="11"/>
      <c r="P672" s="11"/>
      <c r="Q672" s="11"/>
      <c r="R672" s="11"/>
      <c r="S672" s="11"/>
      <c r="T672" s="11"/>
      <c r="U672" s="11"/>
      <c r="V672" s="11"/>
      <c r="W672" s="11"/>
      <c r="X672" s="11"/>
      <c r="Y672" s="11"/>
      <c r="Z672" s="11"/>
    </row>
    <row r="673" spans="1:26" ht="14.25" customHeight="1">
      <c r="A673" s="11"/>
      <c r="B673" s="11"/>
      <c r="C673" s="11"/>
      <c r="D673" s="11"/>
      <c r="E673" s="11"/>
      <c r="F673" s="11"/>
      <c r="G673" s="11"/>
      <c r="H673" s="11"/>
      <c r="I673" s="46"/>
      <c r="J673" s="11"/>
      <c r="K673" s="11"/>
      <c r="L673" s="11"/>
      <c r="M673" s="11"/>
      <c r="N673" s="46"/>
      <c r="O673" s="11"/>
      <c r="P673" s="11"/>
      <c r="Q673" s="11"/>
      <c r="R673" s="11"/>
      <c r="S673" s="11"/>
      <c r="T673" s="11"/>
      <c r="U673" s="11"/>
      <c r="V673" s="11"/>
      <c r="W673" s="11"/>
      <c r="X673" s="11"/>
      <c r="Y673" s="11"/>
      <c r="Z673" s="11"/>
    </row>
    <row r="674" spans="1:26" ht="14.25" customHeight="1">
      <c r="A674" s="11"/>
      <c r="B674" s="11"/>
      <c r="C674" s="11"/>
      <c r="D674" s="11"/>
      <c r="E674" s="11"/>
      <c r="F674" s="11"/>
      <c r="G674" s="11"/>
      <c r="H674" s="11"/>
      <c r="I674" s="46"/>
      <c r="J674" s="11"/>
      <c r="K674" s="11"/>
      <c r="L674" s="11"/>
      <c r="M674" s="11"/>
      <c r="N674" s="46"/>
      <c r="O674" s="11"/>
      <c r="P674" s="11"/>
      <c r="Q674" s="11"/>
      <c r="R674" s="11"/>
      <c r="S674" s="11"/>
      <c r="T674" s="11"/>
      <c r="U674" s="11"/>
      <c r="V674" s="11"/>
      <c r="W674" s="11"/>
      <c r="X674" s="11"/>
      <c r="Y674" s="11"/>
      <c r="Z674" s="11"/>
    </row>
    <row r="675" spans="1:26" ht="14.25" customHeight="1">
      <c r="A675" s="11"/>
      <c r="B675" s="11"/>
      <c r="C675" s="11"/>
      <c r="D675" s="11"/>
      <c r="E675" s="11"/>
      <c r="F675" s="11"/>
      <c r="G675" s="11"/>
      <c r="H675" s="11"/>
      <c r="I675" s="46"/>
      <c r="J675" s="11"/>
      <c r="K675" s="11"/>
      <c r="L675" s="11"/>
      <c r="M675" s="11"/>
      <c r="N675" s="46"/>
      <c r="O675" s="11"/>
      <c r="P675" s="11"/>
      <c r="Q675" s="11"/>
      <c r="R675" s="11"/>
      <c r="S675" s="11"/>
      <c r="T675" s="11"/>
      <c r="U675" s="11"/>
      <c r="V675" s="11"/>
      <c r="W675" s="11"/>
      <c r="X675" s="11"/>
      <c r="Y675" s="11"/>
      <c r="Z675" s="11"/>
    </row>
    <row r="676" spans="1:26" ht="14.25" customHeight="1">
      <c r="A676" s="11"/>
      <c r="B676" s="11"/>
      <c r="C676" s="11"/>
      <c r="D676" s="11"/>
      <c r="E676" s="11"/>
      <c r="F676" s="11"/>
      <c r="G676" s="11"/>
      <c r="H676" s="11"/>
      <c r="I676" s="46"/>
      <c r="J676" s="11"/>
      <c r="K676" s="11"/>
      <c r="L676" s="11"/>
      <c r="M676" s="11"/>
      <c r="N676" s="46"/>
      <c r="O676" s="11"/>
      <c r="P676" s="11"/>
      <c r="Q676" s="11"/>
      <c r="R676" s="11"/>
      <c r="S676" s="11"/>
      <c r="T676" s="11"/>
      <c r="U676" s="11"/>
      <c r="V676" s="11"/>
      <c r="W676" s="11"/>
      <c r="X676" s="11"/>
      <c r="Y676" s="11"/>
      <c r="Z676" s="11"/>
    </row>
    <row r="677" spans="1:26" ht="14.25" customHeight="1">
      <c r="A677" s="11"/>
      <c r="B677" s="11"/>
      <c r="C677" s="11"/>
      <c r="D677" s="11"/>
      <c r="E677" s="11"/>
      <c r="F677" s="11"/>
      <c r="G677" s="11"/>
      <c r="H677" s="11"/>
      <c r="I677" s="46"/>
      <c r="J677" s="11"/>
      <c r="K677" s="11"/>
      <c r="L677" s="11"/>
      <c r="M677" s="11"/>
      <c r="N677" s="46"/>
      <c r="O677" s="11"/>
      <c r="P677" s="11"/>
      <c r="Q677" s="11"/>
      <c r="R677" s="11"/>
      <c r="S677" s="11"/>
      <c r="T677" s="11"/>
      <c r="U677" s="11"/>
      <c r="V677" s="11"/>
      <c r="W677" s="11"/>
      <c r="X677" s="11"/>
      <c r="Y677" s="11"/>
      <c r="Z677" s="11"/>
    </row>
    <row r="678" spans="1:26" ht="14.25" customHeight="1">
      <c r="A678" s="11"/>
      <c r="B678" s="11"/>
      <c r="C678" s="11"/>
      <c r="D678" s="11"/>
      <c r="E678" s="11"/>
      <c r="F678" s="11"/>
      <c r="G678" s="11"/>
      <c r="H678" s="11"/>
      <c r="I678" s="46"/>
      <c r="J678" s="11"/>
      <c r="K678" s="11"/>
      <c r="L678" s="11"/>
      <c r="M678" s="11"/>
      <c r="N678" s="46"/>
      <c r="O678" s="11"/>
      <c r="P678" s="11"/>
      <c r="Q678" s="11"/>
      <c r="R678" s="11"/>
      <c r="S678" s="11"/>
      <c r="T678" s="11"/>
      <c r="U678" s="11"/>
      <c r="V678" s="11"/>
      <c r="W678" s="11"/>
      <c r="X678" s="11"/>
      <c r="Y678" s="11"/>
      <c r="Z678" s="11"/>
    </row>
    <row r="679" spans="1:26" ht="14.25" customHeight="1">
      <c r="A679" s="11"/>
      <c r="B679" s="11"/>
      <c r="C679" s="11"/>
      <c r="D679" s="11"/>
      <c r="E679" s="11"/>
      <c r="F679" s="11"/>
      <c r="G679" s="11"/>
      <c r="H679" s="11"/>
      <c r="I679" s="46"/>
      <c r="J679" s="11"/>
      <c r="K679" s="11"/>
      <c r="L679" s="11"/>
      <c r="M679" s="11"/>
      <c r="N679" s="46"/>
      <c r="O679" s="11"/>
      <c r="P679" s="11"/>
      <c r="Q679" s="11"/>
      <c r="R679" s="11"/>
      <c r="S679" s="11"/>
      <c r="T679" s="11"/>
      <c r="U679" s="11"/>
      <c r="V679" s="11"/>
      <c r="W679" s="11"/>
      <c r="X679" s="11"/>
      <c r="Y679" s="11"/>
      <c r="Z679" s="11"/>
    </row>
    <row r="680" spans="1:26" ht="14.25" customHeight="1">
      <c r="A680" s="11"/>
      <c r="B680" s="11"/>
      <c r="C680" s="11"/>
      <c r="D680" s="11"/>
      <c r="E680" s="11"/>
      <c r="F680" s="11"/>
      <c r="G680" s="11"/>
      <c r="H680" s="11"/>
      <c r="I680" s="46"/>
      <c r="J680" s="11"/>
      <c r="K680" s="11"/>
      <c r="L680" s="11"/>
      <c r="M680" s="11"/>
      <c r="N680" s="46"/>
      <c r="O680" s="11"/>
      <c r="P680" s="11"/>
      <c r="Q680" s="11"/>
      <c r="R680" s="11"/>
      <c r="S680" s="11"/>
      <c r="T680" s="11"/>
      <c r="U680" s="11"/>
      <c r="V680" s="11"/>
      <c r="W680" s="11"/>
      <c r="X680" s="11"/>
      <c r="Y680" s="11"/>
      <c r="Z680" s="11"/>
    </row>
    <row r="681" spans="1:26" ht="14.25" customHeight="1">
      <c r="A681" s="11"/>
      <c r="B681" s="11"/>
      <c r="C681" s="11"/>
      <c r="D681" s="11"/>
      <c r="E681" s="11"/>
      <c r="F681" s="11"/>
      <c r="G681" s="11"/>
      <c r="H681" s="11"/>
      <c r="I681" s="46"/>
      <c r="J681" s="11"/>
      <c r="K681" s="11"/>
      <c r="L681" s="11"/>
      <c r="M681" s="11"/>
      <c r="N681" s="46"/>
      <c r="O681" s="11"/>
      <c r="P681" s="11"/>
      <c r="Q681" s="11"/>
      <c r="R681" s="11"/>
      <c r="S681" s="11"/>
      <c r="T681" s="11"/>
      <c r="U681" s="11"/>
      <c r="V681" s="11"/>
      <c r="W681" s="11"/>
      <c r="X681" s="11"/>
      <c r="Y681" s="11"/>
      <c r="Z681" s="11"/>
    </row>
    <row r="682" spans="1:26" ht="14.25" customHeight="1">
      <c r="A682" s="11"/>
      <c r="B682" s="11"/>
      <c r="C682" s="11"/>
      <c r="D682" s="11"/>
      <c r="E682" s="11"/>
      <c r="F682" s="11"/>
      <c r="G682" s="11"/>
      <c r="H682" s="11"/>
      <c r="I682" s="46"/>
      <c r="J682" s="11"/>
      <c r="K682" s="11"/>
      <c r="L682" s="11"/>
      <c r="M682" s="11"/>
      <c r="N682" s="46"/>
      <c r="O682" s="11"/>
      <c r="P682" s="11"/>
      <c r="Q682" s="11"/>
      <c r="R682" s="11"/>
      <c r="S682" s="11"/>
      <c r="T682" s="11"/>
      <c r="U682" s="11"/>
      <c r="V682" s="11"/>
      <c r="W682" s="11"/>
      <c r="X682" s="11"/>
      <c r="Y682" s="11"/>
      <c r="Z682" s="11"/>
    </row>
    <row r="683" spans="1:26" ht="14.25" customHeight="1">
      <c r="A683" s="11"/>
      <c r="B683" s="11"/>
      <c r="C683" s="11"/>
      <c r="D683" s="11"/>
      <c r="E683" s="11"/>
      <c r="F683" s="11"/>
      <c r="G683" s="11"/>
      <c r="H683" s="11"/>
      <c r="I683" s="46"/>
      <c r="J683" s="11"/>
      <c r="K683" s="11"/>
      <c r="L683" s="11"/>
      <c r="M683" s="11"/>
      <c r="N683" s="46"/>
      <c r="O683" s="11"/>
      <c r="P683" s="11"/>
      <c r="Q683" s="11"/>
      <c r="R683" s="11"/>
      <c r="S683" s="11"/>
      <c r="T683" s="11"/>
      <c r="U683" s="11"/>
      <c r="V683" s="11"/>
      <c r="W683" s="11"/>
      <c r="X683" s="11"/>
      <c r="Y683" s="11"/>
      <c r="Z683" s="11"/>
    </row>
    <row r="684" spans="1:26" ht="14.25" customHeight="1">
      <c r="A684" s="11"/>
      <c r="B684" s="11"/>
      <c r="C684" s="11"/>
      <c r="D684" s="11"/>
      <c r="E684" s="11"/>
      <c r="F684" s="11"/>
      <c r="G684" s="11"/>
      <c r="H684" s="11"/>
      <c r="I684" s="46"/>
      <c r="J684" s="11"/>
      <c r="K684" s="11"/>
      <c r="L684" s="11"/>
      <c r="M684" s="11"/>
      <c r="N684" s="46"/>
      <c r="O684" s="11"/>
      <c r="P684" s="11"/>
      <c r="Q684" s="11"/>
      <c r="R684" s="11"/>
      <c r="S684" s="11"/>
      <c r="T684" s="11"/>
      <c r="U684" s="11"/>
      <c r="V684" s="11"/>
      <c r="W684" s="11"/>
      <c r="X684" s="11"/>
      <c r="Y684" s="11"/>
      <c r="Z684" s="11"/>
    </row>
    <row r="685" spans="1:26" ht="14.25" customHeight="1">
      <c r="A685" s="11"/>
      <c r="B685" s="11"/>
      <c r="C685" s="11"/>
      <c r="D685" s="11"/>
      <c r="E685" s="11"/>
      <c r="F685" s="11"/>
      <c r="G685" s="11"/>
      <c r="H685" s="11"/>
      <c r="I685" s="46"/>
      <c r="J685" s="11"/>
      <c r="K685" s="11"/>
      <c r="L685" s="11"/>
      <c r="M685" s="11"/>
      <c r="N685" s="46"/>
      <c r="O685" s="11"/>
      <c r="P685" s="11"/>
      <c r="Q685" s="11"/>
      <c r="R685" s="11"/>
      <c r="S685" s="11"/>
      <c r="T685" s="11"/>
      <c r="U685" s="11"/>
      <c r="V685" s="11"/>
      <c r="W685" s="11"/>
      <c r="X685" s="11"/>
      <c r="Y685" s="11"/>
      <c r="Z685" s="11"/>
    </row>
    <row r="686" spans="1:26" ht="14.25" customHeight="1">
      <c r="A686" s="11"/>
      <c r="B686" s="11"/>
      <c r="C686" s="11"/>
      <c r="D686" s="11"/>
      <c r="E686" s="11"/>
      <c r="F686" s="11"/>
      <c r="G686" s="11"/>
      <c r="H686" s="11"/>
      <c r="I686" s="46"/>
      <c r="J686" s="11"/>
      <c r="K686" s="11"/>
      <c r="L686" s="11"/>
      <c r="M686" s="11"/>
      <c r="N686" s="46"/>
      <c r="O686" s="11"/>
      <c r="P686" s="11"/>
      <c r="Q686" s="11"/>
      <c r="R686" s="11"/>
      <c r="S686" s="11"/>
      <c r="T686" s="11"/>
      <c r="U686" s="11"/>
      <c r="V686" s="11"/>
      <c r="W686" s="11"/>
      <c r="X686" s="11"/>
      <c r="Y686" s="11"/>
      <c r="Z686" s="11"/>
    </row>
    <row r="687" spans="1:26" ht="14.25" customHeight="1">
      <c r="A687" s="11"/>
      <c r="B687" s="11"/>
      <c r="C687" s="11"/>
      <c r="D687" s="11"/>
      <c r="E687" s="11"/>
      <c r="F687" s="11"/>
      <c r="G687" s="11"/>
      <c r="H687" s="11"/>
      <c r="I687" s="46"/>
      <c r="J687" s="11"/>
      <c r="K687" s="11"/>
      <c r="L687" s="11"/>
      <c r="M687" s="11"/>
      <c r="N687" s="46"/>
      <c r="O687" s="11"/>
      <c r="P687" s="11"/>
      <c r="Q687" s="11"/>
      <c r="R687" s="11"/>
      <c r="S687" s="11"/>
      <c r="T687" s="11"/>
      <c r="U687" s="11"/>
      <c r="V687" s="11"/>
      <c r="W687" s="11"/>
      <c r="X687" s="11"/>
      <c r="Y687" s="11"/>
      <c r="Z687" s="11"/>
    </row>
    <row r="688" spans="1:26" ht="14.25" customHeight="1">
      <c r="A688" s="11"/>
      <c r="B688" s="11"/>
      <c r="C688" s="11"/>
      <c r="D688" s="11"/>
      <c r="E688" s="11"/>
      <c r="F688" s="11"/>
      <c r="G688" s="11"/>
      <c r="H688" s="11"/>
      <c r="I688" s="46"/>
      <c r="J688" s="11"/>
      <c r="K688" s="11"/>
      <c r="L688" s="11"/>
      <c r="M688" s="11"/>
      <c r="N688" s="46"/>
      <c r="O688" s="11"/>
      <c r="P688" s="11"/>
      <c r="Q688" s="11"/>
      <c r="R688" s="11"/>
      <c r="S688" s="11"/>
      <c r="T688" s="11"/>
      <c r="U688" s="11"/>
      <c r="V688" s="11"/>
      <c r="W688" s="11"/>
      <c r="X688" s="11"/>
      <c r="Y688" s="11"/>
      <c r="Z688" s="11"/>
    </row>
    <row r="689" spans="1:26" ht="14.25" customHeight="1">
      <c r="A689" s="11"/>
      <c r="B689" s="11"/>
      <c r="C689" s="11"/>
      <c r="D689" s="11"/>
      <c r="E689" s="11"/>
      <c r="F689" s="11"/>
      <c r="G689" s="11"/>
      <c r="H689" s="11"/>
      <c r="I689" s="46"/>
      <c r="J689" s="11"/>
      <c r="K689" s="11"/>
      <c r="L689" s="11"/>
      <c r="M689" s="11"/>
      <c r="N689" s="46"/>
      <c r="O689" s="11"/>
      <c r="P689" s="11"/>
      <c r="Q689" s="11"/>
      <c r="R689" s="11"/>
      <c r="S689" s="11"/>
      <c r="T689" s="11"/>
      <c r="U689" s="11"/>
      <c r="V689" s="11"/>
      <c r="W689" s="11"/>
      <c r="X689" s="11"/>
      <c r="Y689" s="11"/>
      <c r="Z689" s="11"/>
    </row>
    <row r="690" spans="1:26" ht="14.25" customHeight="1">
      <c r="A690" s="11"/>
      <c r="B690" s="11"/>
      <c r="C690" s="11"/>
      <c r="D690" s="11"/>
      <c r="E690" s="11"/>
      <c r="F690" s="11"/>
      <c r="G690" s="11"/>
      <c r="H690" s="11"/>
      <c r="I690" s="46"/>
      <c r="J690" s="11"/>
      <c r="K690" s="11"/>
      <c r="L690" s="11"/>
      <c r="M690" s="11"/>
      <c r="N690" s="46"/>
      <c r="O690" s="11"/>
      <c r="P690" s="11"/>
      <c r="Q690" s="11"/>
      <c r="R690" s="11"/>
      <c r="S690" s="11"/>
      <c r="T690" s="11"/>
      <c r="U690" s="11"/>
      <c r="V690" s="11"/>
      <c r="W690" s="11"/>
      <c r="X690" s="11"/>
      <c r="Y690" s="11"/>
      <c r="Z690" s="11"/>
    </row>
    <row r="691" spans="1:26" ht="14.25" customHeight="1">
      <c r="A691" s="11"/>
      <c r="B691" s="11"/>
      <c r="C691" s="11"/>
      <c r="D691" s="11"/>
      <c r="E691" s="11"/>
      <c r="F691" s="11"/>
      <c r="G691" s="11"/>
      <c r="H691" s="11"/>
      <c r="I691" s="46"/>
      <c r="J691" s="11"/>
      <c r="K691" s="11"/>
      <c r="L691" s="11"/>
      <c r="M691" s="11"/>
      <c r="N691" s="46"/>
      <c r="O691" s="11"/>
      <c r="P691" s="11"/>
      <c r="Q691" s="11"/>
      <c r="R691" s="11"/>
      <c r="S691" s="11"/>
      <c r="T691" s="11"/>
      <c r="U691" s="11"/>
      <c r="V691" s="11"/>
      <c r="W691" s="11"/>
      <c r="X691" s="11"/>
      <c r="Y691" s="11"/>
      <c r="Z691" s="11"/>
    </row>
    <row r="692" spans="1:26" ht="14.25" customHeight="1">
      <c r="A692" s="11"/>
      <c r="B692" s="11"/>
      <c r="C692" s="11"/>
      <c r="D692" s="11"/>
      <c r="E692" s="11"/>
      <c r="F692" s="11"/>
      <c r="G692" s="11"/>
      <c r="H692" s="11"/>
      <c r="I692" s="46"/>
      <c r="J692" s="11"/>
      <c r="K692" s="11"/>
      <c r="L692" s="11"/>
      <c r="M692" s="11"/>
      <c r="N692" s="46"/>
      <c r="O692" s="11"/>
      <c r="P692" s="11"/>
      <c r="Q692" s="11"/>
      <c r="R692" s="11"/>
      <c r="S692" s="11"/>
      <c r="T692" s="11"/>
      <c r="U692" s="11"/>
      <c r="V692" s="11"/>
      <c r="W692" s="11"/>
      <c r="X692" s="11"/>
      <c r="Y692" s="11"/>
      <c r="Z692" s="11"/>
    </row>
    <row r="693" spans="1:26" ht="14.25" customHeight="1">
      <c r="A693" s="11"/>
      <c r="B693" s="11"/>
      <c r="C693" s="11"/>
      <c r="D693" s="11"/>
      <c r="E693" s="11"/>
      <c r="F693" s="11"/>
      <c r="G693" s="11"/>
      <c r="H693" s="11"/>
      <c r="I693" s="46"/>
      <c r="J693" s="11"/>
      <c r="K693" s="11"/>
      <c r="L693" s="11"/>
      <c r="M693" s="11"/>
      <c r="N693" s="46"/>
      <c r="O693" s="11"/>
      <c r="P693" s="11"/>
      <c r="Q693" s="11"/>
      <c r="R693" s="11"/>
      <c r="S693" s="11"/>
      <c r="T693" s="11"/>
      <c r="U693" s="11"/>
      <c r="V693" s="11"/>
      <c r="W693" s="11"/>
      <c r="X693" s="11"/>
      <c r="Y693" s="11"/>
      <c r="Z693" s="11"/>
    </row>
    <row r="694" spans="1:26" ht="14.25" customHeight="1">
      <c r="A694" s="11"/>
      <c r="B694" s="11"/>
      <c r="C694" s="11"/>
      <c r="D694" s="11"/>
      <c r="E694" s="11"/>
      <c r="F694" s="11"/>
      <c r="G694" s="11"/>
      <c r="H694" s="11"/>
      <c r="I694" s="46"/>
      <c r="J694" s="11"/>
      <c r="K694" s="11"/>
      <c r="L694" s="11"/>
      <c r="M694" s="11"/>
      <c r="N694" s="46"/>
      <c r="O694" s="11"/>
      <c r="P694" s="11"/>
      <c r="Q694" s="11"/>
      <c r="R694" s="11"/>
      <c r="S694" s="11"/>
      <c r="T694" s="11"/>
      <c r="U694" s="11"/>
      <c r="V694" s="11"/>
      <c r="W694" s="11"/>
      <c r="X694" s="11"/>
      <c r="Y694" s="11"/>
      <c r="Z694" s="11"/>
    </row>
    <row r="695" spans="1:26" ht="14.25" customHeight="1">
      <c r="A695" s="11"/>
      <c r="B695" s="11"/>
      <c r="C695" s="11"/>
      <c r="D695" s="11"/>
      <c r="E695" s="11"/>
      <c r="F695" s="11"/>
      <c r="G695" s="11"/>
      <c r="H695" s="11"/>
      <c r="I695" s="46"/>
      <c r="J695" s="11"/>
      <c r="K695" s="11"/>
      <c r="L695" s="11"/>
      <c r="M695" s="11"/>
      <c r="N695" s="46"/>
      <c r="O695" s="11"/>
      <c r="P695" s="11"/>
      <c r="Q695" s="11"/>
      <c r="R695" s="11"/>
      <c r="S695" s="11"/>
      <c r="T695" s="11"/>
      <c r="U695" s="11"/>
      <c r="V695" s="11"/>
      <c r="W695" s="11"/>
      <c r="X695" s="11"/>
      <c r="Y695" s="11"/>
      <c r="Z695" s="11"/>
    </row>
    <row r="696" spans="1:26" ht="14.25" customHeight="1">
      <c r="A696" s="11"/>
      <c r="B696" s="11"/>
      <c r="C696" s="11"/>
      <c r="D696" s="11"/>
      <c r="E696" s="11"/>
      <c r="F696" s="11"/>
      <c r="G696" s="11"/>
      <c r="H696" s="11"/>
      <c r="I696" s="46"/>
      <c r="J696" s="11"/>
      <c r="K696" s="11"/>
      <c r="L696" s="11"/>
      <c r="M696" s="11"/>
      <c r="N696" s="46"/>
      <c r="O696" s="11"/>
      <c r="P696" s="11"/>
      <c r="Q696" s="11"/>
      <c r="R696" s="11"/>
      <c r="S696" s="11"/>
      <c r="T696" s="11"/>
      <c r="U696" s="11"/>
      <c r="V696" s="11"/>
      <c r="W696" s="11"/>
      <c r="X696" s="11"/>
      <c r="Y696" s="11"/>
      <c r="Z696" s="11"/>
    </row>
    <row r="697" spans="1:26" ht="14.25" customHeight="1">
      <c r="A697" s="11"/>
      <c r="B697" s="11"/>
      <c r="C697" s="11"/>
      <c r="D697" s="11"/>
      <c r="E697" s="11"/>
      <c r="F697" s="11"/>
      <c r="G697" s="11"/>
      <c r="H697" s="11"/>
      <c r="I697" s="46"/>
      <c r="J697" s="11"/>
      <c r="K697" s="11"/>
      <c r="L697" s="11"/>
      <c r="M697" s="11"/>
      <c r="N697" s="46"/>
      <c r="O697" s="11"/>
      <c r="P697" s="11"/>
      <c r="Q697" s="11"/>
      <c r="R697" s="11"/>
      <c r="S697" s="11"/>
      <c r="T697" s="11"/>
      <c r="U697" s="11"/>
      <c r="V697" s="11"/>
      <c r="W697" s="11"/>
      <c r="X697" s="11"/>
      <c r="Y697" s="11"/>
      <c r="Z697" s="11"/>
    </row>
    <row r="698" spans="1:26" ht="14.25" customHeight="1">
      <c r="A698" s="11"/>
      <c r="B698" s="11"/>
      <c r="C698" s="11"/>
      <c r="D698" s="11"/>
      <c r="E698" s="11"/>
      <c r="F698" s="11"/>
      <c r="G698" s="11"/>
      <c r="H698" s="11"/>
      <c r="I698" s="46"/>
      <c r="J698" s="11"/>
      <c r="K698" s="11"/>
      <c r="L698" s="11"/>
      <c r="M698" s="11"/>
      <c r="N698" s="46"/>
      <c r="O698" s="11"/>
      <c r="P698" s="11"/>
      <c r="Q698" s="11"/>
      <c r="R698" s="11"/>
      <c r="S698" s="11"/>
      <c r="T698" s="11"/>
      <c r="U698" s="11"/>
      <c r="V698" s="11"/>
      <c r="W698" s="11"/>
      <c r="X698" s="11"/>
      <c r="Y698" s="11"/>
      <c r="Z698" s="11"/>
    </row>
    <row r="699" spans="1:26" ht="14.25" customHeight="1">
      <c r="A699" s="11"/>
      <c r="B699" s="11"/>
      <c r="C699" s="11"/>
      <c r="D699" s="11"/>
      <c r="E699" s="11"/>
      <c r="F699" s="11"/>
      <c r="G699" s="11"/>
      <c r="H699" s="11"/>
      <c r="I699" s="46"/>
      <c r="J699" s="11"/>
      <c r="K699" s="11"/>
      <c r="L699" s="11"/>
      <c r="M699" s="11"/>
      <c r="N699" s="46"/>
      <c r="O699" s="11"/>
      <c r="P699" s="11"/>
      <c r="Q699" s="11"/>
      <c r="R699" s="11"/>
      <c r="S699" s="11"/>
      <c r="T699" s="11"/>
      <c r="U699" s="11"/>
      <c r="V699" s="11"/>
      <c r="W699" s="11"/>
      <c r="X699" s="11"/>
      <c r="Y699" s="11"/>
      <c r="Z699" s="11"/>
    </row>
    <row r="700" spans="1:26" ht="14.25" customHeight="1">
      <c r="A700" s="11"/>
      <c r="B700" s="11"/>
      <c r="C700" s="11"/>
      <c r="D700" s="11"/>
      <c r="E700" s="11"/>
      <c r="F700" s="11"/>
      <c r="G700" s="11"/>
      <c r="H700" s="11"/>
      <c r="I700" s="46"/>
      <c r="J700" s="11"/>
      <c r="K700" s="11"/>
      <c r="L700" s="11"/>
      <c r="M700" s="11"/>
      <c r="N700" s="46"/>
      <c r="O700" s="11"/>
      <c r="P700" s="11"/>
      <c r="Q700" s="11"/>
      <c r="R700" s="11"/>
      <c r="S700" s="11"/>
      <c r="T700" s="11"/>
      <c r="U700" s="11"/>
      <c r="V700" s="11"/>
      <c r="W700" s="11"/>
      <c r="X700" s="11"/>
      <c r="Y700" s="11"/>
      <c r="Z700" s="11"/>
    </row>
    <row r="701" spans="1:26" ht="14.25" customHeight="1">
      <c r="A701" s="11"/>
      <c r="B701" s="11"/>
      <c r="C701" s="11"/>
      <c r="D701" s="11"/>
      <c r="E701" s="11"/>
      <c r="F701" s="11"/>
      <c r="G701" s="11"/>
      <c r="H701" s="11"/>
      <c r="I701" s="46"/>
      <c r="J701" s="11"/>
      <c r="K701" s="11"/>
      <c r="L701" s="11"/>
      <c r="M701" s="11"/>
      <c r="N701" s="46"/>
      <c r="O701" s="11"/>
      <c r="P701" s="11"/>
      <c r="Q701" s="11"/>
      <c r="R701" s="11"/>
      <c r="S701" s="11"/>
      <c r="T701" s="11"/>
      <c r="U701" s="11"/>
      <c r="V701" s="11"/>
      <c r="W701" s="11"/>
      <c r="X701" s="11"/>
      <c r="Y701" s="11"/>
      <c r="Z701" s="11"/>
    </row>
    <row r="702" spans="1:26" ht="14.25" customHeight="1">
      <c r="A702" s="11"/>
      <c r="B702" s="11"/>
      <c r="C702" s="11"/>
      <c r="D702" s="11"/>
      <c r="E702" s="11"/>
      <c r="F702" s="11"/>
      <c r="G702" s="11"/>
      <c r="H702" s="11"/>
      <c r="I702" s="46"/>
      <c r="J702" s="11"/>
      <c r="K702" s="11"/>
      <c r="L702" s="11"/>
      <c r="M702" s="11"/>
      <c r="N702" s="46"/>
      <c r="O702" s="11"/>
      <c r="P702" s="11"/>
      <c r="Q702" s="11"/>
      <c r="R702" s="11"/>
      <c r="S702" s="11"/>
      <c r="T702" s="11"/>
      <c r="U702" s="11"/>
      <c r="V702" s="11"/>
      <c r="W702" s="11"/>
      <c r="X702" s="11"/>
      <c r="Y702" s="11"/>
      <c r="Z702" s="11"/>
    </row>
    <row r="703" spans="1:26" ht="14.25" customHeight="1">
      <c r="A703" s="11"/>
      <c r="B703" s="11"/>
      <c r="C703" s="11"/>
      <c r="D703" s="11"/>
      <c r="E703" s="11"/>
      <c r="F703" s="11"/>
      <c r="G703" s="11"/>
      <c r="H703" s="11"/>
      <c r="I703" s="46"/>
      <c r="J703" s="11"/>
      <c r="K703" s="11"/>
      <c r="L703" s="11"/>
      <c r="M703" s="11"/>
      <c r="N703" s="46"/>
      <c r="O703" s="11"/>
      <c r="P703" s="11"/>
      <c r="Q703" s="11"/>
      <c r="R703" s="11"/>
      <c r="S703" s="11"/>
      <c r="T703" s="11"/>
      <c r="U703" s="11"/>
      <c r="V703" s="11"/>
      <c r="W703" s="11"/>
      <c r="X703" s="11"/>
      <c r="Y703" s="11"/>
      <c r="Z703" s="11"/>
    </row>
    <row r="704" spans="1:26" ht="14.25" customHeight="1">
      <c r="A704" s="11"/>
      <c r="B704" s="11"/>
      <c r="C704" s="11"/>
      <c r="D704" s="11"/>
      <c r="E704" s="11"/>
      <c r="F704" s="11"/>
      <c r="G704" s="11"/>
      <c r="H704" s="11"/>
      <c r="I704" s="46"/>
      <c r="J704" s="11"/>
      <c r="K704" s="11"/>
      <c r="L704" s="11"/>
      <c r="M704" s="11"/>
      <c r="N704" s="46"/>
      <c r="O704" s="11"/>
      <c r="P704" s="11"/>
      <c r="Q704" s="11"/>
      <c r="R704" s="11"/>
      <c r="S704" s="11"/>
      <c r="T704" s="11"/>
      <c r="U704" s="11"/>
      <c r="V704" s="11"/>
      <c r="W704" s="11"/>
      <c r="X704" s="11"/>
      <c r="Y704" s="11"/>
      <c r="Z704" s="11"/>
    </row>
    <row r="705" spans="1:26" ht="14.25" customHeight="1">
      <c r="A705" s="11"/>
      <c r="B705" s="11"/>
      <c r="C705" s="11"/>
      <c r="D705" s="11"/>
      <c r="E705" s="11"/>
      <c r="F705" s="11"/>
      <c r="G705" s="11"/>
      <c r="H705" s="11"/>
      <c r="I705" s="46"/>
      <c r="J705" s="11"/>
      <c r="K705" s="11"/>
      <c r="L705" s="11"/>
      <c r="M705" s="11"/>
      <c r="N705" s="46"/>
      <c r="O705" s="11"/>
      <c r="P705" s="11"/>
      <c r="Q705" s="11"/>
      <c r="R705" s="11"/>
      <c r="S705" s="11"/>
      <c r="T705" s="11"/>
      <c r="U705" s="11"/>
      <c r="V705" s="11"/>
      <c r="W705" s="11"/>
      <c r="X705" s="11"/>
      <c r="Y705" s="11"/>
      <c r="Z705" s="11"/>
    </row>
    <row r="706" spans="1:26" ht="14.25" customHeight="1">
      <c r="A706" s="11"/>
      <c r="B706" s="11"/>
      <c r="C706" s="11"/>
      <c r="D706" s="11"/>
      <c r="E706" s="11"/>
      <c r="F706" s="11"/>
      <c r="G706" s="11"/>
      <c r="H706" s="11"/>
      <c r="I706" s="46"/>
      <c r="J706" s="11"/>
      <c r="K706" s="11"/>
      <c r="L706" s="11"/>
      <c r="M706" s="11"/>
      <c r="N706" s="46"/>
      <c r="O706" s="11"/>
      <c r="P706" s="11"/>
      <c r="Q706" s="11"/>
      <c r="R706" s="11"/>
      <c r="S706" s="11"/>
      <c r="T706" s="11"/>
      <c r="U706" s="11"/>
      <c r="V706" s="11"/>
      <c r="W706" s="11"/>
      <c r="X706" s="11"/>
      <c r="Y706" s="11"/>
      <c r="Z706" s="11"/>
    </row>
    <row r="707" spans="1:26" ht="14.25" customHeight="1">
      <c r="A707" s="11"/>
      <c r="B707" s="11"/>
      <c r="C707" s="11"/>
      <c r="D707" s="11"/>
      <c r="E707" s="11"/>
      <c r="F707" s="11"/>
      <c r="G707" s="11"/>
      <c r="H707" s="11"/>
      <c r="I707" s="46"/>
      <c r="J707" s="11"/>
      <c r="K707" s="11"/>
      <c r="L707" s="11"/>
      <c r="M707" s="11"/>
      <c r="N707" s="46"/>
      <c r="O707" s="11"/>
      <c r="P707" s="11"/>
      <c r="Q707" s="11"/>
      <c r="R707" s="11"/>
      <c r="S707" s="11"/>
      <c r="T707" s="11"/>
      <c r="U707" s="11"/>
      <c r="V707" s="11"/>
      <c r="W707" s="11"/>
      <c r="X707" s="11"/>
      <c r="Y707" s="11"/>
      <c r="Z707" s="11"/>
    </row>
    <row r="708" spans="1:26" ht="14.25" customHeight="1">
      <c r="A708" s="11"/>
      <c r="B708" s="11"/>
      <c r="C708" s="11"/>
      <c r="D708" s="11"/>
      <c r="E708" s="11"/>
      <c r="F708" s="11"/>
      <c r="G708" s="11"/>
      <c r="H708" s="11"/>
      <c r="I708" s="46"/>
      <c r="J708" s="11"/>
      <c r="K708" s="11"/>
      <c r="L708" s="11"/>
      <c r="M708" s="11"/>
      <c r="N708" s="46"/>
      <c r="O708" s="11"/>
      <c r="P708" s="11"/>
      <c r="Q708" s="11"/>
      <c r="R708" s="11"/>
      <c r="S708" s="11"/>
      <c r="T708" s="11"/>
      <c r="U708" s="11"/>
      <c r="V708" s="11"/>
      <c r="W708" s="11"/>
      <c r="X708" s="11"/>
      <c r="Y708" s="11"/>
      <c r="Z708" s="11"/>
    </row>
    <row r="709" spans="1:26" ht="14.25" customHeight="1">
      <c r="A709" s="11"/>
      <c r="B709" s="11"/>
      <c r="C709" s="11"/>
      <c r="D709" s="11"/>
      <c r="E709" s="11"/>
      <c r="F709" s="11"/>
      <c r="G709" s="11"/>
      <c r="H709" s="11"/>
      <c r="I709" s="46"/>
      <c r="J709" s="11"/>
      <c r="K709" s="11"/>
      <c r="L709" s="11"/>
      <c r="M709" s="11"/>
      <c r="N709" s="46"/>
      <c r="O709" s="11"/>
      <c r="P709" s="11"/>
      <c r="Q709" s="11"/>
      <c r="R709" s="11"/>
      <c r="S709" s="11"/>
      <c r="T709" s="11"/>
      <c r="U709" s="11"/>
      <c r="V709" s="11"/>
      <c r="W709" s="11"/>
      <c r="X709" s="11"/>
      <c r="Y709" s="11"/>
      <c r="Z709" s="11"/>
    </row>
    <row r="710" spans="1:26" ht="14.25" customHeight="1">
      <c r="A710" s="11"/>
      <c r="B710" s="11"/>
      <c r="C710" s="11"/>
      <c r="D710" s="11"/>
      <c r="E710" s="11"/>
      <c r="F710" s="11"/>
      <c r="G710" s="11"/>
      <c r="H710" s="11"/>
      <c r="I710" s="46"/>
      <c r="J710" s="11"/>
      <c r="K710" s="11"/>
      <c r="L710" s="11"/>
      <c r="M710" s="11"/>
      <c r="N710" s="46"/>
      <c r="O710" s="11"/>
      <c r="P710" s="11"/>
      <c r="Q710" s="11"/>
      <c r="R710" s="11"/>
      <c r="S710" s="11"/>
      <c r="T710" s="11"/>
      <c r="U710" s="11"/>
      <c r="V710" s="11"/>
      <c r="W710" s="11"/>
      <c r="X710" s="11"/>
      <c r="Y710" s="11"/>
      <c r="Z710" s="11"/>
    </row>
    <row r="711" spans="1:26" ht="14.25" customHeight="1">
      <c r="A711" s="11"/>
      <c r="B711" s="11"/>
      <c r="C711" s="11"/>
      <c r="D711" s="11"/>
      <c r="E711" s="11"/>
      <c r="F711" s="11"/>
      <c r="G711" s="11"/>
      <c r="H711" s="11"/>
      <c r="I711" s="46"/>
      <c r="J711" s="11"/>
      <c r="K711" s="11"/>
      <c r="L711" s="11"/>
      <c r="M711" s="11"/>
      <c r="N711" s="46"/>
      <c r="O711" s="11"/>
      <c r="P711" s="11"/>
      <c r="Q711" s="11"/>
      <c r="R711" s="11"/>
      <c r="S711" s="11"/>
      <c r="T711" s="11"/>
      <c r="U711" s="11"/>
      <c r="V711" s="11"/>
      <c r="W711" s="11"/>
      <c r="X711" s="11"/>
      <c r="Y711" s="11"/>
      <c r="Z711" s="11"/>
    </row>
    <row r="712" spans="1:26" ht="14.25" customHeight="1">
      <c r="A712" s="11"/>
      <c r="B712" s="11"/>
      <c r="C712" s="11"/>
      <c r="D712" s="11"/>
      <c r="E712" s="11"/>
      <c r="F712" s="11"/>
      <c r="G712" s="11"/>
      <c r="H712" s="11"/>
      <c r="I712" s="46"/>
      <c r="J712" s="11"/>
      <c r="K712" s="11"/>
      <c r="L712" s="11"/>
      <c r="M712" s="11"/>
      <c r="N712" s="46"/>
      <c r="O712" s="11"/>
      <c r="P712" s="11"/>
      <c r="Q712" s="11"/>
      <c r="R712" s="11"/>
      <c r="S712" s="11"/>
      <c r="T712" s="11"/>
      <c r="U712" s="11"/>
      <c r="V712" s="11"/>
      <c r="W712" s="11"/>
      <c r="X712" s="11"/>
      <c r="Y712" s="11"/>
      <c r="Z712" s="11"/>
    </row>
    <row r="713" spans="1:26" ht="14.25" customHeight="1">
      <c r="A713" s="11"/>
      <c r="B713" s="11"/>
      <c r="C713" s="11"/>
      <c r="D713" s="11"/>
      <c r="E713" s="11"/>
      <c r="F713" s="11"/>
      <c r="G713" s="11"/>
      <c r="H713" s="11"/>
      <c r="I713" s="46"/>
      <c r="J713" s="11"/>
      <c r="K713" s="11"/>
      <c r="L713" s="11"/>
      <c r="M713" s="11"/>
      <c r="N713" s="46"/>
      <c r="O713" s="11"/>
      <c r="P713" s="11"/>
      <c r="Q713" s="11"/>
      <c r="R713" s="11"/>
      <c r="S713" s="11"/>
      <c r="T713" s="11"/>
      <c r="U713" s="11"/>
      <c r="V713" s="11"/>
      <c r="W713" s="11"/>
      <c r="X713" s="11"/>
      <c r="Y713" s="11"/>
      <c r="Z713" s="11"/>
    </row>
    <row r="714" spans="1:26" ht="14.25" customHeight="1">
      <c r="A714" s="11"/>
      <c r="B714" s="11"/>
      <c r="C714" s="11"/>
      <c r="D714" s="11"/>
      <c r="E714" s="11"/>
      <c r="F714" s="11"/>
      <c r="G714" s="11"/>
      <c r="H714" s="11"/>
      <c r="I714" s="46"/>
      <c r="J714" s="11"/>
      <c r="K714" s="11"/>
      <c r="L714" s="11"/>
      <c r="M714" s="11"/>
      <c r="N714" s="46"/>
      <c r="O714" s="11"/>
      <c r="P714" s="11"/>
      <c r="Q714" s="11"/>
      <c r="R714" s="11"/>
      <c r="S714" s="11"/>
      <c r="T714" s="11"/>
      <c r="U714" s="11"/>
      <c r="V714" s="11"/>
      <c r="W714" s="11"/>
      <c r="X714" s="11"/>
      <c r="Y714" s="11"/>
      <c r="Z714" s="11"/>
    </row>
    <row r="715" spans="1:26" ht="14.25" customHeight="1">
      <c r="A715" s="11"/>
      <c r="B715" s="11"/>
      <c r="C715" s="11"/>
      <c r="D715" s="11"/>
      <c r="E715" s="11"/>
      <c r="F715" s="11"/>
      <c r="G715" s="11"/>
      <c r="H715" s="11"/>
      <c r="I715" s="46"/>
      <c r="J715" s="11"/>
      <c r="K715" s="11"/>
      <c r="L715" s="11"/>
      <c r="M715" s="11"/>
      <c r="N715" s="46"/>
      <c r="O715" s="11"/>
      <c r="P715" s="11"/>
      <c r="Q715" s="11"/>
      <c r="R715" s="11"/>
      <c r="S715" s="11"/>
      <c r="T715" s="11"/>
      <c r="U715" s="11"/>
      <c r="V715" s="11"/>
      <c r="W715" s="11"/>
      <c r="X715" s="11"/>
      <c r="Y715" s="11"/>
      <c r="Z715" s="11"/>
    </row>
    <row r="716" spans="1:26" ht="14.25" customHeight="1">
      <c r="A716" s="11"/>
      <c r="B716" s="11"/>
      <c r="C716" s="11"/>
      <c r="D716" s="11"/>
      <c r="E716" s="11"/>
      <c r="F716" s="11"/>
      <c r="G716" s="11"/>
      <c r="H716" s="11"/>
      <c r="I716" s="46"/>
      <c r="J716" s="11"/>
      <c r="K716" s="11"/>
      <c r="L716" s="11"/>
      <c r="M716" s="11"/>
      <c r="N716" s="46"/>
      <c r="O716" s="11"/>
      <c r="P716" s="11"/>
      <c r="Q716" s="11"/>
      <c r="R716" s="11"/>
      <c r="S716" s="11"/>
      <c r="T716" s="11"/>
      <c r="U716" s="11"/>
      <c r="V716" s="11"/>
      <c r="W716" s="11"/>
      <c r="X716" s="11"/>
      <c r="Y716" s="11"/>
      <c r="Z716" s="11"/>
    </row>
    <row r="717" spans="1:26" ht="14.25" customHeight="1">
      <c r="A717" s="11"/>
      <c r="B717" s="11"/>
      <c r="C717" s="11"/>
      <c r="D717" s="11"/>
      <c r="E717" s="11"/>
      <c r="F717" s="11"/>
      <c r="G717" s="11"/>
      <c r="H717" s="11"/>
      <c r="I717" s="46"/>
      <c r="J717" s="11"/>
      <c r="K717" s="11"/>
      <c r="L717" s="11"/>
      <c r="M717" s="11"/>
      <c r="N717" s="46"/>
      <c r="O717" s="11"/>
      <c r="P717" s="11"/>
      <c r="Q717" s="11"/>
      <c r="R717" s="11"/>
      <c r="S717" s="11"/>
      <c r="T717" s="11"/>
      <c r="U717" s="11"/>
      <c r="V717" s="11"/>
      <c r="W717" s="11"/>
      <c r="X717" s="11"/>
      <c r="Y717" s="11"/>
      <c r="Z717" s="11"/>
    </row>
    <row r="718" spans="1:26" ht="14.25" customHeight="1">
      <c r="A718" s="11"/>
      <c r="B718" s="11"/>
      <c r="C718" s="11"/>
      <c r="D718" s="11"/>
      <c r="E718" s="11"/>
      <c r="F718" s="11"/>
      <c r="G718" s="11"/>
      <c r="H718" s="11"/>
      <c r="I718" s="46"/>
      <c r="J718" s="11"/>
      <c r="K718" s="11"/>
      <c r="L718" s="11"/>
      <c r="M718" s="11"/>
      <c r="N718" s="46"/>
      <c r="O718" s="11"/>
      <c r="P718" s="11"/>
      <c r="Q718" s="11"/>
      <c r="R718" s="11"/>
      <c r="S718" s="11"/>
      <c r="T718" s="11"/>
      <c r="U718" s="11"/>
      <c r="V718" s="11"/>
      <c r="W718" s="11"/>
      <c r="X718" s="11"/>
      <c r="Y718" s="11"/>
      <c r="Z718" s="11"/>
    </row>
    <row r="719" spans="1:26" ht="14.25" customHeight="1">
      <c r="A719" s="11"/>
      <c r="B719" s="11"/>
      <c r="C719" s="11"/>
      <c r="D719" s="11"/>
      <c r="E719" s="11"/>
      <c r="F719" s="11"/>
      <c r="G719" s="11"/>
      <c r="H719" s="11"/>
      <c r="I719" s="46"/>
      <c r="J719" s="11"/>
      <c r="K719" s="11"/>
      <c r="L719" s="11"/>
      <c r="M719" s="11"/>
      <c r="N719" s="46"/>
      <c r="O719" s="11"/>
      <c r="P719" s="11"/>
      <c r="Q719" s="11"/>
      <c r="R719" s="11"/>
      <c r="S719" s="11"/>
      <c r="T719" s="11"/>
      <c r="U719" s="11"/>
      <c r="V719" s="11"/>
      <c r="W719" s="11"/>
      <c r="X719" s="11"/>
      <c r="Y719" s="11"/>
      <c r="Z719" s="11"/>
    </row>
    <row r="720" spans="1:26" ht="14.25" customHeight="1">
      <c r="A720" s="11"/>
      <c r="B720" s="11"/>
      <c r="C720" s="11"/>
      <c r="D720" s="11"/>
      <c r="E720" s="11"/>
      <c r="F720" s="11"/>
      <c r="G720" s="11"/>
      <c r="H720" s="11"/>
      <c r="I720" s="46"/>
      <c r="J720" s="11"/>
      <c r="K720" s="11"/>
      <c r="L720" s="11"/>
      <c r="M720" s="11"/>
      <c r="N720" s="46"/>
      <c r="O720" s="11"/>
      <c r="P720" s="11"/>
      <c r="Q720" s="11"/>
      <c r="R720" s="11"/>
      <c r="S720" s="11"/>
      <c r="T720" s="11"/>
      <c r="U720" s="11"/>
      <c r="V720" s="11"/>
      <c r="W720" s="11"/>
      <c r="X720" s="11"/>
      <c r="Y720" s="11"/>
      <c r="Z720" s="11"/>
    </row>
    <row r="721" spans="1:26" ht="14.25" customHeight="1">
      <c r="A721" s="11"/>
      <c r="B721" s="11"/>
      <c r="C721" s="11"/>
      <c r="D721" s="11"/>
      <c r="E721" s="11"/>
      <c r="F721" s="11"/>
      <c r="G721" s="11"/>
      <c r="H721" s="11"/>
      <c r="I721" s="46"/>
      <c r="J721" s="11"/>
      <c r="K721" s="11"/>
      <c r="L721" s="11"/>
      <c r="M721" s="11"/>
      <c r="N721" s="46"/>
      <c r="O721" s="11"/>
      <c r="P721" s="11"/>
      <c r="Q721" s="11"/>
      <c r="R721" s="11"/>
      <c r="S721" s="11"/>
      <c r="T721" s="11"/>
      <c r="U721" s="11"/>
      <c r="V721" s="11"/>
      <c r="W721" s="11"/>
      <c r="X721" s="11"/>
      <c r="Y721" s="11"/>
      <c r="Z721" s="11"/>
    </row>
    <row r="722" spans="1:26" ht="14.25" customHeight="1">
      <c r="A722" s="11"/>
      <c r="B722" s="11"/>
      <c r="C722" s="11"/>
      <c r="D722" s="11"/>
      <c r="E722" s="11"/>
      <c r="F722" s="11"/>
      <c r="G722" s="11"/>
      <c r="H722" s="11"/>
      <c r="I722" s="46"/>
      <c r="J722" s="11"/>
      <c r="K722" s="11"/>
      <c r="L722" s="11"/>
      <c r="M722" s="11"/>
      <c r="N722" s="46"/>
      <c r="O722" s="11"/>
      <c r="P722" s="11"/>
      <c r="Q722" s="11"/>
      <c r="R722" s="11"/>
      <c r="S722" s="11"/>
      <c r="T722" s="11"/>
      <c r="U722" s="11"/>
      <c r="V722" s="11"/>
      <c r="W722" s="11"/>
      <c r="X722" s="11"/>
      <c r="Y722" s="11"/>
      <c r="Z722" s="11"/>
    </row>
    <row r="723" spans="1:26" ht="14.25" customHeight="1">
      <c r="A723" s="11"/>
      <c r="B723" s="11"/>
      <c r="C723" s="11"/>
      <c r="D723" s="11"/>
      <c r="E723" s="11"/>
      <c r="F723" s="11"/>
      <c r="G723" s="11"/>
      <c r="H723" s="11"/>
      <c r="I723" s="46"/>
      <c r="J723" s="11"/>
      <c r="K723" s="11"/>
      <c r="L723" s="11"/>
      <c r="M723" s="11"/>
      <c r="N723" s="46"/>
      <c r="O723" s="11"/>
      <c r="P723" s="11"/>
      <c r="Q723" s="11"/>
      <c r="R723" s="11"/>
      <c r="S723" s="11"/>
      <c r="T723" s="11"/>
      <c r="U723" s="11"/>
      <c r="V723" s="11"/>
      <c r="W723" s="11"/>
      <c r="X723" s="11"/>
      <c r="Y723" s="11"/>
      <c r="Z723" s="11"/>
    </row>
    <row r="724" spans="1:26" ht="14.25" customHeight="1">
      <c r="A724" s="11"/>
      <c r="B724" s="11"/>
      <c r="C724" s="11"/>
      <c r="D724" s="11"/>
      <c r="E724" s="11"/>
      <c r="F724" s="11"/>
      <c r="G724" s="11"/>
      <c r="H724" s="11"/>
      <c r="I724" s="46"/>
      <c r="J724" s="11"/>
      <c r="K724" s="11"/>
      <c r="L724" s="11"/>
      <c r="M724" s="11"/>
      <c r="N724" s="46"/>
      <c r="O724" s="11"/>
      <c r="P724" s="11"/>
      <c r="Q724" s="11"/>
      <c r="R724" s="11"/>
      <c r="S724" s="11"/>
      <c r="T724" s="11"/>
      <c r="U724" s="11"/>
      <c r="V724" s="11"/>
      <c r="W724" s="11"/>
      <c r="X724" s="11"/>
      <c r="Y724" s="11"/>
      <c r="Z724" s="11"/>
    </row>
    <row r="725" spans="1:26" ht="14.25" customHeight="1">
      <c r="A725" s="11"/>
      <c r="B725" s="11"/>
      <c r="C725" s="11"/>
      <c r="D725" s="11"/>
      <c r="E725" s="11"/>
      <c r="F725" s="11"/>
      <c r="G725" s="11"/>
      <c r="H725" s="11"/>
      <c r="I725" s="46"/>
      <c r="J725" s="11"/>
      <c r="K725" s="11"/>
      <c r="L725" s="11"/>
      <c r="M725" s="11"/>
      <c r="N725" s="46"/>
      <c r="O725" s="11"/>
      <c r="P725" s="11"/>
      <c r="Q725" s="11"/>
      <c r="R725" s="11"/>
      <c r="S725" s="11"/>
      <c r="T725" s="11"/>
      <c r="U725" s="11"/>
      <c r="V725" s="11"/>
      <c r="W725" s="11"/>
      <c r="X725" s="11"/>
      <c r="Y725" s="11"/>
      <c r="Z725" s="11"/>
    </row>
    <row r="726" spans="1:26" ht="14.25" customHeight="1">
      <c r="A726" s="11"/>
      <c r="B726" s="11"/>
      <c r="C726" s="11"/>
      <c r="D726" s="11"/>
      <c r="E726" s="11"/>
      <c r="F726" s="11"/>
      <c r="G726" s="11"/>
      <c r="H726" s="11"/>
      <c r="I726" s="46"/>
      <c r="J726" s="11"/>
      <c r="K726" s="11"/>
      <c r="L726" s="11"/>
      <c r="M726" s="11"/>
      <c r="N726" s="46"/>
      <c r="O726" s="11"/>
      <c r="P726" s="11"/>
      <c r="Q726" s="11"/>
      <c r="R726" s="11"/>
      <c r="S726" s="11"/>
      <c r="T726" s="11"/>
      <c r="U726" s="11"/>
      <c r="V726" s="11"/>
      <c r="W726" s="11"/>
      <c r="X726" s="11"/>
      <c r="Y726" s="11"/>
      <c r="Z726" s="11"/>
    </row>
    <row r="727" spans="1:26" ht="14.25" customHeight="1">
      <c r="A727" s="11"/>
      <c r="B727" s="11"/>
      <c r="C727" s="11"/>
      <c r="D727" s="11"/>
      <c r="E727" s="11"/>
      <c r="F727" s="11"/>
      <c r="G727" s="11"/>
      <c r="H727" s="11"/>
      <c r="I727" s="46"/>
      <c r="J727" s="11"/>
      <c r="K727" s="11"/>
      <c r="L727" s="11"/>
      <c r="M727" s="11"/>
      <c r="N727" s="46"/>
      <c r="O727" s="11"/>
      <c r="P727" s="11"/>
      <c r="Q727" s="11"/>
      <c r="R727" s="11"/>
      <c r="S727" s="11"/>
      <c r="T727" s="11"/>
      <c r="U727" s="11"/>
      <c r="V727" s="11"/>
      <c r="W727" s="11"/>
      <c r="X727" s="11"/>
      <c r="Y727" s="11"/>
      <c r="Z727" s="11"/>
    </row>
    <row r="728" spans="1:26" ht="14.25" customHeight="1">
      <c r="A728" s="11"/>
      <c r="B728" s="11"/>
      <c r="C728" s="11"/>
      <c r="D728" s="11"/>
      <c r="E728" s="11"/>
      <c r="F728" s="11"/>
      <c r="G728" s="11"/>
      <c r="H728" s="11"/>
      <c r="I728" s="46"/>
      <c r="J728" s="11"/>
      <c r="K728" s="11"/>
      <c r="L728" s="11"/>
      <c r="M728" s="11"/>
      <c r="N728" s="46"/>
      <c r="O728" s="11"/>
      <c r="P728" s="11"/>
      <c r="Q728" s="11"/>
      <c r="R728" s="11"/>
      <c r="S728" s="11"/>
      <c r="T728" s="11"/>
      <c r="U728" s="11"/>
      <c r="V728" s="11"/>
      <c r="W728" s="11"/>
      <c r="X728" s="11"/>
      <c r="Y728" s="11"/>
      <c r="Z728" s="11"/>
    </row>
    <row r="729" spans="1:26" ht="14.25" customHeight="1">
      <c r="A729" s="11"/>
      <c r="B729" s="11"/>
      <c r="C729" s="11"/>
      <c r="D729" s="11"/>
      <c r="E729" s="11"/>
      <c r="F729" s="11"/>
      <c r="G729" s="11"/>
      <c r="H729" s="11"/>
      <c r="I729" s="46"/>
      <c r="J729" s="11"/>
      <c r="K729" s="11"/>
      <c r="L729" s="11"/>
      <c r="M729" s="11"/>
      <c r="N729" s="46"/>
      <c r="O729" s="11"/>
      <c r="P729" s="11"/>
      <c r="Q729" s="11"/>
      <c r="R729" s="11"/>
      <c r="S729" s="11"/>
      <c r="T729" s="11"/>
      <c r="U729" s="11"/>
      <c r="V729" s="11"/>
      <c r="W729" s="11"/>
      <c r="X729" s="11"/>
      <c r="Y729" s="11"/>
      <c r="Z729" s="11"/>
    </row>
    <row r="730" spans="1:26" ht="14.25" customHeight="1">
      <c r="A730" s="11"/>
      <c r="B730" s="11"/>
      <c r="C730" s="11"/>
      <c r="D730" s="11"/>
      <c r="E730" s="11"/>
      <c r="F730" s="11"/>
      <c r="G730" s="11"/>
      <c r="H730" s="11"/>
      <c r="I730" s="46"/>
      <c r="J730" s="11"/>
      <c r="K730" s="11"/>
      <c r="L730" s="11"/>
      <c r="M730" s="11"/>
      <c r="N730" s="46"/>
      <c r="O730" s="11"/>
      <c r="P730" s="11"/>
      <c r="Q730" s="11"/>
      <c r="R730" s="11"/>
      <c r="S730" s="11"/>
      <c r="T730" s="11"/>
      <c r="U730" s="11"/>
      <c r="V730" s="11"/>
      <c r="W730" s="11"/>
      <c r="X730" s="11"/>
      <c r="Y730" s="11"/>
      <c r="Z730" s="11"/>
    </row>
    <row r="731" spans="1:26" ht="14.25" customHeight="1">
      <c r="A731" s="11"/>
      <c r="B731" s="11"/>
      <c r="C731" s="11"/>
      <c r="D731" s="11"/>
      <c r="E731" s="11"/>
      <c r="F731" s="11"/>
      <c r="G731" s="11"/>
      <c r="H731" s="11"/>
      <c r="I731" s="46"/>
      <c r="J731" s="11"/>
      <c r="K731" s="11"/>
      <c r="L731" s="11"/>
      <c r="M731" s="11"/>
      <c r="N731" s="46"/>
      <c r="O731" s="11"/>
      <c r="P731" s="11"/>
      <c r="Q731" s="11"/>
      <c r="R731" s="11"/>
      <c r="S731" s="11"/>
      <c r="T731" s="11"/>
      <c r="U731" s="11"/>
      <c r="V731" s="11"/>
      <c r="W731" s="11"/>
      <c r="X731" s="11"/>
      <c r="Y731" s="11"/>
      <c r="Z731" s="11"/>
    </row>
    <row r="732" spans="1:26" ht="14.25" customHeight="1">
      <c r="A732" s="11"/>
      <c r="B732" s="11"/>
      <c r="C732" s="11"/>
      <c r="D732" s="11"/>
      <c r="E732" s="11"/>
      <c r="F732" s="11"/>
      <c r="G732" s="11"/>
      <c r="H732" s="11"/>
      <c r="I732" s="46"/>
      <c r="J732" s="11"/>
      <c r="K732" s="11"/>
      <c r="L732" s="11"/>
      <c r="M732" s="11"/>
      <c r="N732" s="46"/>
      <c r="O732" s="11"/>
      <c r="P732" s="11"/>
      <c r="Q732" s="11"/>
      <c r="R732" s="11"/>
      <c r="S732" s="11"/>
      <c r="T732" s="11"/>
      <c r="U732" s="11"/>
      <c r="V732" s="11"/>
      <c r="W732" s="11"/>
      <c r="X732" s="11"/>
      <c r="Y732" s="11"/>
      <c r="Z732" s="11"/>
    </row>
    <row r="733" spans="1:26" ht="14.25" customHeight="1">
      <c r="A733" s="11"/>
      <c r="B733" s="11"/>
      <c r="C733" s="11"/>
      <c r="D733" s="11"/>
      <c r="E733" s="11"/>
      <c r="F733" s="11"/>
      <c r="G733" s="11"/>
      <c r="H733" s="11"/>
      <c r="I733" s="46"/>
      <c r="J733" s="11"/>
      <c r="K733" s="11"/>
      <c r="L733" s="11"/>
      <c r="M733" s="11"/>
      <c r="N733" s="46"/>
      <c r="O733" s="11"/>
      <c r="P733" s="11"/>
      <c r="Q733" s="11"/>
      <c r="R733" s="11"/>
      <c r="S733" s="11"/>
      <c r="T733" s="11"/>
      <c r="U733" s="11"/>
      <c r="V733" s="11"/>
      <c r="W733" s="11"/>
      <c r="X733" s="11"/>
      <c r="Y733" s="11"/>
      <c r="Z733" s="11"/>
    </row>
    <row r="734" spans="1:26" ht="14.25" customHeight="1">
      <c r="A734" s="11"/>
      <c r="B734" s="11"/>
      <c r="C734" s="11"/>
      <c r="D734" s="11"/>
      <c r="E734" s="11"/>
      <c r="F734" s="11"/>
      <c r="G734" s="11"/>
      <c r="H734" s="11"/>
      <c r="I734" s="46"/>
      <c r="J734" s="11"/>
      <c r="K734" s="11"/>
      <c r="L734" s="11"/>
      <c r="M734" s="11"/>
      <c r="N734" s="46"/>
      <c r="O734" s="11"/>
      <c r="P734" s="11"/>
      <c r="Q734" s="11"/>
      <c r="R734" s="11"/>
      <c r="S734" s="11"/>
      <c r="T734" s="11"/>
      <c r="U734" s="11"/>
      <c r="V734" s="11"/>
      <c r="W734" s="11"/>
      <c r="X734" s="11"/>
      <c r="Y734" s="11"/>
      <c r="Z734" s="11"/>
    </row>
    <row r="735" spans="1:26" ht="14.25" customHeight="1">
      <c r="A735" s="11"/>
      <c r="B735" s="11"/>
      <c r="C735" s="11"/>
      <c r="D735" s="11"/>
      <c r="E735" s="11"/>
      <c r="F735" s="11"/>
      <c r="G735" s="11"/>
      <c r="H735" s="11"/>
      <c r="I735" s="46"/>
      <c r="J735" s="11"/>
      <c r="K735" s="11"/>
      <c r="L735" s="11"/>
      <c r="M735" s="11"/>
      <c r="N735" s="46"/>
      <c r="O735" s="11"/>
      <c r="P735" s="11"/>
      <c r="Q735" s="11"/>
      <c r="R735" s="11"/>
      <c r="S735" s="11"/>
      <c r="T735" s="11"/>
      <c r="U735" s="11"/>
      <c r="V735" s="11"/>
      <c r="W735" s="11"/>
      <c r="X735" s="11"/>
      <c r="Y735" s="11"/>
      <c r="Z735" s="11"/>
    </row>
    <row r="736" spans="1:26" ht="14.25" customHeight="1">
      <c r="A736" s="11"/>
      <c r="B736" s="11"/>
      <c r="C736" s="11"/>
      <c r="D736" s="11"/>
      <c r="E736" s="11"/>
      <c r="F736" s="11"/>
      <c r="G736" s="11"/>
      <c r="H736" s="11"/>
      <c r="I736" s="46"/>
      <c r="J736" s="11"/>
      <c r="K736" s="11"/>
      <c r="L736" s="11"/>
      <c r="M736" s="11"/>
      <c r="N736" s="46"/>
      <c r="O736" s="11"/>
      <c r="P736" s="11"/>
      <c r="Q736" s="11"/>
      <c r="R736" s="11"/>
      <c r="S736" s="11"/>
      <c r="T736" s="11"/>
      <c r="U736" s="11"/>
      <c r="V736" s="11"/>
      <c r="W736" s="11"/>
      <c r="X736" s="11"/>
      <c r="Y736" s="11"/>
      <c r="Z736" s="11"/>
    </row>
    <row r="737" spans="1:26" ht="14.25" customHeight="1">
      <c r="A737" s="11"/>
      <c r="B737" s="11"/>
      <c r="C737" s="11"/>
      <c r="D737" s="11"/>
      <c r="E737" s="11"/>
      <c r="F737" s="11"/>
      <c r="G737" s="11"/>
      <c r="H737" s="11"/>
      <c r="I737" s="46"/>
      <c r="J737" s="11"/>
      <c r="K737" s="11"/>
      <c r="L737" s="11"/>
      <c r="M737" s="11"/>
      <c r="N737" s="46"/>
      <c r="O737" s="11"/>
      <c r="P737" s="11"/>
      <c r="Q737" s="11"/>
      <c r="R737" s="11"/>
      <c r="S737" s="11"/>
      <c r="T737" s="11"/>
      <c r="U737" s="11"/>
      <c r="V737" s="11"/>
      <c r="W737" s="11"/>
      <c r="X737" s="11"/>
      <c r="Y737" s="11"/>
      <c r="Z737" s="11"/>
    </row>
    <row r="738" spans="1:26" ht="14.25" customHeight="1">
      <c r="A738" s="11"/>
      <c r="B738" s="11"/>
      <c r="C738" s="11"/>
      <c r="D738" s="11"/>
      <c r="E738" s="11"/>
      <c r="F738" s="11"/>
      <c r="G738" s="11"/>
      <c r="H738" s="11"/>
      <c r="I738" s="46"/>
      <c r="J738" s="11"/>
      <c r="K738" s="11"/>
      <c r="L738" s="11"/>
      <c r="M738" s="11"/>
      <c r="N738" s="46"/>
      <c r="O738" s="11"/>
      <c r="P738" s="11"/>
      <c r="Q738" s="11"/>
      <c r="R738" s="11"/>
      <c r="S738" s="11"/>
      <c r="T738" s="11"/>
      <c r="U738" s="11"/>
      <c r="V738" s="11"/>
      <c r="W738" s="11"/>
      <c r="X738" s="11"/>
      <c r="Y738" s="11"/>
      <c r="Z738" s="11"/>
    </row>
    <row r="739" spans="1:26" ht="14.25" customHeight="1">
      <c r="A739" s="11"/>
      <c r="B739" s="11"/>
      <c r="C739" s="11"/>
      <c r="D739" s="11"/>
      <c r="E739" s="11"/>
      <c r="F739" s="11"/>
      <c r="G739" s="11"/>
      <c r="H739" s="11"/>
      <c r="I739" s="46"/>
      <c r="J739" s="11"/>
      <c r="K739" s="11"/>
      <c r="L739" s="11"/>
      <c r="M739" s="11"/>
      <c r="N739" s="46"/>
      <c r="O739" s="11"/>
      <c r="P739" s="11"/>
      <c r="Q739" s="11"/>
      <c r="R739" s="11"/>
      <c r="S739" s="11"/>
      <c r="T739" s="11"/>
      <c r="U739" s="11"/>
      <c r="V739" s="11"/>
      <c r="W739" s="11"/>
      <c r="X739" s="11"/>
      <c r="Y739" s="11"/>
      <c r="Z739" s="11"/>
    </row>
    <row r="740" spans="1:26" ht="14.25" customHeight="1">
      <c r="A740" s="11"/>
      <c r="B740" s="11"/>
      <c r="C740" s="11"/>
      <c r="D740" s="11"/>
      <c r="E740" s="11"/>
      <c r="F740" s="11"/>
      <c r="G740" s="11"/>
      <c r="H740" s="11"/>
      <c r="I740" s="46"/>
      <c r="J740" s="11"/>
      <c r="K740" s="11"/>
      <c r="L740" s="11"/>
      <c r="M740" s="11"/>
      <c r="N740" s="46"/>
      <c r="O740" s="11"/>
      <c r="P740" s="11"/>
      <c r="Q740" s="11"/>
      <c r="R740" s="11"/>
      <c r="S740" s="11"/>
      <c r="T740" s="11"/>
      <c r="U740" s="11"/>
      <c r="V740" s="11"/>
      <c r="W740" s="11"/>
      <c r="X740" s="11"/>
      <c r="Y740" s="11"/>
      <c r="Z740" s="11"/>
    </row>
    <row r="741" spans="1:26" ht="14.25" customHeight="1">
      <c r="A741" s="11"/>
      <c r="B741" s="11"/>
      <c r="C741" s="11"/>
      <c r="D741" s="11"/>
      <c r="E741" s="11"/>
      <c r="F741" s="11"/>
      <c r="G741" s="11"/>
      <c r="H741" s="11"/>
      <c r="I741" s="46"/>
      <c r="J741" s="11"/>
      <c r="K741" s="11"/>
      <c r="L741" s="11"/>
      <c r="M741" s="11"/>
      <c r="N741" s="46"/>
      <c r="O741" s="11"/>
      <c r="P741" s="11"/>
      <c r="Q741" s="11"/>
      <c r="R741" s="11"/>
      <c r="S741" s="11"/>
      <c r="T741" s="11"/>
      <c r="U741" s="11"/>
      <c r="V741" s="11"/>
      <c r="W741" s="11"/>
      <c r="X741" s="11"/>
      <c r="Y741" s="11"/>
      <c r="Z741" s="11"/>
    </row>
    <row r="742" spans="1:26" ht="14.25" customHeight="1">
      <c r="A742" s="11"/>
      <c r="B742" s="11"/>
      <c r="C742" s="11"/>
      <c r="D742" s="11"/>
      <c r="E742" s="11"/>
      <c r="F742" s="11"/>
      <c r="G742" s="11"/>
      <c r="H742" s="11"/>
      <c r="I742" s="46"/>
      <c r="J742" s="11"/>
      <c r="K742" s="11"/>
      <c r="L742" s="11"/>
      <c r="M742" s="11"/>
      <c r="N742" s="46"/>
      <c r="O742" s="11"/>
      <c r="P742" s="11"/>
      <c r="Q742" s="11"/>
      <c r="R742" s="11"/>
      <c r="S742" s="11"/>
      <c r="T742" s="11"/>
      <c r="U742" s="11"/>
      <c r="V742" s="11"/>
      <c r="W742" s="11"/>
      <c r="X742" s="11"/>
      <c r="Y742" s="11"/>
      <c r="Z742" s="11"/>
    </row>
    <row r="743" spans="1:26" ht="14.25" customHeight="1">
      <c r="A743" s="11"/>
      <c r="B743" s="11"/>
      <c r="C743" s="11"/>
      <c r="D743" s="11"/>
      <c r="E743" s="11"/>
      <c r="F743" s="11"/>
      <c r="G743" s="11"/>
      <c r="H743" s="11"/>
      <c r="I743" s="46"/>
      <c r="J743" s="11"/>
      <c r="K743" s="11"/>
      <c r="L743" s="11"/>
      <c r="M743" s="11"/>
      <c r="N743" s="46"/>
      <c r="O743" s="11"/>
      <c r="P743" s="11"/>
      <c r="Q743" s="11"/>
      <c r="R743" s="11"/>
      <c r="S743" s="11"/>
      <c r="T743" s="11"/>
      <c r="U743" s="11"/>
      <c r="V743" s="11"/>
      <c r="W743" s="11"/>
      <c r="X743" s="11"/>
      <c r="Y743" s="11"/>
      <c r="Z743" s="11"/>
    </row>
    <row r="744" spans="1:26" ht="14.25" customHeight="1">
      <c r="A744" s="11"/>
      <c r="B744" s="11"/>
      <c r="C744" s="11"/>
      <c r="D744" s="11"/>
      <c r="E744" s="11"/>
      <c r="F744" s="11"/>
      <c r="G744" s="11"/>
      <c r="H744" s="11"/>
      <c r="I744" s="46"/>
      <c r="J744" s="11"/>
      <c r="K744" s="11"/>
      <c r="L744" s="11"/>
      <c r="M744" s="11"/>
      <c r="N744" s="46"/>
      <c r="O744" s="11"/>
      <c r="P744" s="11"/>
      <c r="Q744" s="11"/>
      <c r="R744" s="11"/>
      <c r="S744" s="11"/>
      <c r="T744" s="11"/>
      <c r="U744" s="11"/>
      <c r="V744" s="11"/>
      <c r="W744" s="11"/>
      <c r="X744" s="11"/>
      <c r="Y744" s="11"/>
      <c r="Z744" s="11"/>
    </row>
    <row r="745" spans="1:26" ht="14.25" customHeight="1">
      <c r="A745" s="11"/>
      <c r="B745" s="11"/>
      <c r="C745" s="11"/>
      <c r="D745" s="11"/>
      <c r="E745" s="11"/>
      <c r="F745" s="11"/>
      <c r="G745" s="11"/>
      <c r="H745" s="11"/>
      <c r="I745" s="46"/>
      <c r="J745" s="11"/>
      <c r="K745" s="11"/>
      <c r="L745" s="11"/>
      <c r="M745" s="11"/>
      <c r="N745" s="46"/>
      <c r="O745" s="11"/>
      <c r="P745" s="11"/>
      <c r="Q745" s="11"/>
      <c r="R745" s="11"/>
      <c r="S745" s="11"/>
      <c r="T745" s="11"/>
      <c r="U745" s="11"/>
      <c r="V745" s="11"/>
      <c r="W745" s="11"/>
      <c r="X745" s="11"/>
      <c r="Y745" s="11"/>
      <c r="Z745" s="11"/>
    </row>
    <row r="746" spans="1:26" ht="14.25" customHeight="1">
      <c r="A746" s="11"/>
      <c r="B746" s="11"/>
      <c r="C746" s="11"/>
      <c r="D746" s="11"/>
      <c r="E746" s="11"/>
      <c r="F746" s="11"/>
      <c r="G746" s="11"/>
      <c r="H746" s="11"/>
      <c r="I746" s="46"/>
      <c r="J746" s="11"/>
      <c r="K746" s="11"/>
      <c r="L746" s="11"/>
      <c r="M746" s="11"/>
      <c r="N746" s="46"/>
      <c r="O746" s="11"/>
      <c r="P746" s="11"/>
      <c r="Q746" s="11"/>
      <c r="R746" s="11"/>
      <c r="S746" s="11"/>
      <c r="T746" s="11"/>
      <c r="U746" s="11"/>
      <c r="V746" s="11"/>
      <c r="W746" s="11"/>
      <c r="X746" s="11"/>
      <c r="Y746" s="11"/>
      <c r="Z746" s="11"/>
    </row>
    <row r="747" spans="1:26" ht="14.25" customHeight="1">
      <c r="A747" s="11"/>
      <c r="B747" s="11"/>
      <c r="C747" s="11"/>
      <c r="D747" s="11"/>
      <c r="E747" s="11"/>
      <c r="F747" s="11"/>
      <c r="G747" s="11"/>
      <c r="H747" s="11"/>
      <c r="I747" s="46"/>
      <c r="J747" s="11"/>
      <c r="K747" s="11"/>
      <c r="L747" s="11"/>
      <c r="M747" s="11"/>
      <c r="N747" s="46"/>
      <c r="O747" s="11"/>
      <c r="P747" s="11"/>
      <c r="Q747" s="11"/>
      <c r="R747" s="11"/>
      <c r="S747" s="11"/>
      <c r="T747" s="11"/>
      <c r="U747" s="11"/>
      <c r="V747" s="11"/>
      <c r="W747" s="11"/>
      <c r="X747" s="11"/>
      <c r="Y747" s="11"/>
      <c r="Z747" s="11"/>
    </row>
    <row r="748" spans="1:26" ht="14.25" customHeight="1">
      <c r="A748" s="11"/>
      <c r="B748" s="11"/>
      <c r="C748" s="11"/>
      <c r="D748" s="11"/>
      <c r="E748" s="11"/>
      <c r="F748" s="11"/>
      <c r="G748" s="11"/>
      <c r="H748" s="11"/>
      <c r="I748" s="46"/>
      <c r="J748" s="11"/>
      <c r="K748" s="11"/>
      <c r="L748" s="11"/>
      <c r="M748" s="11"/>
      <c r="N748" s="46"/>
      <c r="O748" s="11"/>
      <c r="P748" s="11"/>
      <c r="Q748" s="11"/>
      <c r="R748" s="11"/>
      <c r="S748" s="11"/>
      <c r="T748" s="11"/>
      <c r="U748" s="11"/>
      <c r="V748" s="11"/>
      <c r="W748" s="11"/>
      <c r="X748" s="11"/>
      <c r="Y748" s="11"/>
      <c r="Z748" s="11"/>
    </row>
    <row r="749" spans="1:26" ht="14.25" customHeight="1">
      <c r="A749" s="11"/>
      <c r="B749" s="11"/>
      <c r="C749" s="11"/>
      <c r="D749" s="11"/>
      <c r="E749" s="11"/>
      <c r="F749" s="11"/>
      <c r="G749" s="11"/>
      <c r="H749" s="11"/>
      <c r="I749" s="46"/>
      <c r="J749" s="11"/>
      <c r="K749" s="11"/>
      <c r="L749" s="11"/>
      <c r="M749" s="11"/>
      <c r="N749" s="46"/>
      <c r="O749" s="11"/>
      <c r="P749" s="11"/>
      <c r="Q749" s="11"/>
      <c r="R749" s="11"/>
      <c r="S749" s="11"/>
      <c r="T749" s="11"/>
      <c r="U749" s="11"/>
      <c r="V749" s="11"/>
      <c r="W749" s="11"/>
      <c r="X749" s="11"/>
      <c r="Y749" s="11"/>
      <c r="Z749" s="11"/>
    </row>
    <row r="750" spans="1:26" ht="14.25" customHeight="1">
      <c r="A750" s="11"/>
      <c r="B750" s="11"/>
      <c r="C750" s="11"/>
      <c r="D750" s="11"/>
      <c r="E750" s="11"/>
      <c r="F750" s="11"/>
      <c r="G750" s="11"/>
      <c r="H750" s="11"/>
      <c r="I750" s="46"/>
      <c r="J750" s="11"/>
      <c r="K750" s="11"/>
      <c r="L750" s="11"/>
      <c r="M750" s="11"/>
      <c r="N750" s="46"/>
      <c r="O750" s="11"/>
      <c r="P750" s="11"/>
      <c r="Q750" s="11"/>
      <c r="R750" s="11"/>
      <c r="S750" s="11"/>
      <c r="T750" s="11"/>
      <c r="U750" s="11"/>
      <c r="V750" s="11"/>
      <c r="W750" s="11"/>
      <c r="X750" s="11"/>
      <c r="Y750" s="11"/>
      <c r="Z750" s="11"/>
    </row>
    <row r="751" spans="1:26" ht="14.25" customHeight="1">
      <c r="A751" s="11"/>
      <c r="B751" s="11"/>
      <c r="C751" s="11"/>
      <c r="D751" s="11"/>
      <c r="E751" s="11"/>
      <c r="F751" s="11"/>
      <c r="G751" s="11"/>
      <c r="H751" s="11"/>
      <c r="I751" s="46"/>
      <c r="J751" s="11"/>
      <c r="K751" s="11"/>
      <c r="L751" s="11"/>
      <c r="M751" s="11"/>
      <c r="N751" s="46"/>
      <c r="O751" s="11"/>
      <c r="P751" s="11"/>
      <c r="Q751" s="11"/>
      <c r="R751" s="11"/>
      <c r="S751" s="11"/>
      <c r="T751" s="11"/>
      <c r="U751" s="11"/>
      <c r="V751" s="11"/>
      <c r="W751" s="11"/>
      <c r="X751" s="11"/>
      <c r="Y751" s="11"/>
      <c r="Z751" s="11"/>
    </row>
    <row r="752" spans="1:26" ht="14.25" customHeight="1">
      <c r="A752" s="11"/>
      <c r="B752" s="11"/>
      <c r="C752" s="11"/>
      <c r="D752" s="11"/>
      <c r="E752" s="11"/>
      <c r="F752" s="11"/>
      <c r="G752" s="11"/>
      <c r="H752" s="11"/>
      <c r="I752" s="46"/>
      <c r="J752" s="11"/>
      <c r="K752" s="11"/>
      <c r="L752" s="11"/>
      <c r="M752" s="11"/>
      <c r="N752" s="46"/>
      <c r="O752" s="11"/>
      <c r="P752" s="11"/>
      <c r="Q752" s="11"/>
      <c r="R752" s="11"/>
      <c r="S752" s="11"/>
      <c r="T752" s="11"/>
      <c r="U752" s="11"/>
      <c r="V752" s="11"/>
      <c r="W752" s="11"/>
      <c r="X752" s="11"/>
      <c r="Y752" s="11"/>
      <c r="Z752" s="11"/>
    </row>
    <row r="753" spans="1:26" ht="14.25" customHeight="1">
      <c r="A753" s="11"/>
      <c r="B753" s="11"/>
      <c r="C753" s="11"/>
      <c r="D753" s="11"/>
      <c r="E753" s="11"/>
      <c r="F753" s="11"/>
      <c r="G753" s="11"/>
      <c r="H753" s="11"/>
      <c r="I753" s="46"/>
      <c r="J753" s="11"/>
      <c r="K753" s="11"/>
      <c r="L753" s="11"/>
      <c r="M753" s="11"/>
      <c r="N753" s="46"/>
      <c r="O753" s="11"/>
      <c r="P753" s="11"/>
      <c r="Q753" s="11"/>
      <c r="R753" s="11"/>
      <c r="S753" s="11"/>
      <c r="T753" s="11"/>
      <c r="U753" s="11"/>
      <c r="V753" s="11"/>
      <c r="W753" s="11"/>
      <c r="X753" s="11"/>
      <c r="Y753" s="11"/>
      <c r="Z753" s="11"/>
    </row>
    <row r="754" spans="1:26" ht="14.25" customHeight="1">
      <c r="A754" s="11"/>
      <c r="B754" s="11"/>
      <c r="C754" s="11"/>
      <c r="D754" s="11"/>
      <c r="E754" s="11"/>
      <c r="F754" s="11"/>
      <c r="G754" s="11"/>
      <c r="H754" s="11"/>
      <c r="I754" s="46"/>
      <c r="J754" s="11"/>
      <c r="K754" s="11"/>
      <c r="L754" s="11"/>
      <c r="M754" s="11"/>
      <c r="N754" s="46"/>
      <c r="O754" s="11"/>
      <c r="P754" s="11"/>
      <c r="Q754" s="11"/>
      <c r="R754" s="11"/>
      <c r="S754" s="11"/>
      <c r="T754" s="11"/>
      <c r="U754" s="11"/>
      <c r="V754" s="11"/>
      <c r="W754" s="11"/>
      <c r="X754" s="11"/>
      <c r="Y754" s="11"/>
      <c r="Z754" s="11"/>
    </row>
    <row r="755" spans="1:26" ht="14.25" customHeight="1">
      <c r="A755" s="11"/>
      <c r="B755" s="11"/>
      <c r="C755" s="11"/>
      <c r="D755" s="11"/>
      <c r="E755" s="11"/>
      <c r="F755" s="11"/>
      <c r="G755" s="11"/>
      <c r="H755" s="11"/>
      <c r="I755" s="46"/>
      <c r="J755" s="11"/>
      <c r="K755" s="11"/>
      <c r="L755" s="11"/>
      <c r="M755" s="11"/>
      <c r="N755" s="46"/>
      <c r="O755" s="11"/>
      <c r="P755" s="11"/>
      <c r="Q755" s="11"/>
      <c r="R755" s="11"/>
      <c r="S755" s="11"/>
      <c r="T755" s="11"/>
      <c r="U755" s="11"/>
      <c r="V755" s="11"/>
      <c r="W755" s="11"/>
      <c r="X755" s="11"/>
      <c r="Y755" s="11"/>
      <c r="Z755" s="11"/>
    </row>
    <row r="756" spans="1:26" ht="14.25" customHeight="1">
      <c r="A756" s="11"/>
      <c r="B756" s="11"/>
      <c r="C756" s="11"/>
      <c r="D756" s="11"/>
      <c r="E756" s="11"/>
      <c r="F756" s="11"/>
      <c r="G756" s="11"/>
      <c r="H756" s="11"/>
      <c r="I756" s="46"/>
      <c r="J756" s="11"/>
      <c r="K756" s="11"/>
      <c r="L756" s="11"/>
      <c r="M756" s="11"/>
      <c r="N756" s="46"/>
      <c r="O756" s="11"/>
      <c r="P756" s="11"/>
      <c r="Q756" s="11"/>
      <c r="R756" s="11"/>
      <c r="S756" s="11"/>
      <c r="T756" s="11"/>
      <c r="U756" s="11"/>
      <c r="V756" s="11"/>
      <c r="W756" s="11"/>
      <c r="X756" s="11"/>
      <c r="Y756" s="11"/>
      <c r="Z756" s="11"/>
    </row>
    <row r="757" spans="1:26" ht="14.25" customHeight="1">
      <c r="A757" s="11"/>
      <c r="B757" s="11"/>
      <c r="C757" s="11"/>
      <c r="D757" s="11"/>
      <c r="E757" s="11"/>
      <c r="F757" s="11"/>
      <c r="G757" s="11"/>
      <c r="H757" s="11"/>
      <c r="I757" s="46"/>
      <c r="J757" s="11"/>
      <c r="K757" s="11"/>
      <c r="L757" s="11"/>
      <c r="M757" s="11"/>
      <c r="N757" s="46"/>
      <c r="O757" s="11"/>
      <c r="P757" s="11"/>
      <c r="Q757" s="11"/>
      <c r="R757" s="11"/>
      <c r="S757" s="11"/>
      <c r="T757" s="11"/>
      <c r="U757" s="11"/>
      <c r="V757" s="11"/>
      <c r="W757" s="11"/>
      <c r="X757" s="11"/>
      <c r="Y757" s="11"/>
      <c r="Z757" s="11"/>
    </row>
    <row r="758" spans="1:26" ht="14.25" customHeight="1">
      <c r="A758" s="11"/>
      <c r="B758" s="11"/>
      <c r="C758" s="11"/>
      <c r="D758" s="11"/>
      <c r="E758" s="11"/>
      <c r="F758" s="11"/>
      <c r="G758" s="11"/>
      <c r="H758" s="11"/>
      <c r="I758" s="46"/>
      <c r="J758" s="11"/>
      <c r="K758" s="11"/>
      <c r="L758" s="11"/>
      <c r="M758" s="11"/>
      <c r="N758" s="46"/>
      <c r="O758" s="11"/>
      <c r="P758" s="11"/>
      <c r="Q758" s="11"/>
      <c r="R758" s="11"/>
      <c r="S758" s="11"/>
      <c r="T758" s="11"/>
      <c r="U758" s="11"/>
      <c r="V758" s="11"/>
      <c r="W758" s="11"/>
      <c r="X758" s="11"/>
      <c r="Y758" s="11"/>
      <c r="Z758" s="11"/>
    </row>
    <row r="759" spans="1:26" ht="14.25" customHeight="1">
      <c r="A759" s="11"/>
      <c r="B759" s="11"/>
      <c r="C759" s="11"/>
      <c r="D759" s="11"/>
      <c r="E759" s="11"/>
      <c r="F759" s="11"/>
      <c r="G759" s="11"/>
      <c r="H759" s="11"/>
      <c r="I759" s="46"/>
      <c r="J759" s="11"/>
      <c r="K759" s="11"/>
      <c r="L759" s="11"/>
      <c r="M759" s="11"/>
      <c r="N759" s="46"/>
      <c r="O759" s="11"/>
      <c r="P759" s="11"/>
      <c r="Q759" s="11"/>
      <c r="R759" s="11"/>
      <c r="S759" s="11"/>
      <c r="T759" s="11"/>
      <c r="U759" s="11"/>
      <c r="V759" s="11"/>
      <c r="W759" s="11"/>
      <c r="X759" s="11"/>
      <c r="Y759" s="11"/>
      <c r="Z759" s="11"/>
    </row>
    <row r="760" spans="1:26" ht="14.25" customHeight="1">
      <c r="A760" s="11"/>
      <c r="B760" s="11"/>
      <c r="C760" s="11"/>
      <c r="D760" s="11"/>
      <c r="E760" s="11"/>
      <c r="F760" s="11"/>
      <c r="G760" s="11"/>
      <c r="H760" s="11"/>
      <c r="I760" s="46"/>
      <c r="J760" s="11"/>
      <c r="K760" s="11"/>
      <c r="L760" s="11"/>
      <c r="M760" s="11"/>
      <c r="N760" s="46"/>
      <c r="O760" s="11"/>
      <c r="P760" s="11"/>
      <c r="Q760" s="11"/>
      <c r="R760" s="11"/>
      <c r="S760" s="11"/>
      <c r="T760" s="11"/>
      <c r="U760" s="11"/>
      <c r="V760" s="11"/>
      <c r="W760" s="11"/>
      <c r="X760" s="11"/>
      <c r="Y760" s="11"/>
      <c r="Z760" s="11"/>
    </row>
    <row r="761" spans="1:26" ht="14.25" customHeight="1">
      <c r="A761" s="11"/>
      <c r="B761" s="11"/>
      <c r="C761" s="11"/>
      <c r="D761" s="11"/>
      <c r="E761" s="11"/>
      <c r="F761" s="11"/>
      <c r="G761" s="11"/>
      <c r="H761" s="11"/>
      <c r="I761" s="46"/>
      <c r="J761" s="11"/>
      <c r="K761" s="11"/>
      <c r="L761" s="11"/>
      <c r="M761" s="11"/>
      <c r="N761" s="46"/>
      <c r="O761" s="11"/>
      <c r="P761" s="11"/>
      <c r="Q761" s="11"/>
      <c r="R761" s="11"/>
      <c r="S761" s="11"/>
      <c r="T761" s="11"/>
      <c r="U761" s="11"/>
      <c r="V761" s="11"/>
      <c r="W761" s="11"/>
      <c r="X761" s="11"/>
      <c r="Y761" s="11"/>
      <c r="Z761" s="11"/>
    </row>
    <row r="762" spans="1:26" ht="14.25" customHeight="1">
      <c r="A762" s="11"/>
      <c r="B762" s="11"/>
      <c r="C762" s="11"/>
      <c r="D762" s="11"/>
      <c r="E762" s="11"/>
      <c r="F762" s="11"/>
      <c r="G762" s="11"/>
      <c r="H762" s="11"/>
      <c r="I762" s="46"/>
      <c r="J762" s="11"/>
      <c r="K762" s="11"/>
      <c r="L762" s="11"/>
      <c r="M762" s="11"/>
      <c r="N762" s="46"/>
      <c r="O762" s="11"/>
      <c r="P762" s="11"/>
      <c r="Q762" s="11"/>
      <c r="R762" s="11"/>
      <c r="S762" s="11"/>
      <c r="T762" s="11"/>
      <c r="U762" s="11"/>
      <c r="V762" s="11"/>
      <c r="W762" s="11"/>
      <c r="X762" s="11"/>
      <c r="Y762" s="11"/>
      <c r="Z762" s="11"/>
    </row>
    <row r="763" spans="1:26" ht="14.25" customHeight="1">
      <c r="A763" s="11"/>
      <c r="B763" s="11"/>
      <c r="C763" s="11"/>
      <c r="D763" s="11"/>
      <c r="E763" s="11"/>
      <c r="F763" s="11"/>
      <c r="G763" s="11"/>
      <c r="H763" s="11"/>
      <c r="I763" s="46"/>
      <c r="J763" s="11"/>
      <c r="K763" s="11"/>
      <c r="L763" s="11"/>
      <c r="M763" s="11"/>
      <c r="N763" s="46"/>
      <c r="O763" s="11"/>
      <c r="P763" s="11"/>
      <c r="Q763" s="11"/>
      <c r="R763" s="11"/>
      <c r="S763" s="11"/>
      <c r="T763" s="11"/>
      <c r="U763" s="11"/>
      <c r="V763" s="11"/>
      <c r="W763" s="11"/>
      <c r="X763" s="11"/>
      <c r="Y763" s="11"/>
      <c r="Z763" s="11"/>
    </row>
    <row r="764" spans="1:26" ht="14.25" customHeight="1">
      <c r="A764" s="11"/>
      <c r="B764" s="11"/>
      <c r="C764" s="11"/>
      <c r="D764" s="11"/>
      <c r="E764" s="11"/>
      <c r="F764" s="11"/>
      <c r="G764" s="11"/>
      <c r="H764" s="11"/>
      <c r="I764" s="46"/>
      <c r="J764" s="11"/>
      <c r="K764" s="11"/>
      <c r="L764" s="11"/>
      <c r="M764" s="11"/>
      <c r="N764" s="46"/>
      <c r="O764" s="11"/>
      <c r="P764" s="11"/>
      <c r="Q764" s="11"/>
      <c r="R764" s="11"/>
      <c r="S764" s="11"/>
      <c r="T764" s="11"/>
      <c r="U764" s="11"/>
      <c r="V764" s="11"/>
      <c r="W764" s="11"/>
      <c r="X764" s="11"/>
      <c r="Y764" s="11"/>
      <c r="Z764" s="11"/>
    </row>
    <row r="765" spans="1:26" ht="14.25" customHeight="1">
      <c r="A765" s="11"/>
      <c r="B765" s="11"/>
      <c r="C765" s="11"/>
      <c r="D765" s="11"/>
      <c r="E765" s="11"/>
      <c r="F765" s="11"/>
      <c r="G765" s="11"/>
      <c r="H765" s="11"/>
      <c r="I765" s="46"/>
      <c r="J765" s="11"/>
      <c r="K765" s="11"/>
      <c r="L765" s="11"/>
      <c r="M765" s="11"/>
      <c r="N765" s="46"/>
      <c r="O765" s="11"/>
      <c r="P765" s="11"/>
      <c r="Q765" s="11"/>
      <c r="R765" s="11"/>
      <c r="S765" s="11"/>
      <c r="T765" s="11"/>
      <c r="U765" s="11"/>
      <c r="V765" s="11"/>
      <c r="W765" s="11"/>
      <c r="X765" s="11"/>
      <c r="Y765" s="11"/>
      <c r="Z765" s="11"/>
    </row>
    <row r="766" spans="1:26" ht="14.25" customHeight="1">
      <c r="A766" s="11"/>
      <c r="B766" s="11"/>
      <c r="C766" s="11"/>
      <c r="D766" s="11"/>
      <c r="E766" s="11"/>
      <c r="F766" s="11"/>
      <c r="G766" s="11"/>
      <c r="H766" s="11"/>
      <c r="I766" s="46"/>
      <c r="J766" s="11"/>
      <c r="K766" s="11"/>
      <c r="L766" s="11"/>
      <c r="M766" s="11"/>
      <c r="N766" s="46"/>
      <c r="O766" s="11"/>
      <c r="P766" s="11"/>
      <c r="Q766" s="11"/>
      <c r="R766" s="11"/>
      <c r="S766" s="11"/>
      <c r="T766" s="11"/>
      <c r="U766" s="11"/>
      <c r="V766" s="11"/>
      <c r="W766" s="11"/>
      <c r="X766" s="11"/>
      <c r="Y766" s="11"/>
      <c r="Z766" s="11"/>
    </row>
    <row r="767" spans="1:26" ht="14.25" customHeight="1">
      <c r="A767" s="11"/>
      <c r="B767" s="11"/>
      <c r="C767" s="11"/>
      <c r="D767" s="11"/>
      <c r="E767" s="11"/>
      <c r="F767" s="11"/>
      <c r="G767" s="11"/>
      <c r="H767" s="11"/>
      <c r="I767" s="46"/>
      <c r="J767" s="11"/>
      <c r="K767" s="11"/>
      <c r="L767" s="11"/>
      <c r="M767" s="11"/>
      <c r="N767" s="46"/>
      <c r="O767" s="11"/>
      <c r="P767" s="11"/>
      <c r="Q767" s="11"/>
      <c r="R767" s="11"/>
      <c r="S767" s="11"/>
      <c r="T767" s="11"/>
      <c r="U767" s="11"/>
      <c r="V767" s="11"/>
      <c r="W767" s="11"/>
      <c r="X767" s="11"/>
      <c r="Y767" s="11"/>
      <c r="Z767" s="11"/>
    </row>
    <row r="768" spans="1:26" ht="14.25" customHeight="1">
      <c r="A768" s="11"/>
      <c r="B768" s="11"/>
      <c r="C768" s="11"/>
      <c r="D768" s="11"/>
      <c r="E768" s="11"/>
      <c r="F768" s="11"/>
      <c r="G768" s="11"/>
      <c r="H768" s="11"/>
      <c r="I768" s="46"/>
      <c r="J768" s="11"/>
      <c r="K768" s="11"/>
      <c r="L768" s="11"/>
      <c r="M768" s="11"/>
      <c r="N768" s="46"/>
      <c r="O768" s="11"/>
      <c r="P768" s="11"/>
      <c r="Q768" s="11"/>
      <c r="R768" s="11"/>
      <c r="S768" s="11"/>
      <c r="T768" s="11"/>
      <c r="U768" s="11"/>
      <c r="V768" s="11"/>
      <c r="W768" s="11"/>
      <c r="X768" s="11"/>
      <c r="Y768" s="11"/>
      <c r="Z768" s="11"/>
    </row>
    <row r="769" spans="1:26" ht="14.25" customHeight="1">
      <c r="A769" s="11"/>
      <c r="B769" s="11"/>
      <c r="C769" s="11"/>
      <c r="D769" s="11"/>
      <c r="E769" s="11"/>
      <c r="F769" s="11"/>
      <c r="G769" s="11"/>
      <c r="H769" s="11"/>
      <c r="I769" s="46"/>
      <c r="J769" s="11"/>
      <c r="K769" s="11"/>
      <c r="L769" s="11"/>
      <c r="M769" s="11"/>
      <c r="N769" s="46"/>
      <c r="O769" s="11"/>
      <c r="P769" s="11"/>
      <c r="Q769" s="11"/>
      <c r="R769" s="11"/>
      <c r="S769" s="11"/>
      <c r="T769" s="11"/>
      <c r="U769" s="11"/>
      <c r="V769" s="11"/>
      <c r="W769" s="11"/>
      <c r="X769" s="11"/>
      <c r="Y769" s="11"/>
      <c r="Z769" s="11"/>
    </row>
    <row r="770" spans="1:26" ht="14.25" customHeight="1">
      <c r="A770" s="11"/>
      <c r="B770" s="11"/>
      <c r="C770" s="11"/>
      <c r="D770" s="11"/>
      <c r="E770" s="11"/>
      <c r="F770" s="11"/>
      <c r="G770" s="11"/>
      <c r="H770" s="11"/>
      <c r="I770" s="46"/>
      <c r="J770" s="11"/>
      <c r="K770" s="11"/>
      <c r="L770" s="11"/>
      <c r="M770" s="11"/>
      <c r="N770" s="46"/>
      <c r="O770" s="11"/>
      <c r="P770" s="11"/>
      <c r="Q770" s="11"/>
      <c r="R770" s="11"/>
      <c r="S770" s="11"/>
      <c r="T770" s="11"/>
      <c r="U770" s="11"/>
      <c r="V770" s="11"/>
      <c r="W770" s="11"/>
      <c r="X770" s="11"/>
      <c r="Y770" s="11"/>
      <c r="Z770" s="11"/>
    </row>
    <row r="771" spans="1:26" ht="14.25" customHeight="1">
      <c r="A771" s="11"/>
      <c r="B771" s="11"/>
      <c r="C771" s="11"/>
      <c r="D771" s="11"/>
      <c r="E771" s="11"/>
      <c r="F771" s="11"/>
      <c r="G771" s="11"/>
      <c r="H771" s="11"/>
      <c r="I771" s="46"/>
      <c r="J771" s="11"/>
      <c r="K771" s="11"/>
      <c r="L771" s="11"/>
      <c r="M771" s="11"/>
      <c r="N771" s="46"/>
      <c r="O771" s="11"/>
      <c r="P771" s="11"/>
      <c r="Q771" s="11"/>
      <c r="R771" s="11"/>
      <c r="S771" s="11"/>
      <c r="T771" s="11"/>
      <c r="U771" s="11"/>
      <c r="V771" s="11"/>
      <c r="W771" s="11"/>
      <c r="X771" s="11"/>
      <c r="Y771" s="11"/>
      <c r="Z771" s="11"/>
    </row>
    <row r="772" spans="1:26" ht="14.25" customHeight="1">
      <c r="A772" s="11"/>
      <c r="B772" s="11"/>
      <c r="C772" s="11"/>
      <c r="D772" s="11"/>
      <c r="E772" s="11"/>
      <c r="F772" s="11"/>
      <c r="G772" s="11"/>
      <c r="H772" s="11"/>
      <c r="I772" s="46"/>
      <c r="J772" s="11"/>
      <c r="K772" s="11"/>
      <c r="L772" s="11"/>
      <c r="M772" s="11"/>
      <c r="N772" s="46"/>
      <c r="O772" s="11"/>
      <c r="P772" s="11"/>
      <c r="Q772" s="11"/>
      <c r="R772" s="11"/>
      <c r="S772" s="11"/>
      <c r="T772" s="11"/>
      <c r="U772" s="11"/>
      <c r="V772" s="11"/>
      <c r="W772" s="11"/>
      <c r="X772" s="11"/>
      <c r="Y772" s="11"/>
      <c r="Z772" s="11"/>
    </row>
    <row r="773" spans="1:26" ht="14.25" customHeight="1">
      <c r="A773" s="11"/>
      <c r="B773" s="11"/>
      <c r="C773" s="11"/>
      <c r="D773" s="11"/>
      <c r="E773" s="11"/>
      <c r="F773" s="11"/>
      <c r="G773" s="11"/>
      <c r="H773" s="11"/>
      <c r="I773" s="46"/>
      <c r="J773" s="11"/>
      <c r="K773" s="11"/>
      <c r="L773" s="11"/>
      <c r="M773" s="11"/>
      <c r="N773" s="46"/>
      <c r="O773" s="11"/>
      <c r="P773" s="11"/>
      <c r="Q773" s="11"/>
      <c r="R773" s="11"/>
      <c r="S773" s="11"/>
      <c r="T773" s="11"/>
      <c r="U773" s="11"/>
      <c r="V773" s="11"/>
      <c r="W773" s="11"/>
      <c r="X773" s="11"/>
      <c r="Y773" s="11"/>
      <c r="Z773" s="11"/>
    </row>
    <row r="774" spans="1:26" ht="14.25" customHeight="1">
      <c r="A774" s="11"/>
      <c r="B774" s="11"/>
      <c r="C774" s="11"/>
      <c r="D774" s="11"/>
      <c r="E774" s="11"/>
      <c r="F774" s="11"/>
      <c r="G774" s="11"/>
      <c r="H774" s="11"/>
      <c r="I774" s="46"/>
      <c r="J774" s="11"/>
      <c r="K774" s="11"/>
      <c r="L774" s="11"/>
      <c r="M774" s="11"/>
      <c r="N774" s="46"/>
      <c r="O774" s="11"/>
      <c r="P774" s="11"/>
      <c r="Q774" s="11"/>
      <c r="R774" s="11"/>
      <c r="S774" s="11"/>
      <c r="T774" s="11"/>
      <c r="U774" s="11"/>
      <c r="V774" s="11"/>
      <c r="W774" s="11"/>
      <c r="X774" s="11"/>
      <c r="Y774" s="11"/>
      <c r="Z774" s="11"/>
    </row>
    <row r="775" spans="1:26" ht="14.25" customHeight="1">
      <c r="A775" s="11"/>
      <c r="B775" s="11"/>
      <c r="C775" s="11"/>
      <c r="D775" s="11"/>
      <c r="E775" s="11"/>
      <c r="F775" s="11"/>
      <c r="G775" s="11"/>
      <c r="H775" s="11"/>
      <c r="I775" s="46"/>
      <c r="J775" s="11"/>
      <c r="K775" s="11"/>
      <c r="L775" s="11"/>
      <c r="M775" s="11"/>
      <c r="N775" s="46"/>
      <c r="O775" s="11"/>
      <c r="P775" s="11"/>
      <c r="Q775" s="11"/>
      <c r="R775" s="11"/>
      <c r="S775" s="11"/>
      <c r="T775" s="11"/>
      <c r="U775" s="11"/>
      <c r="V775" s="11"/>
      <c r="W775" s="11"/>
      <c r="X775" s="11"/>
      <c r="Y775" s="11"/>
      <c r="Z775" s="11"/>
    </row>
    <row r="776" spans="1:26" ht="14.25" customHeight="1">
      <c r="A776" s="11"/>
      <c r="B776" s="11"/>
      <c r="C776" s="11"/>
      <c r="D776" s="11"/>
      <c r="E776" s="11"/>
      <c r="F776" s="11"/>
      <c r="G776" s="11"/>
      <c r="H776" s="11"/>
      <c r="I776" s="46"/>
      <c r="J776" s="11"/>
      <c r="K776" s="11"/>
      <c r="L776" s="11"/>
      <c r="M776" s="11"/>
      <c r="N776" s="46"/>
      <c r="O776" s="11"/>
      <c r="P776" s="11"/>
      <c r="Q776" s="11"/>
      <c r="R776" s="11"/>
      <c r="S776" s="11"/>
      <c r="T776" s="11"/>
      <c r="U776" s="11"/>
      <c r="V776" s="11"/>
      <c r="W776" s="11"/>
      <c r="X776" s="11"/>
      <c r="Y776" s="11"/>
      <c r="Z776" s="11"/>
    </row>
    <row r="777" spans="1:26" ht="14.25" customHeight="1">
      <c r="A777" s="11"/>
      <c r="B777" s="11"/>
      <c r="C777" s="11"/>
      <c r="D777" s="11"/>
      <c r="E777" s="11"/>
      <c r="F777" s="11"/>
      <c r="G777" s="11"/>
      <c r="H777" s="11"/>
      <c r="I777" s="46"/>
      <c r="J777" s="11"/>
      <c r="K777" s="11"/>
      <c r="L777" s="11"/>
      <c r="M777" s="11"/>
      <c r="N777" s="46"/>
      <c r="O777" s="11"/>
      <c r="P777" s="11"/>
      <c r="Q777" s="11"/>
      <c r="R777" s="11"/>
      <c r="S777" s="11"/>
      <c r="T777" s="11"/>
      <c r="U777" s="11"/>
      <c r="V777" s="11"/>
      <c r="W777" s="11"/>
      <c r="X777" s="11"/>
      <c r="Y777" s="11"/>
      <c r="Z777" s="11"/>
    </row>
    <row r="778" spans="1:26" ht="14.25" customHeight="1">
      <c r="A778" s="11"/>
      <c r="B778" s="11"/>
      <c r="C778" s="11"/>
      <c r="D778" s="11"/>
      <c r="E778" s="11"/>
      <c r="F778" s="11"/>
      <c r="G778" s="11"/>
      <c r="H778" s="11"/>
      <c r="I778" s="46"/>
      <c r="J778" s="11"/>
      <c r="K778" s="11"/>
      <c r="L778" s="11"/>
      <c r="M778" s="11"/>
      <c r="N778" s="46"/>
      <c r="O778" s="11"/>
      <c r="P778" s="11"/>
      <c r="Q778" s="11"/>
      <c r="R778" s="11"/>
      <c r="S778" s="11"/>
      <c r="T778" s="11"/>
      <c r="U778" s="11"/>
      <c r="V778" s="11"/>
      <c r="W778" s="11"/>
      <c r="X778" s="11"/>
      <c r="Y778" s="11"/>
      <c r="Z778" s="11"/>
    </row>
    <row r="779" spans="1:26" ht="14.25" customHeight="1">
      <c r="A779" s="11"/>
      <c r="B779" s="11"/>
      <c r="C779" s="11"/>
      <c r="D779" s="11"/>
      <c r="E779" s="11"/>
      <c r="F779" s="11"/>
      <c r="G779" s="11"/>
      <c r="H779" s="11"/>
      <c r="I779" s="46"/>
      <c r="J779" s="11"/>
      <c r="K779" s="11"/>
      <c r="L779" s="11"/>
      <c r="M779" s="11"/>
      <c r="N779" s="46"/>
      <c r="O779" s="11"/>
      <c r="P779" s="11"/>
      <c r="Q779" s="11"/>
      <c r="R779" s="11"/>
      <c r="S779" s="11"/>
      <c r="T779" s="11"/>
      <c r="U779" s="11"/>
      <c r="V779" s="11"/>
      <c r="W779" s="11"/>
      <c r="X779" s="11"/>
      <c r="Y779" s="11"/>
      <c r="Z779" s="11"/>
    </row>
    <row r="780" spans="1:26" ht="14.25" customHeight="1">
      <c r="A780" s="11"/>
      <c r="B780" s="11"/>
      <c r="C780" s="11"/>
      <c r="D780" s="11"/>
      <c r="E780" s="11"/>
      <c r="F780" s="11"/>
      <c r="G780" s="11"/>
      <c r="H780" s="11"/>
      <c r="I780" s="46"/>
      <c r="J780" s="11"/>
      <c r="K780" s="11"/>
      <c r="L780" s="11"/>
      <c r="M780" s="11"/>
      <c r="N780" s="46"/>
      <c r="O780" s="11"/>
      <c r="P780" s="11"/>
      <c r="Q780" s="11"/>
      <c r="R780" s="11"/>
      <c r="S780" s="11"/>
      <c r="T780" s="11"/>
      <c r="U780" s="11"/>
      <c r="V780" s="11"/>
      <c r="W780" s="11"/>
      <c r="X780" s="11"/>
      <c r="Y780" s="11"/>
      <c r="Z780" s="11"/>
    </row>
    <row r="781" spans="1:26" ht="14.25" customHeight="1">
      <c r="A781" s="11"/>
      <c r="B781" s="11"/>
      <c r="C781" s="11"/>
      <c r="D781" s="11"/>
      <c r="E781" s="11"/>
      <c r="F781" s="11"/>
      <c r="G781" s="11"/>
      <c r="H781" s="11"/>
      <c r="I781" s="46"/>
      <c r="J781" s="11"/>
      <c r="K781" s="11"/>
      <c r="L781" s="11"/>
      <c r="M781" s="11"/>
      <c r="N781" s="46"/>
      <c r="O781" s="11"/>
      <c r="P781" s="11"/>
      <c r="Q781" s="11"/>
      <c r="R781" s="11"/>
      <c r="S781" s="11"/>
      <c r="T781" s="11"/>
      <c r="U781" s="11"/>
      <c r="V781" s="11"/>
      <c r="W781" s="11"/>
      <c r="X781" s="11"/>
      <c r="Y781" s="11"/>
      <c r="Z781" s="11"/>
    </row>
    <row r="782" spans="1:26" ht="14.25" customHeight="1">
      <c r="A782" s="11"/>
      <c r="B782" s="11"/>
      <c r="C782" s="11"/>
      <c r="D782" s="11"/>
      <c r="E782" s="11"/>
      <c r="F782" s="11"/>
      <c r="G782" s="11"/>
      <c r="H782" s="11"/>
      <c r="I782" s="46"/>
      <c r="J782" s="11"/>
      <c r="K782" s="11"/>
      <c r="L782" s="11"/>
      <c r="M782" s="11"/>
      <c r="N782" s="46"/>
      <c r="O782" s="11"/>
      <c r="P782" s="11"/>
      <c r="Q782" s="11"/>
      <c r="R782" s="11"/>
      <c r="S782" s="11"/>
      <c r="T782" s="11"/>
      <c r="U782" s="11"/>
      <c r="V782" s="11"/>
      <c r="W782" s="11"/>
      <c r="X782" s="11"/>
      <c r="Y782" s="11"/>
      <c r="Z782" s="11"/>
    </row>
    <row r="783" spans="1:26" ht="14.25" customHeight="1">
      <c r="A783" s="11"/>
      <c r="B783" s="11"/>
      <c r="C783" s="11"/>
      <c r="D783" s="11"/>
      <c r="E783" s="11"/>
      <c r="F783" s="11"/>
      <c r="G783" s="11"/>
      <c r="H783" s="11"/>
      <c r="I783" s="46"/>
      <c r="J783" s="11"/>
      <c r="K783" s="11"/>
      <c r="L783" s="11"/>
      <c r="M783" s="11"/>
      <c r="N783" s="46"/>
      <c r="O783" s="11"/>
      <c r="P783" s="11"/>
      <c r="Q783" s="11"/>
      <c r="R783" s="11"/>
      <c r="S783" s="11"/>
      <c r="T783" s="11"/>
      <c r="U783" s="11"/>
      <c r="V783" s="11"/>
      <c r="W783" s="11"/>
      <c r="X783" s="11"/>
      <c r="Y783" s="11"/>
      <c r="Z783" s="11"/>
    </row>
    <row r="784" spans="1:26" ht="14.25" customHeight="1">
      <c r="A784" s="11"/>
      <c r="B784" s="11"/>
      <c r="C784" s="11"/>
      <c r="D784" s="11"/>
      <c r="E784" s="11"/>
      <c r="F784" s="11"/>
      <c r="G784" s="11"/>
      <c r="H784" s="11"/>
      <c r="I784" s="46"/>
      <c r="J784" s="11"/>
      <c r="K784" s="11"/>
      <c r="L784" s="11"/>
      <c r="M784" s="11"/>
      <c r="N784" s="46"/>
      <c r="O784" s="11"/>
      <c r="P784" s="11"/>
      <c r="Q784" s="11"/>
      <c r="R784" s="11"/>
      <c r="S784" s="11"/>
      <c r="T784" s="11"/>
      <c r="U784" s="11"/>
      <c r="V784" s="11"/>
      <c r="W784" s="11"/>
      <c r="X784" s="11"/>
      <c r="Y784" s="11"/>
      <c r="Z784" s="11"/>
    </row>
    <row r="785" spans="1:26" ht="14.25" customHeight="1">
      <c r="A785" s="11"/>
      <c r="B785" s="11"/>
      <c r="C785" s="11"/>
      <c r="D785" s="11"/>
      <c r="E785" s="11"/>
      <c r="F785" s="11"/>
      <c r="G785" s="11"/>
      <c r="H785" s="11"/>
      <c r="I785" s="46"/>
      <c r="J785" s="11"/>
      <c r="K785" s="11"/>
      <c r="L785" s="11"/>
      <c r="M785" s="11"/>
      <c r="N785" s="46"/>
      <c r="O785" s="11"/>
      <c r="P785" s="11"/>
      <c r="Q785" s="11"/>
      <c r="R785" s="11"/>
      <c r="S785" s="11"/>
      <c r="T785" s="11"/>
      <c r="U785" s="11"/>
      <c r="V785" s="11"/>
      <c r="W785" s="11"/>
      <c r="X785" s="11"/>
      <c r="Y785" s="11"/>
      <c r="Z785" s="11"/>
    </row>
    <row r="786" spans="1:26" ht="14.25" customHeight="1">
      <c r="A786" s="11"/>
      <c r="B786" s="11"/>
      <c r="C786" s="11"/>
      <c r="D786" s="11"/>
      <c r="E786" s="11"/>
      <c r="F786" s="11"/>
      <c r="G786" s="11"/>
      <c r="H786" s="11"/>
      <c r="I786" s="46"/>
      <c r="J786" s="11"/>
      <c r="K786" s="11"/>
      <c r="L786" s="11"/>
      <c r="M786" s="11"/>
      <c r="N786" s="46"/>
      <c r="O786" s="11"/>
      <c r="P786" s="11"/>
      <c r="Q786" s="11"/>
      <c r="R786" s="11"/>
      <c r="S786" s="11"/>
      <c r="T786" s="11"/>
      <c r="U786" s="11"/>
      <c r="V786" s="11"/>
      <c r="W786" s="11"/>
      <c r="X786" s="11"/>
      <c r="Y786" s="11"/>
      <c r="Z786" s="11"/>
    </row>
    <row r="787" spans="1:26" ht="14.25" customHeight="1">
      <c r="A787" s="11"/>
      <c r="B787" s="11"/>
      <c r="C787" s="11"/>
      <c r="D787" s="11"/>
      <c r="E787" s="11"/>
      <c r="F787" s="11"/>
      <c r="G787" s="11"/>
      <c r="H787" s="11"/>
      <c r="I787" s="46"/>
      <c r="J787" s="11"/>
      <c r="K787" s="11"/>
      <c r="L787" s="11"/>
      <c r="M787" s="11"/>
      <c r="N787" s="46"/>
      <c r="O787" s="11"/>
      <c r="P787" s="11"/>
      <c r="Q787" s="11"/>
      <c r="R787" s="11"/>
      <c r="S787" s="11"/>
      <c r="T787" s="11"/>
      <c r="U787" s="11"/>
      <c r="V787" s="11"/>
      <c r="W787" s="11"/>
      <c r="X787" s="11"/>
      <c r="Y787" s="11"/>
      <c r="Z787" s="11"/>
    </row>
    <row r="788" spans="1:26" ht="14.25" customHeight="1">
      <c r="A788" s="11"/>
      <c r="B788" s="11"/>
      <c r="C788" s="11"/>
      <c r="D788" s="11"/>
      <c r="E788" s="11"/>
      <c r="F788" s="11"/>
      <c r="G788" s="11"/>
      <c r="H788" s="11"/>
      <c r="I788" s="46"/>
      <c r="J788" s="11"/>
      <c r="K788" s="11"/>
      <c r="L788" s="11"/>
      <c r="M788" s="11"/>
      <c r="N788" s="46"/>
      <c r="O788" s="11"/>
      <c r="P788" s="11"/>
      <c r="Q788" s="11"/>
      <c r="R788" s="11"/>
      <c r="S788" s="11"/>
      <c r="T788" s="11"/>
      <c r="U788" s="11"/>
      <c r="V788" s="11"/>
      <c r="W788" s="11"/>
      <c r="X788" s="11"/>
      <c r="Y788" s="11"/>
      <c r="Z788" s="11"/>
    </row>
    <row r="789" spans="1:26" ht="14.25" customHeight="1">
      <c r="A789" s="11"/>
      <c r="B789" s="11"/>
      <c r="C789" s="11"/>
      <c r="D789" s="11"/>
      <c r="E789" s="11"/>
      <c r="F789" s="11"/>
      <c r="G789" s="11"/>
      <c r="H789" s="11"/>
      <c r="I789" s="46"/>
      <c r="J789" s="11"/>
      <c r="K789" s="11"/>
      <c r="L789" s="11"/>
      <c r="M789" s="11"/>
      <c r="N789" s="46"/>
      <c r="O789" s="11"/>
      <c r="P789" s="11"/>
      <c r="Q789" s="11"/>
      <c r="R789" s="11"/>
      <c r="S789" s="11"/>
      <c r="T789" s="11"/>
      <c r="U789" s="11"/>
      <c r="V789" s="11"/>
      <c r="W789" s="11"/>
      <c r="X789" s="11"/>
      <c r="Y789" s="11"/>
      <c r="Z789" s="11"/>
    </row>
    <row r="790" spans="1:26" ht="14.25" customHeight="1">
      <c r="A790" s="11"/>
      <c r="B790" s="11"/>
      <c r="C790" s="11"/>
      <c r="D790" s="11"/>
      <c r="E790" s="11"/>
      <c r="F790" s="11"/>
      <c r="G790" s="11"/>
      <c r="H790" s="11"/>
      <c r="I790" s="46"/>
      <c r="J790" s="11"/>
      <c r="K790" s="11"/>
      <c r="L790" s="11"/>
      <c r="M790" s="11"/>
      <c r="N790" s="46"/>
      <c r="O790" s="11"/>
      <c r="P790" s="11"/>
      <c r="Q790" s="11"/>
      <c r="R790" s="11"/>
      <c r="S790" s="11"/>
      <c r="T790" s="11"/>
      <c r="U790" s="11"/>
      <c r="V790" s="11"/>
      <c r="W790" s="11"/>
      <c r="X790" s="11"/>
      <c r="Y790" s="11"/>
      <c r="Z790" s="11"/>
    </row>
    <row r="791" spans="1:26" ht="14.25" customHeight="1">
      <c r="A791" s="11"/>
      <c r="B791" s="11"/>
      <c r="C791" s="11"/>
      <c r="D791" s="11"/>
      <c r="E791" s="11"/>
      <c r="F791" s="11"/>
      <c r="G791" s="11"/>
      <c r="H791" s="11"/>
      <c r="I791" s="46"/>
      <c r="J791" s="11"/>
      <c r="K791" s="11"/>
      <c r="L791" s="11"/>
      <c r="M791" s="11"/>
      <c r="N791" s="46"/>
      <c r="O791" s="11"/>
      <c r="P791" s="11"/>
      <c r="Q791" s="11"/>
      <c r="R791" s="11"/>
      <c r="S791" s="11"/>
      <c r="T791" s="11"/>
      <c r="U791" s="11"/>
      <c r="V791" s="11"/>
      <c r="W791" s="11"/>
      <c r="X791" s="11"/>
      <c r="Y791" s="11"/>
      <c r="Z791" s="11"/>
    </row>
    <row r="792" spans="1:26" ht="14.25" customHeight="1">
      <c r="A792" s="11"/>
      <c r="B792" s="11"/>
      <c r="C792" s="11"/>
      <c r="D792" s="11"/>
      <c r="E792" s="11"/>
      <c r="F792" s="11"/>
      <c r="G792" s="11"/>
      <c r="H792" s="11"/>
      <c r="I792" s="46"/>
      <c r="J792" s="11"/>
      <c r="K792" s="11"/>
      <c r="L792" s="11"/>
      <c r="M792" s="11"/>
      <c r="N792" s="46"/>
      <c r="O792" s="11"/>
      <c r="P792" s="11"/>
      <c r="Q792" s="11"/>
      <c r="R792" s="11"/>
      <c r="S792" s="11"/>
      <c r="T792" s="11"/>
      <c r="U792" s="11"/>
      <c r="V792" s="11"/>
      <c r="W792" s="11"/>
      <c r="X792" s="11"/>
      <c r="Y792" s="11"/>
      <c r="Z792" s="11"/>
    </row>
    <row r="793" spans="1:26" ht="14.25" customHeight="1">
      <c r="A793" s="11"/>
      <c r="B793" s="11"/>
      <c r="C793" s="11"/>
      <c r="D793" s="11"/>
      <c r="E793" s="11"/>
      <c r="F793" s="11"/>
      <c r="G793" s="11"/>
      <c r="H793" s="11"/>
      <c r="I793" s="46"/>
      <c r="J793" s="11"/>
      <c r="K793" s="11"/>
      <c r="L793" s="11"/>
      <c r="M793" s="11"/>
      <c r="N793" s="46"/>
      <c r="O793" s="11"/>
      <c r="P793" s="11"/>
      <c r="Q793" s="11"/>
      <c r="R793" s="11"/>
      <c r="S793" s="11"/>
      <c r="T793" s="11"/>
      <c r="U793" s="11"/>
      <c r="V793" s="11"/>
      <c r="W793" s="11"/>
      <c r="X793" s="11"/>
      <c r="Y793" s="11"/>
      <c r="Z793" s="11"/>
    </row>
    <row r="794" spans="1:26" ht="14.25" customHeight="1">
      <c r="A794" s="11"/>
      <c r="B794" s="11"/>
      <c r="C794" s="11"/>
      <c r="D794" s="11"/>
      <c r="E794" s="11"/>
      <c r="F794" s="11"/>
      <c r="G794" s="11"/>
      <c r="H794" s="11"/>
      <c r="I794" s="46"/>
      <c r="J794" s="11"/>
      <c r="K794" s="11"/>
      <c r="L794" s="11"/>
      <c r="M794" s="11"/>
      <c r="N794" s="46"/>
      <c r="O794" s="11"/>
      <c r="P794" s="11"/>
      <c r="Q794" s="11"/>
      <c r="R794" s="11"/>
      <c r="S794" s="11"/>
      <c r="T794" s="11"/>
      <c r="U794" s="11"/>
      <c r="V794" s="11"/>
      <c r="W794" s="11"/>
      <c r="X794" s="11"/>
      <c r="Y794" s="11"/>
      <c r="Z794" s="11"/>
    </row>
    <row r="795" spans="1:26" ht="14.25" customHeight="1">
      <c r="A795" s="11"/>
      <c r="B795" s="11"/>
      <c r="C795" s="11"/>
      <c r="D795" s="11"/>
      <c r="E795" s="11"/>
      <c r="F795" s="11"/>
      <c r="G795" s="11"/>
      <c r="H795" s="11"/>
      <c r="I795" s="46"/>
      <c r="J795" s="11"/>
      <c r="K795" s="11"/>
      <c r="L795" s="11"/>
      <c r="M795" s="11"/>
      <c r="N795" s="46"/>
      <c r="O795" s="11"/>
      <c r="P795" s="11"/>
      <c r="Q795" s="11"/>
      <c r="R795" s="11"/>
      <c r="S795" s="11"/>
      <c r="T795" s="11"/>
      <c r="U795" s="11"/>
      <c r="V795" s="11"/>
      <c r="W795" s="11"/>
      <c r="X795" s="11"/>
      <c r="Y795" s="11"/>
      <c r="Z795" s="11"/>
    </row>
    <row r="796" spans="1:26" ht="14.25" customHeight="1">
      <c r="A796" s="11"/>
      <c r="B796" s="11"/>
      <c r="C796" s="11"/>
      <c r="D796" s="11"/>
      <c r="E796" s="11"/>
      <c r="F796" s="11"/>
      <c r="G796" s="11"/>
      <c r="H796" s="11"/>
      <c r="I796" s="46"/>
      <c r="J796" s="11"/>
      <c r="K796" s="11"/>
      <c r="L796" s="11"/>
      <c r="M796" s="11"/>
      <c r="N796" s="46"/>
      <c r="O796" s="11"/>
      <c r="P796" s="11"/>
      <c r="Q796" s="11"/>
      <c r="R796" s="11"/>
      <c r="S796" s="11"/>
      <c r="T796" s="11"/>
      <c r="U796" s="11"/>
      <c r="V796" s="11"/>
      <c r="W796" s="11"/>
      <c r="X796" s="11"/>
      <c r="Y796" s="11"/>
      <c r="Z796" s="11"/>
    </row>
    <row r="797" spans="1:26" ht="14.25" customHeight="1">
      <c r="A797" s="11"/>
      <c r="B797" s="11"/>
      <c r="C797" s="11"/>
      <c r="D797" s="11"/>
      <c r="E797" s="11"/>
      <c r="F797" s="11"/>
      <c r="G797" s="11"/>
      <c r="H797" s="11"/>
      <c r="I797" s="46"/>
      <c r="J797" s="11"/>
      <c r="K797" s="11"/>
      <c r="L797" s="11"/>
      <c r="M797" s="11"/>
      <c r="N797" s="46"/>
      <c r="O797" s="11"/>
      <c r="P797" s="11"/>
      <c r="Q797" s="11"/>
      <c r="R797" s="11"/>
      <c r="S797" s="11"/>
      <c r="T797" s="11"/>
      <c r="U797" s="11"/>
      <c r="V797" s="11"/>
      <c r="W797" s="11"/>
      <c r="X797" s="11"/>
      <c r="Y797" s="11"/>
      <c r="Z797" s="11"/>
    </row>
    <row r="798" spans="1:26" ht="14.25" customHeight="1">
      <c r="A798" s="11"/>
      <c r="B798" s="11"/>
      <c r="C798" s="11"/>
      <c r="D798" s="11"/>
      <c r="E798" s="11"/>
      <c r="F798" s="11"/>
      <c r="G798" s="11"/>
      <c r="H798" s="11"/>
      <c r="I798" s="46"/>
      <c r="J798" s="11"/>
      <c r="K798" s="11"/>
      <c r="L798" s="11"/>
      <c r="M798" s="11"/>
      <c r="N798" s="46"/>
      <c r="O798" s="11"/>
      <c r="P798" s="11"/>
      <c r="Q798" s="11"/>
      <c r="R798" s="11"/>
      <c r="S798" s="11"/>
      <c r="T798" s="11"/>
      <c r="U798" s="11"/>
      <c r="V798" s="11"/>
      <c r="W798" s="11"/>
      <c r="X798" s="11"/>
      <c r="Y798" s="11"/>
      <c r="Z798" s="11"/>
    </row>
    <row r="799" spans="1:26" ht="14.25" customHeight="1">
      <c r="A799" s="11"/>
      <c r="B799" s="11"/>
      <c r="C799" s="11"/>
      <c r="D799" s="11"/>
      <c r="E799" s="11"/>
      <c r="F799" s="11"/>
      <c r="G799" s="11"/>
      <c r="H799" s="11"/>
      <c r="I799" s="46"/>
      <c r="J799" s="11"/>
      <c r="K799" s="11"/>
      <c r="L799" s="11"/>
      <c r="M799" s="11"/>
      <c r="N799" s="46"/>
      <c r="O799" s="11"/>
      <c r="P799" s="11"/>
      <c r="Q799" s="11"/>
      <c r="R799" s="11"/>
      <c r="S799" s="11"/>
      <c r="T799" s="11"/>
      <c r="U799" s="11"/>
      <c r="V799" s="11"/>
      <c r="W799" s="11"/>
      <c r="X799" s="11"/>
      <c r="Y799" s="11"/>
      <c r="Z799" s="11"/>
    </row>
    <row r="800" spans="1:26" ht="14.25" customHeight="1">
      <c r="A800" s="11"/>
      <c r="B800" s="11"/>
      <c r="C800" s="11"/>
      <c r="D800" s="11"/>
      <c r="E800" s="11"/>
      <c r="F800" s="11"/>
      <c r="G800" s="11"/>
      <c r="H800" s="11"/>
      <c r="I800" s="46"/>
      <c r="J800" s="11"/>
      <c r="K800" s="11"/>
      <c r="L800" s="11"/>
      <c r="M800" s="11"/>
      <c r="N800" s="46"/>
      <c r="O800" s="11"/>
      <c r="P800" s="11"/>
      <c r="Q800" s="11"/>
      <c r="R800" s="11"/>
      <c r="S800" s="11"/>
      <c r="T800" s="11"/>
      <c r="U800" s="11"/>
      <c r="V800" s="11"/>
      <c r="W800" s="11"/>
      <c r="X800" s="11"/>
      <c r="Y800" s="11"/>
      <c r="Z800" s="11"/>
    </row>
    <row r="801" spans="1:26" ht="14.25" customHeight="1">
      <c r="A801" s="11"/>
      <c r="B801" s="11"/>
      <c r="C801" s="11"/>
      <c r="D801" s="11"/>
      <c r="E801" s="11"/>
      <c r="F801" s="11"/>
      <c r="G801" s="11"/>
      <c r="H801" s="11"/>
      <c r="I801" s="46"/>
      <c r="J801" s="11"/>
      <c r="K801" s="11"/>
      <c r="L801" s="11"/>
      <c r="M801" s="11"/>
      <c r="N801" s="46"/>
      <c r="O801" s="11"/>
      <c r="P801" s="11"/>
      <c r="Q801" s="11"/>
      <c r="R801" s="11"/>
      <c r="S801" s="11"/>
      <c r="T801" s="11"/>
      <c r="U801" s="11"/>
      <c r="V801" s="11"/>
      <c r="W801" s="11"/>
      <c r="X801" s="11"/>
      <c r="Y801" s="11"/>
      <c r="Z801" s="11"/>
    </row>
    <row r="802" spans="1:26" ht="14.25" customHeight="1">
      <c r="A802" s="11"/>
      <c r="B802" s="11"/>
      <c r="C802" s="11"/>
      <c r="D802" s="11"/>
      <c r="E802" s="11"/>
      <c r="F802" s="11"/>
      <c r="G802" s="11"/>
      <c r="H802" s="11"/>
      <c r="I802" s="46"/>
      <c r="J802" s="11"/>
      <c r="K802" s="11"/>
      <c r="L802" s="11"/>
      <c r="M802" s="11"/>
      <c r="N802" s="46"/>
      <c r="O802" s="11"/>
      <c r="P802" s="11"/>
      <c r="Q802" s="11"/>
      <c r="R802" s="11"/>
      <c r="S802" s="11"/>
      <c r="T802" s="11"/>
      <c r="U802" s="11"/>
      <c r="V802" s="11"/>
      <c r="W802" s="11"/>
      <c r="X802" s="11"/>
      <c r="Y802" s="11"/>
      <c r="Z802" s="11"/>
    </row>
    <row r="803" spans="1:26" ht="14.25" customHeight="1">
      <c r="A803" s="11"/>
      <c r="B803" s="11"/>
      <c r="C803" s="11"/>
      <c r="D803" s="11"/>
      <c r="E803" s="11"/>
      <c r="F803" s="11"/>
      <c r="G803" s="11"/>
      <c r="H803" s="11"/>
      <c r="I803" s="46"/>
      <c r="J803" s="11"/>
      <c r="K803" s="11"/>
      <c r="L803" s="11"/>
      <c r="M803" s="11"/>
      <c r="N803" s="46"/>
      <c r="O803" s="11"/>
      <c r="P803" s="11"/>
      <c r="Q803" s="11"/>
      <c r="R803" s="11"/>
      <c r="S803" s="11"/>
      <c r="T803" s="11"/>
      <c r="U803" s="11"/>
      <c r="V803" s="11"/>
      <c r="W803" s="11"/>
      <c r="X803" s="11"/>
      <c r="Y803" s="11"/>
      <c r="Z803" s="11"/>
    </row>
    <row r="804" spans="1:26" ht="14.25" customHeight="1">
      <c r="A804" s="11"/>
      <c r="B804" s="11"/>
      <c r="C804" s="11"/>
      <c r="D804" s="11"/>
      <c r="E804" s="11"/>
      <c r="F804" s="11"/>
      <c r="G804" s="11"/>
      <c r="H804" s="11"/>
      <c r="I804" s="46"/>
      <c r="J804" s="11"/>
      <c r="K804" s="11"/>
      <c r="L804" s="11"/>
      <c r="M804" s="11"/>
      <c r="N804" s="46"/>
      <c r="O804" s="11"/>
      <c r="P804" s="11"/>
      <c r="Q804" s="11"/>
      <c r="R804" s="11"/>
      <c r="S804" s="11"/>
      <c r="T804" s="11"/>
      <c r="U804" s="11"/>
      <c r="V804" s="11"/>
      <c r="W804" s="11"/>
      <c r="X804" s="11"/>
      <c r="Y804" s="11"/>
      <c r="Z804" s="11"/>
    </row>
    <row r="805" spans="1:26" ht="14.25" customHeight="1">
      <c r="A805" s="11"/>
      <c r="B805" s="11"/>
      <c r="C805" s="11"/>
      <c r="D805" s="11"/>
      <c r="E805" s="11"/>
      <c r="F805" s="11"/>
      <c r="G805" s="11"/>
      <c r="H805" s="11"/>
      <c r="I805" s="46"/>
      <c r="J805" s="11"/>
      <c r="K805" s="11"/>
      <c r="L805" s="11"/>
      <c r="M805" s="11"/>
      <c r="N805" s="46"/>
      <c r="O805" s="11"/>
      <c r="P805" s="11"/>
      <c r="Q805" s="11"/>
      <c r="R805" s="11"/>
      <c r="S805" s="11"/>
      <c r="T805" s="11"/>
      <c r="U805" s="11"/>
      <c r="V805" s="11"/>
      <c r="W805" s="11"/>
      <c r="X805" s="11"/>
      <c r="Y805" s="11"/>
      <c r="Z805" s="11"/>
    </row>
    <row r="806" spans="1:26" ht="14.25" customHeight="1">
      <c r="A806" s="11"/>
      <c r="B806" s="11"/>
      <c r="C806" s="11"/>
      <c r="D806" s="11"/>
      <c r="E806" s="11"/>
      <c r="F806" s="11"/>
      <c r="G806" s="11"/>
      <c r="H806" s="11"/>
      <c r="I806" s="46"/>
      <c r="J806" s="11"/>
      <c r="K806" s="11"/>
      <c r="L806" s="11"/>
      <c r="M806" s="11"/>
      <c r="N806" s="46"/>
      <c r="O806" s="11"/>
      <c r="P806" s="11"/>
      <c r="Q806" s="11"/>
      <c r="R806" s="11"/>
      <c r="S806" s="11"/>
      <c r="T806" s="11"/>
      <c r="U806" s="11"/>
      <c r="V806" s="11"/>
      <c r="W806" s="11"/>
      <c r="X806" s="11"/>
      <c r="Y806" s="11"/>
      <c r="Z806" s="11"/>
    </row>
    <row r="807" spans="1:26" ht="14.25" customHeight="1">
      <c r="A807" s="11"/>
      <c r="B807" s="11"/>
      <c r="C807" s="11"/>
      <c r="D807" s="11"/>
      <c r="E807" s="11"/>
      <c r="F807" s="11"/>
      <c r="G807" s="11"/>
      <c r="H807" s="11"/>
      <c r="I807" s="46"/>
      <c r="J807" s="11"/>
      <c r="K807" s="11"/>
      <c r="L807" s="11"/>
      <c r="M807" s="11"/>
      <c r="N807" s="46"/>
      <c r="O807" s="11"/>
      <c r="P807" s="11"/>
      <c r="Q807" s="11"/>
      <c r="R807" s="11"/>
      <c r="S807" s="11"/>
      <c r="T807" s="11"/>
      <c r="U807" s="11"/>
      <c r="V807" s="11"/>
      <c r="W807" s="11"/>
      <c r="X807" s="11"/>
      <c r="Y807" s="11"/>
      <c r="Z807" s="11"/>
    </row>
    <row r="808" spans="1:26" ht="14.25" customHeight="1">
      <c r="A808" s="11"/>
      <c r="B808" s="11"/>
      <c r="C808" s="11"/>
      <c r="D808" s="11"/>
      <c r="E808" s="11"/>
      <c r="F808" s="11"/>
      <c r="G808" s="11"/>
      <c r="H808" s="11"/>
      <c r="I808" s="46"/>
      <c r="J808" s="11"/>
      <c r="K808" s="11"/>
      <c r="L808" s="11"/>
      <c r="M808" s="11"/>
      <c r="N808" s="46"/>
      <c r="O808" s="11"/>
      <c r="P808" s="11"/>
      <c r="Q808" s="11"/>
      <c r="R808" s="11"/>
      <c r="S808" s="11"/>
      <c r="T808" s="11"/>
      <c r="U808" s="11"/>
      <c r="V808" s="11"/>
      <c r="W808" s="11"/>
      <c r="X808" s="11"/>
      <c r="Y808" s="11"/>
      <c r="Z808" s="11"/>
    </row>
    <row r="809" spans="1:26" ht="14.25" customHeight="1">
      <c r="A809" s="11"/>
      <c r="B809" s="11"/>
      <c r="C809" s="11"/>
      <c r="D809" s="11"/>
      <c r="E809" s="11"/>
      <c r="F809" s="11"/>
      <c r="G809" s="11"/>
      <c r="H809" s="11"/>
      <c r="I809" s="46"/>
      <c r="J809" s="11"/>
      <c r="K809" s="11"/>
      <c r="L809" s="11"/>
      <c r="M809" s="11"/>
      <c r="N809" s="46"/>
      <c r="O809" s="11"/>
      <c r="P809" s="11"/>
      <c r="Q809" s="11"/>
      <c r="R809" s="11"/>
      <c r="S809" s="11"/>
      <c r="T809" s="11"/>
      <c r="U809" s="11"/>
      <c r="V809" s="11"/>
      <c r="W809" s="11"/>
      <c r="X809" s="11"/>
      <c r="Y809" s="11"/>
      <c r="Z809" s="11"/>
    </row>
    <row r="810" spans="1:26" ht="14.25" customHeight="1">
      <c r="A810" s="11"/>
      <c r="B810" s="11"/>
      <c r="C810" s="11"/>
      <c r="D810" s="11"/>
      <c r="E810" s="11"/>
      <c r="F810" s="11"/>
      <c r="G810" s="11"/>
      <c r="H810" s="11"/>
      <c r="I810" s="46"/>
      <c r="J810" s="11"/>
      <c r="K810" s="11"/>
      <c r="L810" s="11"/>
      <c r="M810" s="11"/>
      <c r="N810" s="46"/>
      <c r="O810" s="11"/>
      <c r="P810" s="11"/>
      <c r="Q810" s="11"/>
      <c r="R810" s="11"/>
      <c r="S810" s="11"/>
      <c r="T810" s="11"/>
      <c r="U810" s="11"/>
      <c r="V810" s="11"/>
      <c r="W810" s="11"/>
      <c r="X810" s="11"/>
      <c r="Y810" s="11"/>
      <c r="Z810" s="11"/>
    </row>
    <row r="811" spans="1:26" ht="14.25" customHeight="1">
      <c r="A811" s="11"/>
      <c r="B811" s="11"/>
      <c r="C811" s="11"/>
      <c r="D811" s="11"/>
      <c r="E811" s="11"/>
      <c r="F811" s="11"/>
      <c r="G811" s="11"/>
      <c r="H811" s="11"/>
      <c r="I811" s="46"/>
      <c r="J811" s="11"/>
      <c r="K811" s="11"/>
      <c r="L811" s="11"/>
      <c r="M811" s="11"/>
      <c r="N811" s="46"/>
      <c r="O811" s="11"/>
      <c r="P811" s="11"/>
      <c r="Q811" s="11"/>
      <c r="R811" s="11"/>
      <c r="S811" s="11"/>
      <c r="T811" s="11"/>
      <c r="U811" s="11"/>
      <c r="V811" s="11"/>
      <c r="W811" s="11"/>
      <c r="X811" s="11"/>
      <c r="Y811" s="11"/>
      <c r="Z811" s="11"/>
    </row>
    <row r="812" spans="1:26" ht="14.25" customHeight="1">
      <c r="A812" s="11"/>
      <c r="B812" s="11"/>
      <c r="C812" s="11"/>
      <c r="D812" s="11"/>
      <c r="E812" s="11"/>
      <c r="F812" s="11"/>
      <c r="G812" s="11"/>
      <c r="H812" s="11"/>
      <c r="I812" s="46"/>
      <c r="J812" s="11"/>
      <c r="K812" s="11"/>
      <c r="L812" s="11"/>
      <c r="M812" s="11"/>
      <c r="N812" s="46"/>
      <c r="O812" s="11"/>
      <c r="P812" s="11"/>
      <c r="Q812" s="11"/>
      <c r="R812" s="11"/>
      <c r="S812" s="11"/>
      <c r="T812" s="11"/>
      <c r="U812" s="11"/>
      <c r="V812" s="11"/>
      <c r="W812" s="11"/>
      <c r="X812" s="11"/>
      <c r="Y812" s="11"/>
      <c r="Z812" s="11"/>
    </row>
    <row r="813" spans="1:26" ht="14.25" customHeight="1">
      <c r="A813" s="11"/>
      <c r="B813" s="11"/>
      <c r="C813" s="11"/>
      <c r="D813" s="11"/>
      <c r="E813" s="11"/>
      <c r="F813" s="11"/>
      <c r="G813" s="11"/>
      <c r="H813" s="11"/>
      <c r="I813" s="46"/>
      <c r="J813" s="11"/>
      <c r="K813" s="11"/>
      <c r="L813" s="11"/>
      <c r="M813" s="11"/>
      <c r="N813" s="46"/>
      <c r="O813" s="11"/>
      <c r="P813" s="11"/>
      <c r="Q813" s="11"/>
      <c r="R813" s="11"/>
      <c r="S813" s="11"/>
      <c r="T813" s="11"/>
      <c r="U813" s="11"/>
      <c r="V813" s="11"/>
      <c r="W813" s="11"/>
      <c r="X813" s="11"/>
      <c r="Y813" s="11"/>
      <c r="Z813" s="11"/>
    </row>
    <row r="814" spans="1:26" ht="14.25" customHeight="1">
      <c r="A814" s="11"/>
      <c r="B814" s="11"/>
      <c r="C814" s="11"/>
      <c r="D814" s="11"/>
      <c r="E814" s="11"/>
      <c r="F814" s="11"/>
      <c r="G814" s="11"/>
      <c r="H814" s="11"/>
      <c r="I814" s="46"/>
      <c r="J814" s="11"/>
      <c r="K814" s="11"/>
      <c r="L814" s="11"/>
      <c r="M814" s="11"/>
      <c r="N814" s="46"/>
      <c r="O814" s="11"/>
      <c r="P814" s="11"/>
      <c r="Q814" s="11"/>
      <c r="R814" s="11"/>
      <c r="S814" s="11"/>
      <c r="T814" s="11"/>
      <c r="U814" s="11"/>
      <c r="V814" s="11"/>
      <c r="W814" s="11"/>
      <c r="X814" s="11"/>
      <c r="Y814" s="11"/>
      <c r="Z814" s="11"/>
    </row>
    <row r="815" spans="1:26" ht="14.25" customHeight="1">
      <c r="A815" s="11"/>
      <c r="B815" s="11"/>
      <c r="C815" s="11"/>
      <c r="D815" s="11"/>
      <c r="E815" s="11"/>
      <c r="F815" s="11"/>
      <c r="G815" s="11"/>
      <c r="H815" s="11"/>
      <c r="I815" s="46"/>
      <c r="J815" s="11"/>
      <c r="K815" s="11"/>
      <c r="L815" s="11"/>
      <c r="M815" s="11"/>
      <c r="N815" s="46"/>
      <c r="O815" s="11"/>
      <c r="P815" s="11"/>
      <c r="Q815" s="11"/>
      <c r="R815" s="11"/>
      <c r="S815" s="11"/>
      <c r="T815" s="11"/>
      <c r="U815" s="11"/>
      <c r="V815" s="11"/>
      <c r="W815" s="11"/>
      <c r="X815" s="11"/>
      <c r="Y815" s="11"/>
      <c r="Z815" s="11"/>
    </row>
    <row r="816" spans="1:26" ht="14.25" customHeight="1">
      <c r="A816" s="11"/>
      <c r="B816" s="11"/>
      <c r="C816" s="11"/>
      <c r="D816" s="11"/>
      <c r="E816" s="11"/>
      <c r="F816" s="11"/>
      <c r="G816" s="11"/>
      <c r="H816" s="11"/>
      <c r="I816" s="46"/>
      <c r="J816" s="11"/>
      <c r="K816" s="11"/>
      <c r="L816" s="11"/>
      <c r="M816" s="11"/>
      <c r="N816" s="46"/>
      <c r="O816" s="11"/>
      <c r="P816" s="11"/>
      <c r="Q816" s="11"/>
      <c r="R816" s="11"/>
      <c r="S816" s="11"/>
      <c r="T816" s="11"/>
      <c r="U816" s="11"/>
      <c r="V816" s="11"/>
      <c r="W816" s="11"/>
      <c r="X816" s="11"/>
      <c r="Y816" s="11"/>
      <c r="Z816" s="11"/>
    </row>
    <row r="817" spans="1:26" ht="14.25" customHeight="1">
      <c r="A817" s="11"/>
      <c r="B817" s="11"/>
      <c r="C817" s="11"/>
      <c r="D817" s="11"/>
      <c r="E817" s="11"/>
      <c r="F817" s="11"/>
      <c r="G817" s="11"/>
      <c r="H817" s="11"/>
      <c r="I817" s="46"/>
      <c r="J817" s="11"/>
      <c r="K817" s="11"/>
      <c r="L817" s="11"/>
      <c r="M817" s="11"/>
      <c r="N817" s="46"/>
      <c r="O817" s="11"/>
      <c r="P817" s="11"/>
      <c r="Q817" s="11"/>
      <c r="R817" s="11"/>
      <c r="S817" s="11"/>
      <c r="T817" s="11"/>
      <c r="U817" s="11"/>
      <c r="V817" s="11"/>
      <c r="W817" s="11"/>
      <c r="X817" s="11"/>
      <c r="Y817" s="11"/>
      <c r="Z817" s="11"/>
    </row>
    <row r="818" spans="1:26" ht="14.25" customHeight="1">
      <c r="A818" s="11"/>
      <c r="B818" s="11"/>
      <c r="C818" s="11"/>
      <c r="D818" s="11"/>
      <c r="E818" s="11"/>
      <c r="F818" s="11"/>
      <c r="G818" s="11"/>
      <c r="H818" s="11"/>
      <c r="I818" s="46"/>
      <c r="J818" s="11"/>
      <c r="K818" s="11"/>
      <c r="L818" s="11"/>
      <c r="M818" s="11"/>
      <c r="N818" s="46"/>
      <c r="O818" s="11"/>
      <c r="P818" s="11"/>
      <c r="Q818" s="11"/>
      <c r="R818" s="11"/>
      <c r="S818" s="11"/>
      <c r="T818" s="11"/>
      <c r="U818" s="11"/>
      <c r="V818" s="11"/>
      <c r="W818" s="11"/>
      <c r="X818" s="11"/>
      <c r="Y818" s="11"/>
      <c r="Z818" s="11"/>
    </row>
    <row r="819" spans="1:26" ht="14.25" customHeight="1">
      <c r="A819" s="11"/>
      <c r="B819" s="11"/>
      <c r="C819" s="11"/>
      <c r="D819" s="11"/>
      <c r="E819" s="11"/>
      <c r="F819" s="11"/>
      <c r="G819" s="11"/>
      <c r="H819" s="11"/>
      <c r="I819" s="46"/>
      <c r="J819" s="11"/>
      <c r="K819" s="11"/>
      <c r="L819" s="11"/>
      <c r="M819" s="11"/>
      <c r="N819" s="46"/>
      <c r="O819" s="11"/>
      <c r="P819" s="11"/>
      <c r="Q819" s="11"/>
      <c r="R819" s="11"/>
      <c r="S819" s="11"/>
      <c r="T819" s="11"/>
      <c r="U819" s="11"/>
      <c r="V819" s="11"/>
      <c r="W819" s="11"/>
      <c r="X819" s="11"/>
      <c r="Y819" s="11"/>
      <c r="Z819" s="11"/>
    </row>
    <row r="820" spans="1:26" ht="14.25" customHeight="1">
      <c r="A820" s="11"/>
      <c r="B820" s="11"/>
      <c r="C820" s="11"/>
      <c r="D820" s="11"/>
      <c r="E820" s="11"/>
      <c r="F820" s="11"/>
      <c r="G820" s="11"/>
      <c r="H820" s="11"/>
      <c r="I820" s="46"/>
      <c r="J820" s="11"/>
      <c r="K820" s="11"/>
      <c r="L820" s="11"/>
      <c r="M820" s="11"/>
      <c r="N820" s="46"/>
      <c r="O820" s="11"/>
      <c r="P820" s="11"/>
      <c r="Q820" s="11"/>
      <c r="R820" s="11"/>
      <c r="S820" s="11"/>
      <c r="T820" s="11"/>
      <c r="U820" s="11"/>
      <c r="V820" s="11"/>
      <c r="W820" s="11"/>
      <c r="X820" s="11"/>
      <c r="Y820" s="11"/>
      <c r="Z820" s="11"/>
    </row>
    <row r="821" spans="1:26" ht="14.25" customHeight="1">
      <c r="A821" s="11"/>
      <c r="B821" s="11"/>
      <c r="C821" s="11"/>
      <c r="D821" s="11"/>
      <c r="E821" s="11"/>
      <c r="F821" s="11"/>
      <c r="G821" s="11"/>
      <c r="H821" s="11"/>
      <c r="I821" s="46"/>
      <c r="J821" s="11"/>
      <c r="K821" s="11"/>
      <c r="L821" s="11"/>
      <c r="M821" s="11"/>
      <c r="N821" s="46"/>
      <c r="O821" s="11"/>
      <c r="P821" s="11"/>
      <c r="Q821" s="11"/>
      <c r="R821" s="11"/>
      <c r="S821" s="11"/>
      <c r="T821" s="11"/>
      <c r="U821" s="11"/>
      <c r="V821" s="11"/>
      <c r="W821" s="11"/>
      <c r="X821" s="11"/>
      <c r="Y821" s="11"/>
      <c r="Z821" s="11"/>
    </row>
    <row r="822" spans="1:26" ht="14.25" customHeight="1">
      <c r="A822" s="11"/>
      <c r="B822" s="11"/>
      <c r="C822" s="11"/>
      <c r="D822" s="11"/>
      <c r="E822" s="11"/>
      <c r="F822" s="11"/>
      <c r="G822" s="11"/>
      <c r="H822" s="11"/>
      <c r="I822" s="46"/>
      <c r="J822" s="11"/>
      <c r="K822" s="11"/>
      <c r="L822" s="11"/>
      <c r="M822" s="11"/>
      <c r="N822" s="46"/>
      <c r="O822" s="11"/>
      <c r="P822" s="11"/>
      <c r="Q822" s="11"/>
      <c r="R822" s="11"/>
      <c r="S822" s="11"/>
      <c r="T822" s="11"/>
      <c r="U822" s="11"/>
      <c r="V822" s="11"/>
      <c r="W822" s="11"/>
      <c r="X822" s="11"/>
      <c r="Y822" s="11"/>
      <c r="Z822" s="11"/>
    </row>
    <row r="823" spans="1:26" ht="14.25" customHeight="1">
      <c r="A823" s="11"/>
      <c r="B823" s="11"/>
      <c r="C823" s="11"/>
      <c r="D823" s="11"/>
      <c r="E823" s="11"/>
      <c r="F823" s="11"/>
      <c r="G823" s="11"/>
      <c r="H823" s="11"/>
      <c r="I823" s="46"/>
      <c r="J823" s="11"/>
      <c r="K823" s="11"/>
      <c r="L823" s="11"/>
      <c r="M823" s="11"/>
      <c r="N823" s="46"/>
      <c r="O823" s="11"/>
      <c r="P823" s="11"/>
      <c r="Q823" s="11"/>
      <c r="R823" s="11"/>
      <c r="S823" s="11"/>
      <c r="T823" s="11"/>
      <c r="U823" s="11"/>
      <c r="V823" s="11"/>
      <c r="W823" s="11"/>
      <c r="X823" s="11"/>
      <c r="Y823" s="11"/>
      <c r="Z823" s="11"/>
    </row>
    <row r="824" spans="1:26" ht="14.25" customHeight="1">
      <c r="A824" s="11"/>
      <c r="B824" s="11"/>
      <c r="C824" s="11"/>
      <c r="D824" s="11"/>
      <c r="E824" s="11"/>
      <c r="F824" s="11"/>
      <c r="G824" s="11"/>
      <c r="H824" s="11"/>
      <c r="I824" s="46"/>
      <c r="J824" s="11"/>
      <c r="K824" s="11"/>
      <c r="L824" s="11"/>
      <c r="M824" s="11"/>
      <c r="N824" s="46"/>
      <c r="O824" s="11"/>
      <c r="P824" s="11"/>
      <c r="Q824" s="11"/>
      <c r="R824" s="11"/>
      <c r="S824" s="11"/>
      <c r="T824" s="11"/>
      <c r="U824" s="11"/>
      <c r="V824" s="11"/>
      <c r="W824" s="11"/>
      <c r="X824" s="11"/>
      <c r="Y824" s="11"/>
      <c r="Z824" s="11"/>
    </row>
    <row r="825" spans="1:26" ht="14.25" customHeight="1">
      <c r="A825" s="11"/>
      <c r="B825" s="11"/>
      <c r="C825" s="11"/>
      <c r="D825" s="11"/>
      <c r="E825" s="11"/>
      <c r="F825" s="11"/>
      <c r="G825" s="11"/>
      <c r="H825" s="11"/>
      <c r="I825" s="46"/>
      <c r="J825" s="11"/>
      <c r="K825" s="11"/>
      <c r="L825" s="11"/>
      <c r="M825" s="11"/>
      <c r="N825" s="46"/>
      <c r="O825" s="11"/>
      <c r="P825" s="11"/>
      <c r="Q825" s="11"/>
      <c r="R825" s="11"/>
      <c r="S825" s="11"/>
      <c r="T825" s="11"/>
      <c r="U825" s="11"/>
      <c r="V825" s="11"/>
      <c r="W825" s="11"/>
      <c r="X825" s="11"/>
      <c r="Y825" s="11"/>
      <c r="Z825" s="11"/>
    </row>
    <row r="826" spans="1:26" ht="14.25" customHeight="1">
      <c r="A826" s="11"/>
      <c r="B826" s="11"/>
      <c r="C826" s="11"/>
      <c r="D826" s="11"/>
      <c r="E826" s="11"/>
      <c r="F826" s="11"/>
      <c r="G826" s="11"/>
      <c r="H826" s="11"/>
      <c r="I826" s="46"/>
      <c r="J826" s="11"/>
      <c r="K826" s="11"/>
      <c r="L826" s="11"/>
      <c r="M826" s="11"/>
      <c r="N826" s="46"/>
      <c r="O826" s="11"/>
      <c r="P826" s="11"/>
      <c r="Q826" s="11"/>
      <c r="R826" s="11"/>
      <c r="S826" s="11"/>
      <c r="T826" s="11"/>
      <c r="U826" s="11"/>
      <c r="V826" s="11"/>
      <c r="W826" s="11"/>
      <c r="X826" s="11"/>
      <c r="Y826" s="11"/>
      <c r="Z826" s="11"/>
    </row>
    <row r="827" spans="1:26" ht="14.25" customHeight="1">
      <c r="A827" s="11"/>
      <c r="B827" s="11"/>
      <c r="C827" s="11"/>
      <c r="D827" s="11"/>
      <c r="E827" s="11"/>
      <c r="F827" s="11"/>
      <c r="G827" s="11"/>
      <c r="H827" s="11"/>
      <c r="I827" s="46"/>
      <c r="J827" s="11"/>
      <c r="K827" s="11"/>
      <c r="L827" s="11"/>
      <c r="M827" s="11"/>
      <c r="N827" s="46"/>
      <c r="O827" s="11"/>
      <c r="P827" s="11"/>
      <c r="Q827" s="11"/>
      <c r="R827" s="11"/>
      <c r="S827" s="11"/>
      <c r="T827" s="11"/>
      <c r="U827" s="11"/>
      <c r="V827" s="11"/>
      <c r="W827" s="11"/>
      <c r="X827" s="11"/>
      <c r="Y827" s="11"/>
      <c r="Z827" s="11"/>
    </row>
    <row r="828" spans="1:26" ht="14.25" customHeight="1">
      <c r="A828" s="11"/>
      <c r="B828" s="11"/>
      <c r="C828" s="11"/>
      <c r="D828" s="11"/>
      <c r="E828" s="11"/>
      <c r="F828" s="11"/>
      <c r="G828" s="11"/>
      <c r="H828" s="11"/>
      <c r="I828" s="46"/>
      <c r="J828" s="11"/>
      <c r="K828" s="11"/>
      <c r="L828" s="11"/>
      <c r="M828" s="11"/>
      <c r="N828" s="46"/>
      <c r="O828" s="11"/>
      <c r="P828" s="11"/>
      <c r="Q828" s="11"/>
      <c r="R828" s="11"/>
      <c r="S828" s="11"/>
      <c r="T828" s="11"/>
      <c r="U828" s="11"/>
      <c r="V828" s="11"/>
      <c r="W828" s="11"/>
      <c r="X828" s="11"/>
      <c r="Y828" s="11"/>
      <c r="Z828" s="11"/>
    </row>
    <row r="829" spans="1:26" ht="14.25" customHeight="1">
      <c r="A829" s="11"/>
      <c r="B829" s="11"/>
      <c r="C829" s="11"/>
      <c r="D829" s="11"/>
      <c r="E829" s="11"/>
      <c r="F829" s="11"/>
      <c r="G829" s="11"/>
      <c r="H829" s="11"/>
      <c r="I829" s="46"/>
      <c r="J829" s="11"/>
      <c r="K829" s="11"/>
      <c r="L829" s="11"/>
      <c r="M829" s="11"/>
      <c r="N829" s="46"/>
      <c r="O829" s="11"/>
      <c r="P829" s="11"/>
      <c r="Q829" s="11"/>
      <c r="R829" s="11"/>
      <c r="S829" s="11"/>
      <c r="T829" s="11"/>
      <c r="U829" s="11"/>
      <c r="V829" s="11"/>
      <c r="W829" s="11"/>
      <c r="X829" s="11"/>
      <c r="Y829" s="11"/>
      <c r="Z829" s="11"/>
    </row>
    <row r="830" spans="1:26" ht="14.25" customHeight="1">
      <c r="A830" s="11"/>
      <c r="B830" s="11"/>
      <c r="C830" s="11"/>
      <c r="D830" s="11"/>
      <c r="E830" s="11"/>
      <c r="F830" s="11"/>
      <c r="G830" s="11"/>
      <c r="H830" s="11"/>
      <c r="I830" s="46"/>
      <c r="J830" s="11"/>
      <c r="K830" s="11"/>
      <c r="L830" s="11"/>
      <c r="M830" s="11"/>
      <c r="N830" s="46"/>
      <c r="O830" s="11"/>
      <c r="P830" s="11"/>
      <c r="Q830" s="11"/>
      <c r="R830" s="11"/>
      <c r="S830" s="11"/>
      <c r="T830" s="11"/>
      <c r="U830" s="11"/>
      <c r="V830" s="11"/>
      <c r="W830" s="11"/>
      <c r="X830" s="11"/>
      <c r="Y830" s="11"/>
      <c r="Z830" s="11"/>
    </row>
    <row r="831" spans="1:26" ht="14.25" customHeight="1">
      <c r="A831" s="11"/>
      <c r="B831" s="11"/>
      <c r="C831" s="11"/>
      <c r="D831" s="11"/>
      <c r="E831" s="11"/>
      <c r="F831" s="11"/>
      <c r="G831" s="11"/>
      <c r="H831" s="11"/>
      <c r="I831" s="46"/>
      <c r="J831" s="11"/>
      <c r="K831" s="11"/>
      <c r="L831" s="11"/>
      <c r="M831" s="11"/>
      <c r="N831" s="46"/>
      <c r="O831" s="11"/>
      <c r="P831" s="11"/>
      <c r="Q831" s="11"/>
      <c r="R831" s="11"/>
      <c r="S831" s="11"/>
      <c r="T831" s="11"/>
      <c r="U831" s="11"/>
      <c r="V831" s="11"/>
      <c r="W831" s="11"/>
      <c r="X831" s="11"/>
      <c r="Y831" s="11"/>
      <c r="Z831" s="11"/>
    </row>
    <row r="832" spans="1:26" ht="14.25" customHeight="1">
      <c r="A832" s="11"/>
      <c r="B832" s="11"/>
      <c r="C832" s="11"/>
      <c r="D832" s="11"/>
      <c r="E832" s="11"/>
      <c r="F832" s="11"/>
      <c r="G832" s="11"/>
      <c r="H832" s="11"/>
      <c r="I832" s="46"/>
      <c r="J832" s="11"/>
      <c r="K832" s="11"/>
      <c r="L832" s="11"/>
      <c r="M832" s="11"/>
      <c r="N832" s="46"/>
      <c r="O832" s="11"/>
      <c r="P832" s="11"/>
      <c r="Q832" s="11"/>
      <c r="R832" s="11"/>
      <c r="S832" s="11"/>
      <c r="T832" s="11"/>
      <c r="U832" s="11"/>
      <c r="V832" s="11"/>
      <c r="W832" s="11"/>
      <c r="X832" s="11"/>
      <c r="Y832" s="11"/>
      <c r="Z832" s="11"/>
    </row>
    <row r="833" spans="1:26" ht="14.25" customHeight="1">
      <c r="A833" s="11"/>
      <c r="B833" s="11"/>
      <c r="C833" s="11"/>
      <c r="D833" s="11"/>
      <c r="E833" s="11"/>
      <c r="F833" s="11"/>
      <c r="G833" s="11"/>
      <c r="H833" s="11"/>
      <c r="I833" s="46"/>
      <c r="J833" s="11"/>
      <c r="K833" s="11"/>
      <c r="L833" s="11"/>
      <c r="M833" s="11"/>
      <c r="N833" s="46"/>
      <c r="O833" s="11"/>
      <c r="P833" s="11"/>
      <c r="Q833" s="11"/>
      <c r="R833" s="11"/>
      <c r="S833" s="11"/>
      <c r="T833" s="11"/>
      <c r="U833" s="11"/>
      <c r="V833" s="11"/>
      <c r="W833" s="11"/>
      <c r="X833" s="11"/>
      <c r="Y833" s="11"/>
      <c r="Z833" s="11"/>
    </row>
    <row r="834" spans="1:26" ht="14.25" customHeight="1">
      <c r="A834" s="11"/>
      <c r="B834" s="11"/>
      <c r="C834" s="11"/>
      <c r="D834" s="11"/>
      <c r="E834" s="11"/>
      <c r="F834" s="11"/>
      <c r="G834" s="11"/>
      <c r="H834" s="11"/>
      <c r="I834" s="46"/>
      <c r="J834" s="11"/>
      <c r="K834" s="11"/>
      <c r="L834" s="11"/>
      <c r="M834" s="11"/>
      <c r="N834" s="46"/>
      <c r="O834" s="11"/>
      <c r="P834" s="11"/>
      <c r="Q834" s="11"/>
      <c r="R834" s="11"/>
      <c r="S834" s="11"/>
      <c r="T834" s="11"/>
      <c r="U834" s="11"/>
      <c r="V834" s="11"/>
      <c r="W834" s="11"/>
      <c r="X834" s="11"/>
      <c r="Y834" s="11"/>
      <c r="Z834" s="11"/>
    </row>
    <row r="835" spans="1:26" ht="14.25" customHeight="1">
      <c r="A835" s="11"/>
      <c r="B835" s="11"/>
      <c r="C835" s="11"/>
      <c r="D835" s="11"/>
      <c r="E835" s="11"/>
      <c r="F835" s="11"/>
      <c r="G835" s="11"/>
      <c r="H835" s="11"/>
      <c r="I835" s="46"/>
      <c r="J835" s="11"/>
      <c r="K835" s="11"/>
      <c r="L835" s="11"/>
      <c r="M835" s="11"/>
      <c r="N835" s="46"/>
      <c r="O835" s="11"/>
      <c r="P835" s="11"/>
      <c r="Q835" s="11"/>
      <c r="R835" s="11"/>
      <c r="S835" s="11"/>
      <c r="T835" s="11"/>
      <c r="U835" s="11"/>
      <c r="V835" s="11"/>
      <c r="W835" s="11"/>
      <c r="X835" s="11"/>
      <c r="Y835" s="11"/>
      <c r="Z835" s="11"/>
    </row>
    <row r="836" spans="1:26" ht="14.25" customHeight="1">
      <c r="A836" s="11"/>
      <c r="B836" s="11"/>
      <c r="C836" s="11"/>
      <c r="D836" s="11"/>
      <c r="E836" s="11"/>
      <c r="F836" s="11"/>
      <c r="G836" s="11"/>
      <c r="H836" s="11"/>
      <c r="I836" s="46"/>
      <c r="J836" s="11"/>
      <c r="K836" s="11"/>
      <c r="L836" s="11"/>
      <c r="M836" s="11"/>
      <c r="N836" s="46"/>
      <c r="O836" s="11"/>
      <c r="P836" s="11"/>
      <c r="Q836" s="11"/>
      <c r="R836" s="11"/>
      <c r="S836" s="11"/>
      <c r="T836" s="11"/>
      <c r="U836" s="11"/>
      <c r="V836" s="11"/>
      <c r="W836" s="11"/>
      <c r="X836" s="11"/>
      <c r="Y836" s="11"/>
      <c r="Z836" s="11"/>
    </row>
    <row r="837" spans="1:26" ht="14.25" customHeight="1">
      <c r="A837" s="11"/>
      <c r="B837" s="11"/>
      <c r="C837" s="11"/>
      <c r="D837" s="11"/>
      <c r="E837" s="11"/>
      <c r="F837" s="11"/>
      <c r="G837" s="11"/>
      <c r="H837" s="11"/>
      <c r="I837" s="46"/>
      <c r="J837" s="11"/>
      <c r="K837" s="11"/>
      <c r="L837" s="11"/>
      <c r="M837" s="11"/>
      <c r="N837" s="46"/>
      <c r="O837" s="11"/>
      <c r="P837" s="11"/>
      <c r="Q837" s="11"/>
      <c r="R837" s="11"/>
      <c r="S837" s="11"/>
      <c r="T837" s="11"/>
      <c r="U837" s="11"/>
      <c r="V837" s="11"/>
      <c r="W837" s="11"/>
      <c r="X837" s="11"/>
      <c r="Y837" s="11"/>
      <c r="Z837" s="11"/>
    </row>
    <row r="838" spans="1:26" ht="14.25" customHeight="1">
      <c r="A838" s="11"/>
      <c r="B838" s="11"/>
      <c r="C838" s="11"/>
      <c r="D838" s="11"/>
      <c r="E838" s="11"/>
      <c r="F838" s="11"/>
      <c r="G838" s="11"/>
      <c r="H838" s="11"/>
      <c r="I838" s="46"/>
      <c r="J838" s="11"/>
      <c r="K838" s="11"/>
      <c r="L838" s="11"/>
      <c r="M838" s="11"/>
      <c r="N838" s="46"/>
      <c r="O838" s="11"/>
      <c r="P838" s="11"/>
      <c r="Q838" s="11"/>
      <c r="R838" s="11"/>
      <c r="S838" s="11"/>
      <c r="T838" s="11"/>
      <c r="U838" s="11"/>
      <c r="V838" s="11"/>
      <c r="W838" s="11"/>
      <c r="X838" s="11"/>
      <c r="Y838" s="11"/>
      <c r="Z838" s="11"/>
    </row>
    <row r="839" spans="1:26" ht="14.25" customHeight="1">
      <c r="A839" s="11"/>
      <c r="B839" s="11"/>
      <c r="C839" s="11"/>
      <c r="D839" s="11"/>
      <c r="E839" s="11"/>
      <c r="F839" s="11"/>
      <c r="G839" s="11"/>
      <c r="H839" s="11"/>
      <c r="I839" s="46"/>
      <c r="J839" s="11"/>
      <c r="K839" s="11"/>
      <c r="L839" s="11"/>
      <c r="M839" s="11"/>
      <c r="N839" s="46"/>
      <c r="O839" s="11"/>
      <c r="P839" s="11"/>
      <c r="Q839" s="11"/>
      <c r="R839" s="11"/>
      <c r="S839" s="11"/>
      <c r="T839" s="11"/>
      <c r="U839" s="11"/>
      <c r="V839" s="11"/>
      <c r="W839" s="11"/>
      <c r="X839" s="11"/>
      <c r="Y839" s="11"/>
      <c r="Z839" s="11"/>
    </row>
    <row r="840" spans="1:26" ht="14.25" customHeight="1">
      <c r="A840" s="11"/>
      <c r="B840" s="11"/>
      <c r="C840" s="11"/>
      <c r="D840" s="11"/>
      <c r="E840" s="11"/>
      <c r="F840" s="11"/>
      <c r="G840" s="11"/>
      <c r="H840" s="11"/>
      <c r="I840" s="46"/>
      <c r="J840" s="11"/>
      <c r="K840" s="11"/>
      <c r="L840" s="11"/>
      <c r="M840" s="11"/>
      <c r="N840" s="46"/>
      <c r="O840" s="11"/>
      <c r="P840" s="11"/>
      <c r="Q840" s="11"/>
      <c r="R840" s="11"/>
      <c r="S840" s="11"/>
      <c r="T840" s="11"/>
      <c r="U840" s="11"/>
      <c r="V840" s="11"/>
      <c r="W840" s="11"/>
      <c r="X840" s="11"/>
      <c r="Y840" s="11"/>
      <c r="Z840" s="11"/>
    </row>
    <row r="841" spans="1:26" ht="14.25" customHeight="1">
      <c r="A841" s="11"/>
      <c r="B841" s="11"/>
      <c r="C841" s="11"/>
      <c r="D841" s="11"/>
      <c r="E841" s="11"/>
      <c r="F841" s="11"/>
      <c r="G841" s="11"/>
      <c r="H841" s="11"/>
      <c r="I841" s="46"/>
      <c r="J841" s="11"/>
      <c r="K841" s="11"/>
      <c r="L841" s="11"/>
      <c r="M841" s="11"/>
      <c r="N841" s="46"/>
      <c r="O841" s="11"/>
      <c r="P841" s="11"/>
      <c r="Q841" s="11"/>
      <c r="R841" s="11"/>
      <c r="S841" s="11"/>
      <c r="T841" s="11"/>
      <c r="U841" s="11"/>
      <c r="V841" s="11"/>
      <c r="W841" s="11"/>
      <c r="X841" s="11"/>
      <c r="Y841" s="11"/>
      <c r="Z841" s="11"/>
    </row>
    <row r="842" spans="1:26" ht="14.25" customHeight="1">
      <c r="A842" s="11"/>
      <c r="B842" s="11"/>
      <c r="C842" s="11"/>
      <c r="D842" s="11"/>
      <c r="E842" s="11"/>
      <c r="F842" s="11"/>
      <c r="G842" s="11"/>
      <c r="H842" s="11"/>
      <c r="I842" s="46"/>
      <c r="J842" s="11"/>
      <c r="K842" s="11"/>
      <c r="L842" s="11"/>
      <c r="M842" s="11"/>
      <c r="N842" s="46"/>
      <c r="O842" s="11"/>
      <c r="P842" s="11"/>
      <c r="Q842" s="11"/>
      <c r="R842" s="11"/>
      <c r="S842" s="11"/>
      <c r="T842" s="11"/>
      <c r="U842" s="11"/>
      <c r="V842" s="11"/>
      <c r="W842" s="11"/>
      <c r="X842" s="11"/>
      <c r="Y842" s="11"/>
      <c r="Z842" s="11"/>
    </row>
    <row r="843" spans="1:26" ht="14.25" customHeight="1">
      <c r="A843" s="11"/>
      <c r="B843" s="11"/>
      <c r="C843" s="11"/>
      <c r="D843" s="11"/>
      <c r="E843" s="11"/>
      <c r="F843" s="11"/>
      <c r="G843" s="11"/>
      <c r="H843" s="11"/>
      <c r="I843" s="46"/>
      <c r="J843" s="11"/>
      <c r="K843" s="11"/>
      <c r="L843" s="11"/>
      <c r="M843" s="11"/>
      <c r="N843" s="46"/>
      <c r="O843" s="11"/>
      <c r="P843" s="11"/>
      <c r="Q843" s="11"/>
      <c r="R843" s="11"/>
      <c r="S843" s="11"/>
      <c r="T843" s="11"/>
      <c r="U843" s="11"/>
      <c r="V843" s="11"/>
      <c r="W843" s="11"/>
      <c r="X843" s="11"/>
      <c r="Y843" s="11"/>
      <c r="Z843" s="11"/>
    </row>
    <row r="844" spans="1:26" ht="14.25" customHeight="1">
      <c r="A844" s="11"/>
      <c r="B844" s="11"/>
      <c r="C844" s="11"/>
      <c r="D844" s="11"/>
      <c r="E844" s="11"/>
      <c r="F844" s="11"/>
      <c r="G844" s="11"/>
      <c r="H844" s="11"/>
      <c r="I844" s="46"/>
      <c r="J844" s="11"/>
      <c r="K844" s="11"/>
      <c r="L844" s="11"/>
      <c r="M844" s="11"/>
      <c r="N844" s="46"/>
      <c r="O844" s="11"/>
      <c r="P844" s="11"/>
      <c r="Q844" s="11"/>
      <c r="R844" s="11"/>
      <c r="S844" s="11"/>
      <c r="T844" s="11"/>
      <c r="U844" s="11"/>
      <c r="V844" s="11"/>
      <c r="W844" s="11"/>
      <c r="X844" s="11"/>
      <c r="Y844" s="11"/>
      <c r="Z844" s="11"/>
    </row>
    <row r="845" spans="1:26" ht="14.25" customHeight="1">
      <c r="A845" s="11"/>
      <c r="B845" s="11"/>
      <c r="C845" s="11"/>
      <c r="D845" s="11"/>
      <c r="E845" s="11"/>
      <c r="F845" s="11"/>
      <c r="G845" s="11"/>
      <c r="H845" s="11"/>
      <c r="I845" s="46"/>
      <c r="J845" s="11"/>
      <c r="K845" s="11"/>
      <c r="L845" s="11"/>
      <c r="M845" s="11"/>
      <c r="N845" s="46"/>
      <c r="O845" s="11"/>
      <c r="P845" s="11"/>
      <c r="Q845" s="11"/>
      <c r="R845" s="11"/>
      <c r="S845" s="11"/>
      <c r="T845" s="11"/>
      <c r="U845" s="11"/>
      <c r="V845" s="11"/>
      <c r="W845" s="11"/>
      <c r="X845" s="11"/>
      <c r="Y845" s="11"/>
      <c r="Z845" s="11"/>
    </row>
    <row r="846" spans="1:26" ht="14.25" customHeight="1">
      <c r="A846" s="11"/>
      <c r="B846" s="11"/>
      <c r="C846" s="11"/>
      <c r="D846" s="11"/>
      <c r="E846" s="11"/>
      <c r="F846" s="11"/>
      <c r="G846" s="11"/>
      <c r="H846" s="11"/>
      <c r="I846" s="46"/>
      <c r="J846" s="11"/>
      <c r="K846" s="11"/>
      <c r="L846" s="11"/>
      <c r="M846" s="11"/>
      <c r="N846" s="46"/>
      <c r="O846" s="11"/>
      <c r="P846" s="11"/>
      <c r="Q846" s="11"/>
      <c r="R846" s="11"/>
      <c r="S846" s="11"/>
      <c r="T846" s="11"/>
      <c r="U846" s="11"/>
      <c r="V846" s="11"/>
      <c r="W846" s="11"/>
      <c r="X846" s="11"/>
      <c r="Y846" s="11"/>
      <c r="Z846" s="11"/>
    </row>
    <row r="847" spans="1:26" ht="14.25" customHeight="1">
      <c r="A847" s="11"/>
      <c r="B847" s="11"/>
      <c r="C847" s="11"/>
      <c r="D847" s="11"/>
      <c r="E847" s="11"/>
      <c r="F847" s="11"/>
      <c r="G847" s="11"/>
      <c r="H847" s="11"/>
      <c r="I847" s="46"/>
      <c r="J847" s="11"/>
      <c r="K847" s="11"/>
      <c r="L847" s="11"/>
      <c r="M847" s="11"/>
      <c r="N847" s="46"/>
      <c r="O847" s="11"/>
      <c r="P847" s="11"/>
      <c r="Q847" s="11"/>
      <c r="R847" s="11"/>
      <c r="S847" s="11"/>
      <c r="T847" s="11"/>
      <c r="U847" s="11"/>
      <c r="V847" s="11"/>
      <c r="W847" s="11"/>
      <c r="X847" s="11"/>
      <c r="Y847" s="11"/>
      <c r="Z847" s="11"/>
    </row>
    <row r="848" spans="1:26" ht="14.25" customHeight="1">
      <c r="A848" s="11"/>
      <c r="B848" s="11"/>
      <c r="C848" s="11"/>
      <c r="D848" s="11"/>
      <c r="E848" s="11"/>
      <c r="F848" s="11"/>
      <c r="G848" s="11"/>
      <c r="H848" s="11"/>
      <c r="I848" s="46"/>
      <c r="J848" s="11"/>
      <c r="K848" s="11"/>
      <c r="L848" s="11"/>
      <c r="M848" s="11"/>
      <c r="N848" s="46"/>
      <c r="O848" s="11"/>
      <c r="P848" s="11"/>
      <c r="Q848" s="11"/>
      <c r="R848" s="11"/>
      <c r="S848" s="11"/>
      <c r="T848" s="11"/>
      <c r="U848" s="11"/>
      <c r="V848" s="11"/>
      <c r="W848" s="11"/>
      <c r="X848" s="11"/>
      <c r="Y848" s="11"/>
      <c r="Z848" s="11"/>
    </row>
    <row r="849" spans="1:26" ht="14.25" customHeight="1">
      <c r="A849" s="11"/>
      <c r="B849" s="11"/>
      <c r="C849" s="11"/>
      <c r="D849" s="11"/>
      <c r="E849" s="11"/>
      <c r="F849" s="11"/>
      <c r="G849" s="11"/>
      <c r="H849" s="11"/>
      <c r="I849" s="46"/>
      <c r="J849" s="11"/>
      <c r="K849" s="11"/>
      <c r="L849" s="11"/>
      <c r="M849" s="11"/>
      <c r="N849" s="46"/>
      <c r="O849" s="11"/>
      <c r="P849" s="11"/>
      <c r="Q849" s="11"/>
      <c r="R849" s="11"/>
      <c r="S849" s="11"/>
      <c r="T849" s="11"/>
      <c r="U849" s="11"/>
      <c r="V849" s="11"/>
      <c r="W849" s="11"/>
      <c r="X849" s="11"/>
      <c r="Y849" s="11"/>
      <c r="Z849" s="11"/>
    </row>
    <row r="850" spans="1:26" ht="14.25" customHeight="1">
      <c r="A850" s="11"/>
      <c r="B850" s="11"/>
      <c r="C850" s="11"/>
      <c r="D850" s="11"/>
      <c r="E850" s="11"/>
      <c r="F850" s="11"/>
      <c r="G850" s="11"/>
      <c r="H850" s="11"/>
      <c r="I850" s="46"/>
      <c r="J850" s="11"/>
      <c r="K850" s="11"/>
      <c r="L850" s="11"/>
      <c r="M850" s="11"/>
      <c r="N850" s="46"/>
      <c r="O850" s="11"/>
      <c r="P850" s="11"/>
      <c r="Q850" s="11"/>
      <c r="R850" s="11"/>
      <c r="S850" s="11"/>
      <c r="T850" s="11"/>
      <c r="U850" s="11"/>
      <c r="V850" s="11"/>
      <c r="W850" s="11"/>
      <c r="X850" s="11"/>
      <c r="Y850" s="11"/>
      <c r="Z850" s="11"/>
    </row>
    <row r="851" spans="1:26" ht="14.25" customHeight="1">
      <c r="A851" s="11"/>
      <c r="B851" s="11"/>
      <c r="C851" s="11"/>
      <c r="D851" s="11"/>
      <c r="E851" s="11"/>
      <c r="F851" s="11"/>
      <c r="G851" s="11"/>
      <c r="H851" s="11"/>
      <c r="I851" s="46"/>
      <c r="J851" s="11"/>
      <c r="K851" s="11"/>
      <c r="L851" s="11"/>
      <c r="M851" s="11"/>
      <c r="N851" s="46"/>
      <c r="O851" s="11"/>
      <c r="P851" s="11"/>
      <c r="Q851" s="11"/>
      <c r="R851" s="11"/>
      <c r="S851" s="11"/>
      <c r="T851" s="11"/>
      <c r="U851" s="11"/>
      <c r="V851" s="11"/>
      <c r="W851" s="11"/>
      <c r="X851" s="11"/>
      <c r="Y851" s="11"/>
      <c r="Z851" s="11"/>
    </row>
    <row r="852" spans="1:26" ht="14.25" customHeight="1">
      <c r="A852" s="11"/>
      <c r="B852" s="11"/>
      <c r="C852" s="11"/>
      <c r="D852" s="11"/>
      <c r="E852" s="11"/>
      <c r="F852" s="11"/>
      <c r="G852" s="11"/>
      <c r="H852" s="11"/>
      <c r="I852" s="46"/>
      <c r="J852" s="11"/>
      <c r="K852" s="11"/>
      <c r="L852" s="11"/>
      <c r="M852" s="11"/>
      <c r="N852" s="46"/>
      <c r="O852" s="11"/>
      <c r="P852" s="11"/>
      <c r="Q852" s="11"/>
      <c r="R852" s="11"/>
      <c r="S852" s="11"/>
      <c r="T852" s="11"/>
      <c r="U852" s="11"/>
      <c r="V852" s="11"/>
      <c r="W852" s="11"/>
      <c r="X852" s="11"/>
      <c r="Y852" s="11"/>
      <c r="Z852" s="11"/>
    </row>
    <row r="853" spans="1:26" ht="14.25" customHeight="1">
      <c r="A853" s="11"/>
      <c r="B853" s="11"/>
      <c r="C853" s="11"/>
      <c r="D853" s="11"/>
      <c r="E853" s="11"/>
      <c r="F853" s="11"/>
      <c r="G853" s="11"/>
      <c r="H853" s="11"/>
      <c r="I853" s="46"/>
      <c r="J853" s="11"/>
      <c r="K853" s="11"/>
      <c r="L853" s="11"/>
      <c r="M853" s="11"/>
      <c r="N853" s="46"/>
      <c r="O853" s="11"/>
      <c r="P853" s="11"/>
      <c r="Q853" s="11"/>
      <c r="R853" s="11"/>
      <c r="S853" s="11"/>
      <c r="T853" s="11"/>
      <c r="U853" s="11"/>
      <c r="V853" s="11"/>
      <c r="W853" s="11"/>
      <c r="X853" s="11"/>
      <c r="Y853" s="11"/>
      <c r="Z853" s="11"/>
    </row>
    <row r="854" spans="1:26" ht="14.25" customHeight="1">
      <c r="A854" s="11"/>
      <c r="B854" s="11"/>
      <c r="C854" s="11"/>
      <c r="D854" s="11"/>
      <c r="E854" s="11"/>
      <c r="F854" s="11"/>
      <c r="G854" s="11"/>
      <c r="H854" s="11"/>
      <c r="I854" s="46"/>
      <c r="J854" s="11"/>
      <c r="K854" s="11"/>
      <c r="L854" s="11"/>
      <c r="M854" s="11"/>
      <c r="N854" s="46"/>
      <c r="O854" s="11"/>
      <c r="P854" s="11"/>
      <c r="Q854" s="11"/>
      <c r="R854" s="11"/>
      <c r="S854" s="11"/>
      <c r="T854" s="11"/>
      <c r="U854" s="11"/>
      <c r="V854" s="11"/>
      <c r="W854" s="11"/>
      <c r="X854" s="11"/>
      <c r="Y854" s="11"/>
      <c r="Z854" s="11"/>
    </row>
    <row r="855" spans="1:26" ht="14.25" customHeight="1">
      <c r="A855" s="11"/>
      <c r="B855" s="11"/>
      <c r="C855" s="11"/>
      <c r="D855" s="11"/>
      <c r="E855" s="11"/>
      <c r="F855" s="11"/>
      <c r="G855" s="11"/>
      <c r="H855" s="11"/>
      <c r="I855" s="46"/>
      <c r="J855" s="11"/>
      <c r="K855" s="11"/>
      <c r="L855" s="11"/>
      <c r="M855" s="11"/>
      <c r="N855" s="46"/>
      <c r="O855" s="11"/>
      <c r="P855" s="11"/>
      <c r="Q855" s="11"/>
      <c r="R855" s="11"/>
      <c r="S855" s="11"/>
      <c r="T855" s="11"/>
      <c r="U855" s="11"/>
      <c r="V855" s="11"/>
      <c r="W855" s="11"/>
      <c r="X855" s="11"/>
      <c r="Y855" s="11"/>
      <c r="Z855" s="11"/>
    </row>
    <row r="856" spans="1:26" ht="14.25" customHeight="1">
      <c r="A856" s="11"/>
      <c r="B856" s="11"/>
      <c r="C856" s="11"/>
      <c r="D856" s="11"/>
      <c r="E856" s="11"/>
      <c r="F856" s="11"/>
      <c r="G856" s="11"/>
      <c r="H856" s="11"/>
      <c r="I856" s="46"/>
      <c r="J856" s="11"/>
      <c r="K856" s="11"/>
      <c r="L856" s="11"/>
      <c r="M856" s="11"/>
      <c r="N856" s="46"/>
      <c r="O856" s="11"/>
      <c r="P856" s="11"/>
      <c r="Q856" s="11"/>
      <c r="R856" s="11"/>
      <c r="S856" s="11"/>
      <c r="T856" s="11"/>
      <c r="U856" s="11"/>
      <c r="V856" s="11"/>
      <c r="W856" s="11"/>
      <c r="X856" s="11"/>
      <c r="Y856" s="11"/>
      <c r="Z856" s="11"/>
    </row>
    <row r="857" spans="1:26" ht="14.25" customHeight="1">
      <c r="A857" s="11"/>
      <c r="B857" s="11"/>
      <c r="C857" s="11"/>
      <c r="D857" s="11"/>
      <c r="E857" s="11"/>
      <c r="F857" s="11"/>
      <c r="G857" s="11"/>
      <c r="H857" s="11"/>
      <c r="I857" s="46"/>
      <c r="J857" s="11"/>
      <c r="K857" s="11"/>
      <c r="L857" s="11"/>
      <c r="M857" s="11"/>
      <c r="N857" s="46"/>
      <c r="O857" s="11"/>
      <c r="P857" s="11"/>
      <c r="Q857" s="11"/>
      <c r="R857" s="11"/>
      <c r="S857" s="11"/>
      <c r="T857" s="11"/>
      <c r="U857" s="11"/>
      <c r="V857" s="11"/>
      <c r="W857" s="11"/>
      <c r="X857" s="11"/>
      <c r="Y857" s="11"/>
      <c r="Z857" s="11"/>
    </row>
    <row r="858" spans="1:26" ht="14.25" customHeight="1">
      <c r="A858" s="11"/>
      <c r="B858" s="11"/>
      <c r="C858" s="11"/>
      <c r="D858" s="11"/>
      <c r="E858" s="11"/>
      <c r="F858" s="11"/>
      <c r="G858" s="11"/>
      <c r="H858" s="11"/>
      <c r="I858" s="46"/>
      <c r="J858" s="11"/>
      <c r="K858" s="11"/>
      <c r="L858" s="11"/>
      <c r="M858" s="11"/>
      <c r="N858" s="46"/>
      <c r="O858" s="11"/>
      <c r="P858" s="11"/>
      <c r="Q858" s="11"/>
      <c r="R858" s="11"/>
      <c r="S858" s="11"/>
      <c r="T858" s="11"/>
      <c r="U858" s="11"/>
      <c r="V858" s="11"/>
      <c r="W858" s="11"/>
      <c r="X858" s="11"/>
      <c r="Y858" s="11"/>
      <c r="Z858" s="11"/>
    </row>
    <row r="859" spans="1:26" ht="14.25" customHeight="1">
      <c r="A859" s="11"/>
      <c r="B859" s="11"/>
      <c r="C859" s="11"/>
      <c r="D859" s="11"/>
      <c r="E859" s="11"/>
      <c r="F859" s="11"/>
      <c r="G859" s="11"/>
      <c r="H859" s="11"/>
      <c r="I859" s="46"/>
      <c r="J859" s="11"/>
      <c r="K859" s="11"/>
      <c r="L859" s="11"/>
      <c r="M859" s="11"/>
      <c r="N859" s="46"/>
      <c r="O859" s="11"/>
      <c r="P859" s="11"/>
      <c r="Q859" s="11"/>
      <c r="R859" s="11"/>
      <c r="S859" s="11"/>
      <c r="T859" s="11"/>
      <c r="U859" s="11"/>
      <c r="V859" s="11"/>
      <c r="W859" s="11"/>
      <c r="X859" s="11"/>
      <c r="Y859" s="11"/>
      <c r="Z859" s="11"/>
    </row>
    <row r="860" spans="1:26" ht="14.25" customHeight="1">
      <c r="A860" s="11"/>
      <c r="B860" s="11"/>
      <c r="C860" s="11"/>
      <c r="D860" s="11"/>
      <c r="E860" s="11"/>
      <c r="F860" s="11"/>
      <c r="G860" s="11"/>
      <c r="H860" s="11"/>
      <c r="I860" s="46"/>
      <c r="J860" s="11"/>
      <c r="K860" s="11"/>
      <c r="L860" s="11"/>
      <c r="M860" s="11"/>
      <c r="N860" s="46"/>
      <c r="O860" s="11"/>
      <c r="P860" s="11"/>
      <c r="Q860" s="11"/>
      <c r="R860" s="11"/>
      <c r="S860" s="11"/>
      <c r="T860" s="11"/>
      <c r="U860" s="11"/>
      <c r="V860" s="11"/>
      <c r="W860" s="11"/>
      <c r="X860" s="11"/>
      <c r="Y860" s="11"/>
      <c r="Z860" s="11"/>
    </row>
    <row r="861" spans="1:26" ht="14.25" customHeight="1">
      <c r="A861" s="11"/>
      <c r="B861" s="11"/>
      <c r="C861" s="11"/>
      <c r="D861" s="11"/>
      <c r="E861" s="11"/>
      <c r="F861" s="11"/>
      <c r="G861" s="11"/>
      <c r="H861" s="11"/>
      <c r="I861" s="46"/>
      <c r="J861" s="11"/>
      <c r="K861" s="11"/>
      <c r="L861" s="11"/>
      <c r="M861" s="11"/>
      <c r="N861" s="46"/>
      <c r="O861" s="11"/>
      <c r="P861" s="11"/>
      <c r="Q861" s="11"/>
      <c r="R861" s="11"/>
      <c r="S861" s="11"/>
      <c r="T861" s="11"/>
      <c r="U861" s="11"/>
      <c r="V861" s="11"/>
      <c r="W861" s="11"/>
      <c r="X861" s="11"/>
      <c r="Y861" s="11"/>
      <c r="Z861" s="11"/>
    </row>
    <row r="862" spans="1:26" ht="14.25" customHeight="1">
      <c r="A862" s="11"/>
      <c r="B862" s="11"/>
      <c r="C862" s="11"/>
      <c r="D862" s="11"/>
      <c r="E862" s="11"/>
      <c r="F862" s="11"/>
      <c r="G862" s="11"/>
      <c r="H862" s="11"/>
      <c r="I862" s="46"/>
      <c r="J862" s="11"/>
      <c r="K862" s="11"/>
      <c r="L862" s="11"/>
      <c r="M862" s="11"/>
      <c r="N862" s="46"/>
      <c r="O862" s="11"/>
      <c r="P862" s="11"/>
      <c r="Q862" s="11"/>
      <c r="R862" s="11"/>
      <c r="S862" s="11"/>
      <c r="T862" s="11"/>
      <c r="U862" s="11"/>
      <c r="V862" s="11"/>
      <c r="W862" s="11"/>
      <c r="X862" s="11"/>
      <c r="Y862" s="11"/>
      <c r="Z862" s="11"/>
    </row>
    <row r="863" spans="1:26" ht="14.25" customHeight="1">
      <c r="A863" s="11"/>
      <c r="B863" s="11"/>
      <c r="C863" s="11"/>
      <c r="D863" s="11"/>
      <c r="E863" s="11"/>
      <c r="F863" s="11"/>
      <c r="G863" s="11"/>
      <c r="H863" s="11"/>
      <c r="I863" s="46"/>
      <c r="J863" s="11"/>
      <c r="K863" s="11"/>
      <c r="L863" s="11"/>
      <c r="M863" s="11"/>
      <c r="N863" s="46"/>
      <c r="O863" s="11"/>
      <c r="P863" s="11"/>
      <c r="Q863" s="11"/>
      <c r="R863" s="11"/>
      <c r="S863" s="11"/>
      <c r="T863" s="11"/>
      <c r="U863" s="11"/>
      <c r="V863" s="11"/>
      <c r="W863" s="11"/>
      <c r="X863" s="11"/>
      <c r="Y863" s="11"/>
      <c r="Z863" s="11"/>
    </row>
    <row r="864" spans="1:26" ht="14.25" customHeight="1">
      <c r="A864" s="11"/>
      <c r="B864" s="11"/>
      <c r="C864" s="11"/>
      <c r="D864" s="11"/>
      <c r="E864" s="11"/>
      <c r="F864" s="11"/>
      <c r="G864" s="11"/>
      <c r="H864" s="11"/>
      <c r="I864" s="46"/>
      <c r="J864" s="11"/>
      <c r="K864" s="11"/>
      <c r="L864" s="11"/>
      <c r="M864" s="11"/>
      <c r="N864" s="46"/>
      <c r="O864" s="11"/>
      <c r="P864" s="11"/>
      <c r="Q864" s="11"/>
      <c r="R864" s="11"/>
      <c r="S864" s="11"/>
      <c r="T864" s="11"/>
      <c r="U864" s="11"/>
      <c r="V864" s="11"/>
      <c r="W864" s="11"/>
      <c r="X864" s="11"/>
      <c r="Y864" s="11"/>
      <c r="Z864" s="11"/>
    </row>
    <row r="865" spans="1:26" ht="14.25" customHeight="1">
      <c r="A865" s="11"/>
      <c r="B865" s="11"/>
      <c r="C865" s="11"/>
      <c r="D865" s="11"/>
      <c r="E865" s="11"/>
      <c r="F865" s="11"/>
      <c r="G865" s="11"/>
      <c r="H865" s="11"/>
      <c r="I865" s="46"/>
      <c r="J865" s="11"/>
      <c r="K865" s="11"/>
      <c r="L865" s="11"/>
      <c r="M865" s="11"/>
      <c r="N865" s="46"/>
      <c r="O865" s="11"/>
      <c r="P865" s="11"/>
      <c r="Q865" s="11"/>
      <c r="R865" s="11"/>
      <c r="S865" s="11"/>
      <c r="T865" s="11"/>
      <c r="U865" s="11"/>
      <c r="V865" s="11"/>
      <c r="W865" s="11"/>
      <c r="X865" s="11"/>
      <c r="Y865" s="11"/>
      <c r="Z865" s="11"/>
    </row>
    <row r="866" spans="1:26" ht="14.25" customHeight="1">
      <c r="A866" s="11"/>
      <c r="B866" s="11"/>
      <c r="C866" s="11"/>
      <c r="D866" s="11"/>
      <c r="E866" s="11"/>
      <c r="F866" s="11"/>
      <c r="G866" s="11"/>
      <c r="H866" s="11"/>
      <c r="I866" s="46"/>
      <c r="J866" s="11"/>
      <c r="K866" s="11"/>
      <c r="L866" s="11"/>
      <c r="M866" s="11"/>
      <c r="N866" s="46"/>
      <c r="O866" s="11"/>
      <c r="P866" s="11"/>
      <c r="Q866" s="11"/>
      <c r="R866" s="11"/>
      <c r="S866" s="11"/>
      <c r="T866" s="11"/>
      <c r="U866" s="11"/>
      <c r="V866" s="11"/>
      <c r="W866" s="11"/>
      <c r="X866" s="11"/>
      <c r="Y866" s="11"/>
      <c r="Z866" s="11"/>
    </row>
    <row r="867" spans="1:26" ht="14.25" customHeight="1">
      <c r="A867" s="11"/>
      <c r="B867" s="11"/>
      <c r="C867" s="11"/>
      <c r="D867" s="11"/>
      <c r="E867" s="11"/>
      <c r="F867" s="11"/>
      <c r="G867" s="11"/>
      <c r="H867" s="11"/>
      <c r="I867" s="46"/>
      <c r="J867" s="11"/>
      <c r="K867" s="11"/>
      <c r="L867" s="11"/>
      <c r="M867" s="11"/>
      <c r="N867" s="46"/>
      <c r="O867" s="11"/>
      <c r="P867" s="11"/>
      <c r="Q867" s="11"/>
      <c r="R867" s="11"/>
      <c r="S867" s="11"/>
      <c r="T867" s="11"/>
      <c r="U867" s="11"/>
      <c r="V867" s="11"/>
      <c r="W867" s="11"/>
      <c r="X867" s="11"/>
      <c r="Y867" s="11"/>
      <c r="Z867" s="11"/>
    </row>
    <row r="868" spans="1:26" ht="14.25" customHeight="1">
      <c r="A868" s="11"/>
      <c r="B868" s="11"/>
      <c r="C868" s="11"/>
      <c r="D868" s="11"/>
      <c r="E868" s="11"/>
      <c r="F868" s="11"/>
      <c r="G868" s="11"/>
      <c r="H868" s="11"/>
      <c r="I868" s="46"/>
      <c r="J868" s="11"/>
      <c r="K868" s="11"/>
      <c r="L868" s="11"/>
      <c r="M868" s="11"/>
      <c r="N868" s="46"/>
      <c r="O868" s="11"/>
      <c r="P868" s="11"/>
      <c r="Q868" s="11"/>
      <c r="R868" s="11"/>
      <c r="S868" s="11"/>
      <c r="T868" s="11"/>
      <c r="U868" s="11"/>
      <c r="V868" s="11"/>
      <c r="W868" s="11"/>
      <c r="X868" s="11"/>
      <c r="Y868" s="11"/>
      <c r="Z868" s="11"/>
    </row>
    <row r="869" spans="1:26" ht="14.25" customHeight="1">
      <c r="A869" s="11"/>
      <c r="B869" s="11"/>
      <c r="C869" s="11"/>
      <c r="D869" s="11"/>
      <c r="E869" s="11"/>
      <c r="F869" s="11"/>
      <c r="G869" s="11"/>
      <c r="H869" s="11"/>
      <c r="I869" s="46"/>
      <c r="J869" s="11"/>
      <c r="K869" s="11"/>
      <c r="L869" s="11"/>
      <c r="M869" s="11"/>
      <c r="N869" s="46"/>
      <c r="O869" s="11"/>
      <c r="P869" s="11"/>
      <c r="Q869" s="11"/>
      <c r="R869" s="11"/>
      <c r="S869" s="11"/>
      <c r="T869" s="11"/>
      <c r="U869" s="11"/>
      <c r="V869" s="11"/>
      <c r="W869" s="11"/>
      <c r="X869" s="11"/>
      <c r="Y869" s="11"/>
      <c r="Z869" s="11"/>
    </row>
    <row r="870" spans="1:26" ht="14.25" customHeight="1">
      <c r="A870" s="11"/>
      <c r="B870" s="11"/>
      <c r="C870" s="11"/>
      <c r="D870" s="11"/>
      <c r="E870" s="11"/>
      <c r="F870" s="11"/>
      <c r="G870" s="11"/>
      <c r="H870" s="11"/>
      <c r="I870" s="46"/>
      <c r="J870" s="11"/>
      <c r="K870" s="11"/>
      <c r="L870" s="11"/>
      <c r="M870" s="11"/>
      <c r="N870" s="46"/>
      <c r="O870" s="11"/>
      <c r="P870" s="11"/>
      <c r="Q870" s="11"/>
      <c r="R870" s="11"/>
      <c r="S870" s="11"/>
      <c r="T870" s="11"/>
      <c r="U870" s="11"/>
      <c r="V870" s="11"/>
      <c r="W870" s="11"/>
      <c r="X870" s="11"/>
      <c r="Y870" s="11"/>
      <c r="Z870" s="11"/>
    </row>
    <row r="871" spans="1:26" ht="14.25" customHeight="1">
      <c r="A871" s="11"/>
      <c r="B871" s="11"/>
      <c r="C871" s="11"/>
      <c r="D871" s="11"/>
      <c r="E871" s="11"/>
      <c r="F871" s="11"/>
      <c r="G871" s="11"/>
      <c r="H871" s="11"/>
      <c r="I871" s="46"/>
      <c r="J871" s="11"/>
      <c r="K871" s="11"/>
      <c r="L871" s="11"/>
      <c r="M871" s="11"/>
      <c r="N871" s="46"/>
      <c r="O871" s="11"/>
      <c r="P871" s="11"/>
      <c r="Q871" s="11"/>
      <c r="R871" s="11"/>
      <c r="S871" s="11"/>
      <c r="T871" s="11"/>
      <c r="U871" s="11"/>
      <c r="V871" s="11"/>
      <c r="W871" s="11"/>
      <c r="X871" s="11"/>
      <c r="Y871" s="11"/>
      <c r="Z871" s="11"/>
    </row>
    <row r="872" spans="1:26" ht="14.25" customHeight="1">
      <c r="A872" s="11"/>
      <c r="B872" s="11"/>
      <c r="C872" s="11"/>
      <c r="D872" s="11"/>
      <c r="E872" s="11"/>
      <c r="F872" s="11"/>
      <c r="G872" s="11"/>
      <c r="H872" s="11"/>
      <c r="I872" s="46"/>
      <c r="J872" s="11"/>
      <c r="K872" s="11"/>
      <c r="L872" s="11"/>
      <c r="M872" s="11"/>
      <c r="N872" s="46"/>
      <c r="O872" s="11"/>
      <c r="P872" s="11"/>
      <c r="Q872" s="11"/>
      <c r="R872" s="11"/>
      <c r="S872" s="11"/>
      <c r="T872" s="11"/>
      <c r="U872" s="11"/>
      <c r="V872" s="11"/>
      <c r="W872" s="11"/>
      <c r="X872" s="11"/>
      <c r="Y872" s="11"/>
      <c r="Z872" s="11"/>
    </row>
    <row r="873" spans="1:26" ht="14.25" customHeight="1">
      <c r="A873" s="11"/>
      <c r="B873" s="11"/>
      <c r="C873" s="11"/>
      <c r="D873" s="11"/>
      <c r="E873" s="11"/>
      <c r="F873" s="11"/>
      <c r="G873" s="11"/>
      <c r="H873" s="11"/>
      <c r="I873" s="46"/>
      <c r="J873" s="11"/>
      <c r="K873" s="11"/>
      <c r="L873" s="11"/>
      <c r="M873" s="11"/>
      <c r="N873" s="46"/>
      <c r="O873" s="11"/>
      <c r="P873" s="11"/>
      <c r="Q873" s="11"/>
      <c r="R873" s="11"/>
      <c r="S873" s="11"/>
      <c r="T873" s="11"/>
      <c r="U873" s="11"/>
      <c r="V873" s="11"/>
      <c r="W873" s="11"/>
      <c r="X873" s="11"/>
      <c r="Y873" s="11"/>
      <c r="Z873" s="11"/>
    </row>
    <row r="874" spans="1:26" ht="14.25" customHeight="1">
      <c r="A874" s="11"/>
      <c r="B874" s="11"/>
      <c r="C874" s="11"/>
      <c r="D874" s="11"/>
      <c r="E874" s="11"/>
      <c r="F874" s="11"/>
      <c r="G874" s="11"/>
      <c r="H874" s="11"/>
      <c r="I874" s="46"/>
      <c r="J874" s="11"/>
      <c r="K874" s="11"/>
      <c r="L874" s="11"/>
      <c r="M874" s="11"/>
      <c r="N874" s="46"/>
      <c r="O874" s="11"/>
      <c r="P874" s="11"/>
      <c r="Q874" s="11"/>
      <c r="R874" s="11"/>
      <c r="S874" s="11"/>
      <c r="T874" s="11"/>
      <c r="U874" s="11"/>
      <c r="V874" s="11"/>
      <c r="W874" s="11"/>
      <c r="X874" s="11"/>
      <c r="Y874" s="11"/>
      <c r="Z874" s="11"/>
    </row>
    <row r="875" spans="1:26" ht="14.25" customHeight="1">
      <c r="A875" s="11"/>
      <c r="B875" s="11"/>
      <c r="C875" s="11"/>
      <c r="D875" s="11"/>
      <c r="E875" s="11"/>
      <c r="F875" s="11"/>
      <c r="G875" s="11"/>
      <c r="H875" s="11"/>
      <c r="I875" s="46"/>
      <c r="J875" s="11"/>
      <c r="K875" s="11"/>
      <c r="L875" s="11"/>
      <c r="M875" s="11"/>
      <c r="N875" s="46"/>
      <c r="O875" s="11"/>
      <c r="P875" s="11"/>
      <c r="Q875" s="11"/>
      <c r="R875" s="11"/>
      <c r="S875" s="11"/>
      <c r="T875" s="11"/>
      <c r="U875" s="11"/>
      <c r="V875" s="11"/>
      <c r="W875" s="11"/>
      <c r="X875" s="11"/>
      <c r="Y875" s="11"/>
      <c r="Z875" s="11"/>
    </row>
    <row r="876" spans="1:26" ht="14.25" customHeight="1">
      <c r="A876" s="11"/>
      <c r="B876" s="11"/>
      <c r="C876" s="11"/>
      <c r="D876" s="11"/>
      <c r="E876" s="11"/>
      <c r="F876" s="11"/>
      <c r="G876" s="11"/>
      <c r="H876" s="11"/>
      <c r="I876" s="46"/>
      <c r="J876" s="11"/>
      <c r="K876" s="11"/>
      <c r="L876" s="11"/>
      <c r="M876" s="11"/>
      <c r="N876" s="46"/>
      <c r="O876" s="11"/>
      <c r="P876" s="11"/>
      <c r="Q876" s="11"/>
      <c r="R876" s="11"/>
      <c r="S876" s="11"/>
      <c r="T876" s="11"/>
      <c r="U876" s="11"/>
      <c r="V876" s="11"/>
      <c r="W876" s="11"/>
      <c r="X876" s="11"/>
      <c r="Y876" s="11"/>
      <c r="Z876" s="11"/>
    </row>
    <row r="877" spans="1:26" ht="14.25" customHeight="1">
      <c r="A877" s="11"/>
      <c r="B877" s="11"/>
      <c r="C877" s="11"/>
      <c r="D877" s="11"/>
      <c r="E877" s="11"/>
      <c r="F877" s="11"/>
      <c r="G877" s="11"/>
      <c r="H877" s="11"/>
      <c r="I877" s="46"/>
      <c r="J877" s="11"/>
      <c r="K877" s="11"/>
      <c r="L877" s="11"/>
      <c r="M877" s="11"/>
      <c r="N877" s="46"/>
      <c r="O877" s="11"/>
      <c r="P877" s="11"/>
      <c r="Q877" s="11"/>
      <c r="R877" s="11"/>
      <c r="S877" s="11"/>
      <c r="T877" s="11"/>
      <c r="U877" s="11"/>
      <c r="V877" s="11"/>
      <c r="W877" s="11"/>
      <c r="X877" s="11"/>
      <c r="Y877" s="11"/>
      <c r="Z877" s="11"/>
    </row>
    <row r="878" spans="1:26" ht="14.25" customHeight="1">
      <c r="A878" s="11"/>
      <c r="B878" s="11"/>
      <c r="C878" s="11"/>
      <c r="D878" s="11"/>
      <c r="E878" s="11"/>
      <c r="F878" s="11"/>
      <c r="G878" s="11"/>
      <c r="H878" s="11"/>
      <c r="I878" s="46"/>
      <c r="J878" s="11"/>
      <c r="K878" s="11"/>
      <c r="L878" s="11"/>
      <c r="M878" s="11"/>
      <c r="N878" s="46"/>
      <c r="O878" s="11"/>
      <c r="P878" s="11"/>
      <c r="Q878" s="11"/>
      <c r="R878" s="11"/>
      <c r="S878" s="11"/>
      <c r="T878" s="11"/>
      <c r="U878" s="11"/>
      <c r="V878" s="11"/>
      <c r="W878" s="11"/>
      <c r="X878" s="11"/>
      <c r="Y878" s="11"/>
      <c r="Z878" s="11"/>
    </row>
    <row r="879" spans="1:26" ht="14.25" customHeight="1">
      <c r="A879" s="11"/>
      <c r="B879" s="11"/>
      <c r="C879" s="11"/>
      <c r="D879" s="11"/>
      <c r="E879" s="11"/>
      <c r="F879" s="11"/>
      <c r="G879" s="11"/>
      <c r="H879" s="11"/>
      <c r="I879" s="46"/>
      <c r="J879" s="11"/>
      <c r="K879" s="11"/>
      <c r="L879" s="11"/>
      <c r="M879" s="11"/>
      <c r="N879" s="46"/>
      <c r="O879" s="11"/>
      <c r="P879" s="11"/>
      <c r="Q879" s="11"/>
      <c r="R879" s="11"/>
      <c r="S879" s="11"/>
      <c r="T879" s="11"/>
      <c r="U879" s="11"/>
      <c r="V879" s="11"/>
      <c r="W879" s="11"/>
      <c r="X879" s="11"/>
      <c r="Y879" s="11"/>
      <c r="Z879" s="11"/>
    </row>
    <row r="880" spans="1:26" ht="14.25" customHeight="1">
      <c r="A880" s="11"/>
      <c r="B880" s="11"/>
      <c r="C880" s="11"/>
      <c r="D880" s="11"/>
      <c r="E880" s="11"/>
      <c r="F880" s="11"/>
      <c r="G880" s="11"/>
      <c r="H880" s="11"/>
      <c r="I880" s="46"/>
      <c r="J880" s="11"/>
      <c r="K880" s="11"/>
      <c r="L880" s="11"/>
      <c r="M880" s="11"/>
      <c r="N880" s="46"/>
      <c r="O880" s="11"/>
      <c r="P880" s="11"/>
      <c r="Q880" s="11"/>
      <c r="R880" s="11"/>
      <c r="S880" s="11"/>
      <c r="T880" s="11"/>
      <c r="U880" s="11"/>
      <c r="V880" s="11"/>
      <c r="W880" s="11"/>
      <c r="X880" s="11"/>
      <c r="Y880" s="11"/>
      <c r="Z880" s="11"/>
    </row>
    <row r="881" spans="1:26" ht="14.25" customHeight="1">
      <c r="A881" s="11"/>
      <c r="B881" s="11"/>
      <c r="C881" s="11"/>
      <c r="D881" s="11"/>
      <c r="E881" s="11"/>
      <c r="F881" s="11"/>
      <c r="G881" s="11"/>
      <c r="H881" s="11"/>
      <c r="I881" s="46"/>
      <c r="J881" s="11"/>
      <c r="K881" s="11"/>
      <c r="L881" s="11"/>
      <c r="M881" s="11"/>
      <c r="N881" s="46"/>
      <c r="O881" s="11"/>
      <c r="P881" s="11"/>
      <c r="Q881" s="11"/>
      <c r="R881" s="11"/>
      <c r="S881" s="11"/>
      <c r="T881" s="11"/>
      <c r="U881" s="11"/>
      <c r="V881" s="11"/>
      <c r="W881" s="11"/>
      <c r="X881" s="11"/>
      <c r="Y881" s="11"/>
      <c r="Z881" s="11"/>
    </row>
    <row r="882" spans="1:26" ht="14.25" customHeight="1">
      <c r="A882" s="11"/>
      <c r="B882" s="11"/>
      <c r="C882" s="11"/>
      <c r="D882" s="11"/>
      <c r="E882" s="11"/>
      <c r="F882" s="11"/>
      <c r="G882" s="11"/>
      <c r="H882" s="11"/>
      <c r="I882" s="46"/>
      <c r="J882" s="11"/>
      <c r="K882" s="11"/>
      <c r="L882" s="11"/>
      <c r="M882" s="11"/>
      <c r="N882" s="46"/>
      <c r="O882" s="11"/>
      <c r="P882" s="11"/>
      <c r="Q882" s="11"/>
      <c r="R882" s="11"/>
      <c r="S882" s="11"/>
      <c r="T882" s="11"/>
      <c r="U882" s="11"/>
      <c r="V882" s="11"/>
      <c r="W882" s="11"/>
      <c r="X882" s="11"/>
      <c r="Y882" s="11"/>
      <c r="Z882" s="11"/>
    </row>
    <row r="883" spans="1:26" ht="14.25" customHeight="1">
      <c r="A883" s="11"/>
      <c r="B883" s="11"/>
      <c r="C883" s="11"/>
      <c r="D883" s="11"/>
      <c r="E883" s="11"/>
      <c r="F883" s="11"/>
      <c r="G883" s="11"/>
      <c r="H883" s="11"/>
      <c r="I883" s="46"/>
      <c r="J883" s="11"/>
      <c r="K883" s="11"/>
      <c r="L883" s="11"/>
      <c r="M883" s="11"/>
      <c r="N883" s="46"/>
      <c r="O883" s="11"/>
      <c r="P883" s="11"/>
      <c r="Q883" s="11"/>
      <c r="R883" s="11"/>
      <c r="S883" s="11"/>
      <c r="T883" s="11"/>
      <c r="U883" s="11"/>
      <c r="V883" s="11"/>
      <c r="W883" s="11"/>
      <c r="X883" s="11"/>
      <c r="Y883" s="11"/>
      <c r="Z883" s="11"/>
    </row>
    <row r="884" spans="1:26" ht="14.25" customHeight="1">
      <c r="A884" s="11"/>
      <c r="B884" s="11"/>
      <c r="C884" s="11"/>
      <c r="D884" s="11"/>
      <c r="E884" s="11"/>
      <c r="F884" s="11"/>
      <c r="G884" s="11"/>
      <c r="H884" s="11"/>
      <c r="I884" s="46"/>
      <c r="J884" s="11"/>
      <c r="K884" s="11"/>
      <c r="L884" s="11"/>
      <c r="M884" s="11"/>
      <c r="N884" s="46"/>
      <c r="O884" s="11"/>
      <c r="P884" s="11"/>
      <c r="Q884" s="11"/>
      <c r="R884" s="11"/>
      <c r="S884" s="11"/>
      <c r="T884" s="11"/>
      <c r="U884" s="11"/>
      <c r="V884" s="11"/>
      <c r="W884" s="11"/>
      <c r="X884" s="11"/>
      <c r="Y884" s="11"/>
      <c r="Z884" s="11"/>
    </row>
    <row r="885" spans="1:26" ht="14.25" customHeight="1">
      <c r="A885" s="11"/>
      <c r="B885" s="11"/>
      <c r="C885" s="11"/>
      <c r="D885" s="11"/>
      <c r="E885" s="11"/>
      <c r="F885" s="11"/>
      <c r="G885" s="11"/>
      <c r="H885" s="11"/>
      <c r="I885" s="46"/>
      <c r="J885" s="11"/>
      <c r="K885" s="11"/>
      <c r="L885" s="11"/>
      <c r="M885" s="11"/>
      <c r="N885" s="46"/>
      <c r="O885" s="11"/>
      <c r="P885" s="11"/>
      <c r="Q885" s="11"/>
      <c r="R885" s="11"/>
      <c r="S885" s="11"/>
      <c r="T885" s="11"/>
      <c r="U885" s="11"/>
      <c r="V885" s="11"/>
      <c r="W885" s="11"/>
      <c r="X885" s="11"/>
      <c r="Y885" s="11"/>
      <c r="Z885" s="11"/>
    </row>
    <row r="886" spans="1:26" ht="14.25" customHeight="1">
      <c r="A886" s="11"/>
      <c r="B886" s="11"/>
      <c r="C886" s="11"/>
      <c r="D886" s="11"/>
      <c r="E886" s="11"/>
      <c r="F886" s="11"/>
      <c r="G886" s="11"/>
      <c r="H886" s="11"/>
      <c r="I886" s="46"/>
      <c r="J886" s="11"/>
      <c r="K886" s="11"/>
      <c r="L886" s="11"/>
      <c r="M886" s="11"/>
      <c r="N886" s="46"/>
      <c r="O886" s="11"/>
      <c r="P886" s="11"/>
      <c r="Q886" s="11"/>
      <c r="R886" s="11"/>
      <c r="S886" s="11"/>
      <c r="T886" s="11"/>
      <c r="U886" s="11"/>
      <c r="V886" s="11"/>
      <c r="W886" s="11"/>
      <c r="X886" s="11"/>
      <c r="Y886" s="11"/>
      <c r="Z886" s="11"/>
    </row>
    <row r="887" spans="1:26" ht="14.25" customHeight="1">
      <c r="A887" s="11"/>
      <c r="B887" s="11"/>
      <c r="C887" s="11"/>
      <c r="D887" s="11"/>
      <c r="E887" s="11"/>
      <c r="F887" s="11"/>
      <c r="G887" s="11"/>
      <c r="H887" s="11"/>
      <c r="I887" s="46"/>
      <c r="J887" s="11"/>
      <c r="K887" s="11"/>
      <c r="L887" s="11"/>
      <c r="M887" s="11"/>
      <c r="N887" s="46"/>
      <c r="O887" s="11"/>
      <c r="P887" s="11"/>
      <c r="Q887" s="11"/>
      <c r="R887" s="11"/>
      <c r="S887" s="11"/>
      <c r="T887" s="11"/>
      <c r="U887" s="11"/>
      <c r="V887" s="11"/>
      <c r="W887" s="11"/>
      <c r="X887" s="11"/>
      <c r="Y887" s="11"/>
      <c r="Z887" s="11"/>
    </row>
    <row r="888" spans="1:26" ht="14.25" customHeight="1">
      <c r="A888" s="11"/>
      <c r="B888" s="11"/>
      <c r="C888" s="11"/>
      <c r="D888" s="11"/>
      <c r="E888" s="11"/>
      <c r="F888" s="11"/>
      <c r="G888" s="11"/>
      <c r="H888" s="11"/>
      <c r="I888" s="46"/>
      <c r="J888" s="11"/>
      <c r="K888" s="11"/>
      <c r="L888" s="11"/>
      <c r="M888" s="11"/>
      <c r="N888" s="46"/>
      <c r="O888" s="11"/>
      <c r="P888" s="11"/>
      <c r="Q888" s="11"/>
      <c r="R888" s="11"/>
      <c r="S888" s="11"/>
      <c r="T888" s="11"/>
      <c r="U888" s="11"/>
      <c r="V888" s="11"/>
      <c r="W888" s="11"/>
      <c r="X888" s="11"/>
      <c r="Y888" s="11"/>
      <c r="Z888" s="11"/>
    </row>
    <row r="889" spans="1:26" ht="14.25" customHeight="1">
      <c r="A889" s="11"/>
      <c r="B889" s="11"/>
      <c r="C889" s="11"/>
      <c r="D889" s="11"/>
      <c r="E889" s="11"/>
      <c r="F889" s="11"/>
      <c r="G889" s="11"/>
      <c r="H889" s="11"/>
      <c r="I889" s="46"/>
      <c r="J889" s="11"/>
      <c r="K889" s="11"/>
      <c r="L889" s="11"/>
      <c r="M889" s="11"/>
      <c r="N889" s="46"/>
      <c r="O889" s="11"/>
      <c r="P889" s="11"/>
      <c r="Q889" s="11"/>
      <c r="R889" s="11"/>
      <c r="S889" s="11"/>
      <c r="T889" s="11"/>
      <c r="U889" s="11"/>
      <c r="V889" s="11"/>
      <c r="W889" s="11"/>
      <c r="X889" s="11"/>
      <c r="Y889" s="11"/>
      <c r="Z889" s="11"/>
    </row>
    <row r="890" spans="1:26" ht="14.25" customHeight="1">
      <c r="A890" s="11"/>
      <c r="B890" s="11"/>
      <c r="C890" s="11"/>
      <c r="D890" s="11"/>
      <c r="E890" s="11"/>
      <c r="F890" s="11"/>
      <c r="G890" s="11"/>
      <c r="H890" s="11"/>
      <c r="I890" s="46"/>
      <c r="J890" s="11"/>
      <c r="K890" s="11"/>
      <c r="L890" s="11"/>
      <c r="M890" s="11"/>
      <c r="N890" s="46"/>
      <c r="O890" s="11"/>
      <c r="P890" s="11"/>
      <c r="Q890" s="11"/>
      <c r="R890" s="11"/>
      <c r="S890" s="11"/>
      <c r="T890" s="11"/>
      <c r="U890" s="11"/>
      <c r="V890" s="11"/>
      <c r="W890" s="11"/>
      <c r="X890" s="11"/>
      <c r="Y890" s="11"/>
      <c r="Z890" s="11"/>
    </row>
    <row r="891" spans="1:26" ht="14.25" customHeight="1">
      <c r="A891" s="11"/>
      <c r="B891" s="11"/>
      <c r="C891" s="11"/>
      <c r="D891" s="11"/>
      <c r="E891" s="11"/>
      <c r="F891" s="11"/>
      <c r="G891" s="11"/>
      <c r="H891" s="11"/>
      <c r="I891" s="46"/>
      <c r="J891" s="11"/>
      <c r="K891" s="11"/>
      <c r="L891" s="11"/>
      <c r="M891" s="11"/>
      <c r="N891" s="46"/>
      <c r="O891" s="11"/>
      <c r="P891" s="11"/>
      <c r="Q891" s="11"/>
      <c r="R891" s="11"/>
      <c r="S891" s="11"/>
      <c r="T891" s="11"/>
      <c r="U891" s="11"/>
      <c r="V891" s="11"/>
      <c r="W891" s="11"/>
      <c r="X891" s="11"/>
      <c r="Y891" s="11"/>
      <c r="Z891" s="11"/>
    </row>
    <row r="892" spans="1:26" ht="14.25" customHeight="1">
      <c r="A892" s="11"/>
      <c r="B892" s="11"/>
      <c r="C892" s="11"/>
      <c r="D892" s="11"/>
      <c r="E892" s="11"/>
      <c r="F892" s="11"/>
      <c r="G892" s="11"/>
      <c r="H892" s="11"/>
      <c r="I892" s="46"/>
      <c r="J892" s="11"/>
      <c r="K892" s="11"/>
      <c r="L892" s="11"/>
      <c r="M892" s="11"/>
      <c r="N892" s="46"/>
      <c r="O892" s="11"/>
      <c r="P892" s="11"/>
      <c r="Q892" s="11"/>
      <c r="R892" s="11"/>
      <c r="S892" s="11"/>
      <c r="T892" s="11"/>
      <c r="U892" s="11"/>
      <c r="V892" s="11"/>
      <c r="W892" s="11"/>
      <c r="X892" s="11"/>
      <c r="Y892" s="11"/>
      <c r="Z892" s="11"/>
    </row>
    <row r="893" spans="1:26" ht="14.25" customHeight="1">
      <c r="A893" s="11"/>
      <c r="B893" s="11"/>
      <c r="C893" s="11"/>
      <c r="D893" s="11"/>
      <c r="E893" s="11"/>
      <c r="F893" s="11"/>
      <c r="G893" s="11"/>
      <c r="H893" s="11"/>
      <c r="I893" s="46"/>
      <c r="J893" s="11"/>
      <c r="K893" s="11"/>
      <c r="L893" s="11"/>
      <c r="M893" s="11"/>
      <c r="N893" s="46"/>
      <c r="O893" s="11"/>
      <c r="P893" s="11"/>
      <c r="Q893" s="11"/>
      <c r="R893" s="11"/>
      <c r="S893" s="11"/>
      <c r="T893" s="11"/>
      <c r="U893" s="11"/>
      <c r="V893" s="11"/>
      <c r="W893" s="11"/>
      <c r="X893" s="11"/>
      <c r="Y893" s="11"/>
      <c r="Z893" s="11"/>
    </row>
    <row r="894" spans="1:26" ht="14.25" customHeight="1">
      <c r="A894" s="11"/>
      <c r="B894" s="11"/>
      <c r="C894" s="11"/>
      <c r="D894" s="11"/>
      <c r="E894" s="11"/>
      <c r="F894" s="11"/>
      <c r="G894" s="11"/>
      <c r="H894" s="11"/>
      <c r="I894" s="46"/>
      <c r="J894" s="11"/>
      <c r="K894" s="11"/>
      <c r="L894" s="11"/>
      <c r="M894" s="11"/>
      <c r="N894" s="46"/>
      <c r="O894" s="11"/>
      <c r="P894" s="11"/>
      <c r="Q894" s="11"/>
      <c r="R894" s="11"/>
      <c r="S894" s="11"/>
      <c r="T894" s="11"/>
      <c r="U894" s="11"/>
      <c r="V894" s="11"/>
      <c r="W894" s="11"/>
      <c r="X894" s="11"/>
      <c r="Y894" s="11"/>
      <c r="Z894" s="11"/>
    </row>
    <row r="895" spans="1:26" ht="14.25" customHeight="1">
      <c r="A895" s="11"/>
      <c r="B895" s="11"/>
      <c r="C895" s="11"/>
      <c r="D895" s="11"/>
      <c r="E895" s="11"/>
      <c r="F895" s="11"/>
      <c r="G895" s="11"/>
      <c r="H895" s="11"/>
      <c r="I895" s="46"/>
      <c r="J895" s="11"/>
      <c r="K895" s="11"/>
      <c r="L895" s="11"/>
      <c r="M895" s="11"/>
      <c r="N895" s="46"/>
      <c r="O895" s="11"/>
      <c r="P895" s="11"/>
      <c r="Q895" s="11"/>
      <c r="R895" s="11"/>
      <c r="S895" s="11"/>
      <c r="T895" s="11"/>
      <c r="U895" s="11"/>
      <c r="V895" s="11"/>
      <c r="W895" s="11"/>
      <c r="X895" s="11"/>
      <c r="Y895" s="11"/>
      <c r="Z895" s="11"/>
    </row>
    <row r="896" spans="1:26" ht="14.25" customHeight="1">
      <c r="A896" s="11"/>
      <c r="B896" s="11"/>
      <c r="C896" s="11"/>
      <c r="D896" s="11"/>
      <c r="E896" s="11"/>
      <c r="F896" s="11"/>
      <c r="G896" s="11"/>
      <c r="H896" s="11"/>
      <c r="I896" s="46"/>
      <c r="J896" s="11"/>
      <c r="K896" s="11"/>
      <c r="L896" s="11"/>
      <c r="M896" s="11"/>
      <c r="N896" s="46"/>
      <c r="O896" s="11"/>
      <c r="P896" s="11"/>
      <c r="Q896" s="11"/>
      <c r="R896" s="11"/>
      <c r="S896" s="11"/>
      <c r="T896" s="11"/>
      <c r="U896" s="11"/>
      <c r="V896" s="11"/>
      <c r="W896" s="11"/>
      <c r="X896" s="11"/>
      <c r="Y896" s="11"/>
      <c r="Z896" s="11"/>
    </row>
    <row r="897" spans="1:26" ht="14.25" customHeight="1">
      <c r="A897" s="11"/>
      <c r="B897" s="11"/>
      <c r="C897" s="11"/>
      <c r="D897" s="11"/>
      <c r="E897" s="11"/>
      <c r="F897" s="11"/>
      <c r="G897" s="11"/>
      <c r="H897" s="11"/>
      <c r="I897" s="46"/>
      <c r="J897" s="11"/>
      <c r="K897" s="11"/>
      <c r="L897" s="11"/>
      <c r="M897" s="11"/>
      <c r="N897" s="46"/>
      <c r="O897" s="11"/>
      <c r="P897" s="11"/>
      <c r="Q897" s="11"/>
      <c r="R897" s="11"/>
      <c r="S897" s="11"/>
      <c r="T897" s="11"/>
      <c r="U897" s="11"/>
      <c r="V897" s="11"/>
      <c r="W897" s="11"/>
      <c r="X897" s="11"/>
      <c r="Y897" s="11"/>
      <c r="Z897" s="11"/>
    </row>
    <row r="898" spans="1:26" ht="14.25" customHeight="1">
      <c r="A898" s="11"/>
      <c r="B898" s="11"/>
      <c r="C898" s="11"/>
      <c r="D898" s="11"/>
      <c r="E898" s="11"/>
      <c r="F898" s="11"/>
      <c r="G898" s="11"/>
      <c r="H898" s="11"/>
      <c r="I898" s="46"/>
      <c r="J898" s="11"/>
      <c r="K898" s="11"/>
      <c r="L898" s="11"/>
      <c r="M898" s="11"/>
      <c r="N898" s="46"/>
      <c r="O898" s="11"/>
      <c r="P898" s="11"/>
      <c r="Q898" s="11"/>
      <c r="R898" s="11"/>
      <c r="S898" s="11"/>
      <c r="T898" s="11"/>
      <c r="U898" s="11"/>
      <c r="V898" s="11"/>
      <c r="W898" s="11"/>
      <c r="X898" s="11"/>
      <c r="Y898" s="11"/>
      <c r="Z898" s="11"/>
    </row>
    <row r="899" spans="1:26" ht="14.25" customHeight="1">
      <c r="A899" s="11"/>
      <c r="B899" s="11"/>
      <c r="C899" s="11"/>
      <c r="D899" s="11"/>
      <c r="E899" s="11"/>
      <c r="F899" s="11"/>
      <c r="G899" s="11"/>
      <c r="H899" s="11"/>
      <c r="I899" s="46"/>
      <c r="J899" s="11"/>
      <c r="K899" s="11"/>
      <c r="L899" s="11"/>
      <c r="M899" s="11"/>
      <c r="N899" s="46"/>
      <c r="O899" s="11"/>
      <c r="P899" s="11"/>
      <c r="Q899" s="11"/>
      <c r="R899" s="11"/>
      <c r="S899" s="11"/>
      <c r="T899" s="11"/>
      <c r="U899" s="11"/>
      <c r="V899" s="11"/>
      <c r="W899" s="11"/>
      <c r="X899" s="11"/>
      <c r="Y899" s="11"/>
      <c r="Z899" s="11"/>
    </row>
    <row r="900" spans="1:26" ht="14.25" customHeight="1">
      <c r="A900" s="11"/>
      <c r="B900" s="11"/>
      <c r="C900" s="11"/>
      <c r="D900" s="11"/>
      <c r="E900" s="11"/>
      <c r="F900" s="11"/>
      <c r="G900" s="11"/>
      <c r="H900" s="11"/>
      <c r="I900" s="46"/>
      <c r="J900" s="11"/>
      <c r="K900" s="11"/>
      <c r="L900" s="11"/>
      <c r="M900" s="11"/>
      <c r="N900" s="46"/>
      <c r="O900" s="11"/>
      <c r="P900" s="11"/>
      <c r="Q900" s="11"/>
      <c r="R900" s="11"/>
      <c r="S900" s="11"/>
      <c r="T900" s="11"/>
      <c r="U900" s="11"/>
      <c r="V900" s="11"/>
      <c r="W900" s="11"/>
      <c r="X900" s="11"/>
      <c r="Y900" s="11"/>
      <c r="Z900" s="11"/>
    </row>
    <row r="901" spans="1:26" ht="14.25" customHeight="1">
      <c r="A901" s="11"/>
      <c r="B901" s="11"/>
      <c r="C901" s="11"/>
      <c r="D901" s="11"/>
      <c r="E901" s="11"/>
      <c r="F901" s="11"/>
      <c r="G901" s="11"/>
      <c r="H901" s="11"/>
      <c r="I901" s="46"/>
      <c r="J901" s="11"/>
      <c r="K901" s="11"/>
      <c r="L901" s="11"/>
      <c r="M901" s="11"/>
      <c r="N901" s="46"/>
      <c r="O901" s="11"/>
      <c r="P901" s="11"/>
      <c r="Q901" s="11"/>
      <c r="R901" s="11"/>
      <c r="S901" s="11"/>
      <c r="T901" s="11"/>
      <c r="U901" s="11"/>
      <c r="V901" s="11"/>
      <c r="W901" s="11"/>
      <c r="X901" s="11"/>
      <c r="Y901" s="11"/>
      <c r="Z901" s="11"/>
    </row>
    <row r="902" spans="1:26" ht="14.25" customHeight="1">
      <c r="A902" s="11"/>
      <c r="B902" s="11"/>
      <c r="C902" s="11"/>
      <c r="D902" s="11"/>
      <c r="E902" s="11"/>
      <c r="F902" s="11"/>
      <c r="G902" s="11"/>
      <c r="H902" s="11"/>
      <c r="I902" s="46"/>
      <c r="J902" s="11"/>
      <c r="K902" s="11"/>
      <c r="L902" s="11"/>
      <c r="M902" s="11"/>
      <c r="N902" s="46"/>
      <c r="O902" s="11"/>
      <c r="P902" s="11"/>
      <c r="Q902" s="11"/>
      <c r="R902" s="11"/>
      <c r="S902" s="11"/>
      <c r="T902" s="11"/>
      <c r="U902" s="11"/>
      <c r="V902" s="11"/>
      <c r="W902" s="11"/>
      <c r="X902" s="11"/>
      <c r="Y902" s="11"/>
      <c r="Z902" s="11"/>
    </row>
    <row r="903" spans="1:26" ht="14.25" customHeight="1">
      <c r="A903" s="11"/>
      <c r="B903" s="11"/>
      <c r="C903" s="11"/>
      <c r="D903" s="11"/>
      <c r="E903" s="11"/>
      <c r="F903" s="11"/>
      <c r="G903" s="11"/>
      <c r="H903" s="11"/>
      <c r="I903" s="46"/>
      <c r="J903" s="11"/>
      <c r="K903" s="11"/>
      <c r="L903" s="11"/>
      <c r="M903" s="11"/>
      <c r="N903" s="46"/>
      <c r="O903" s="11"/>
      <c r="P903" s="11"/>
      <c r="Q903" s="11"/>
      <c r="R903" s="11"/>
      <c r="S903" s="11"/>
      <c r="T903" s="11"/>
      <c r="U903" s="11"/>
      <c r="V903" s="11"/>
      <c r="W903" s="11"/>
      <c r="X903" s="11"/>
      <c r="Y903" s="11"/>
      <c r="Z903" s="11"/>
    </row>
    <row r="904" spans="1:26" ht="14.25" customHeight="1">
      <c r="A904" s="11"/>
      <c r="B904" s="11"/>
      <c r="C904" s="11"/>
      <c r="D904" s="11"/>
      <c r="E904" s="11"/>
      <c r="F904" s="11"/>
      <c r="G904" s="11"/>
      <c r="H904" s="11"/>
      <c r="I904" s="46"/>
      <c r="J904" s="11"/>
      <c r="K904" s="11"/>
      <c r="L904" s="11"/>
      <c r="M904" s="11"/>
      <c r="N904" s="46"/>
      <c r="O904" s="11"/>
      <c r="P904" s="11"/>
      <c r="Q904" s="11"/>
      <c r="R904" s="11"/>
      <c r="S904" s="11"/>
      <c r="T904" s="11"/>
      <c r="U904" s="11"/>
      <c r="V904" s="11"/>
      <c r="W904" s="11"/>
      <c r="X904" s="11"/>
      <c r="Y904" s="11"/>
      <c r="Z904" s="11"/>
    </row>
    <row r="905" spans="1:26" ht="14.25" customHeight="1">
      <c r="A905" s="11"/>
      <c r="B905" s="11"/>
      <c r="C905" s="11"/>
      <c r="D905" s="11"/>
      <c r="E905" s="11"/>
      <c r="F905" s="11"/>
      <c r="G905" s="11"/>
      <c r="H905" s="11"/>
      <c r="I905" s="46"/>
      <c r="J905" s="11"/>
      <c r="K905" s="11"/>
      <c r="L905" s="11"/>
      <c r="M905" s="11"/>
      <c r="N905" s="46"/>
      <c r="O905" s="11"/>
      <c r="P905" s="11"/>
      <c r="Q905" s="11"/>
      <c r="R905" s="11"/>
      <c r="S905" s="11"/>
      <c r="T905" s="11"/>
      <c r="U905" s="11"/>
      <c r="V905" s="11"/>
      <c r="W905" s="11"/>
      <c r="X905" s="11"/>
      <c r="Y905" s="11"/>
      <c r="Z905" s="11"/>
    </row>
    <row r="906" spans="1:26" ht="14.25" customHeight="1">
      <c r="A906" s="11"/>
      <c r="B906" s="11"/>
      <c r="C906" s="11"/>
      <c r="D906" s="11"/>
      <c r="E906" s="11"/>
      <c r="F906" s="11"/>
      <c r="G906" s="11"/>
      <c r="H906" s="11"/>
      <c r="I906" s="46"/>
      <c r="J906" s="11"/>
      <c r="K906" s="11"/>
      <c r="L906" s="11"/>
      <c r="M906" s="11"/>
      <c r="N906" s="46"/>
      <c r="O906" s="11"/>
      <c r="P906" s="11"/>
      <c r="Q906" s="11"/>
      <c r="R906" s="11"/>
      <c r="S906" s="11"/>
      <c r="T906" s="11"/>
      <c r="U906" s="11"/>
      <c r="V906" s="11"/>
      <c r="W906" s="11"/>
      <c r="X906" s="11"/>
      <c r="Y906" s="11"/>
      <c r="Z906" s="11"/>
    </row>
    <row r="907" spans="1:26" ht="14.25" customHeight="1">
      <c r="A907" s="11"/>
      <c r="B907" s="11"/>
      <c r="C907" s="11"/>
      <c r="D907" s="11"/>
      <c r="E907" s="11"/>
      <c r="F907" s="11"/>
      <c r="G907" s="11"/>
      <c r="H907" s="11"/>
      <c r="I907" s="46"/>
      <c r="J907" s="11"/>
      <c r="K907" s="11"/>
      <c r="L907" s="11"/>
      <c r="M907" s="11"/>
      <c r="N907" s="46"/>
      <c r="O907" s="11"/>
      <c r="P907" s="11"/>
      <c r="Q907" s="11"/>
      <c r="R907" s="11"/>
      <c r="S907" s="11"/>
      <c r="T907" s="11"/>
      <c r="U907" s="11"/>
      <c r="V907" s="11"/>
      <c r="W907" s="11"/>
      <c r="X907" s="11"/>
      <c r="Y907" s="11"/>
      <c r="Z907" s="11"/>
    </row>
    <row r="908" spans="1:26" ht="14.25" customHeight="1">
      <c r="A908" s="11"/>
      <c r="B908" s="11"/>
      <c r="C908" s="11"/>
      <c r="D908" s="11"/>
      <c r="E908" s="11"/>
      <c r="F908" s="11"/>
      <c r="G908" s="11"/>
      <c r="H908" s="11"/>
      <c r="I908" s="46"/>
      <c r="J908" s="11"/>
      <c r="K908" s="11"/>
      <c r="L908" s="11"/>
      <c r="M908" s="11"/>
      <c r="N908" s="46"/>
      <c r="O908" s="11"/>
      <c r="P908" s="11"/>
      <c r="Q908" s="11"/>
      <c r="R908" s="11"/>
      <c r="S908" s="11"/>
      <c r="T908" s="11"/>
      <c r="U908" s="11"/>
      <c r="V908" s="11"/>
      <c r="W908" s="11"/>
      <c r="X908" s="11"/>
      <c r="Y908" s="11"/>
      <c r="Z908" s="11"/>
    </row>
    <row r="909" spans="1:26" ht="14.25" customHeight="1">
      <c r="A909" s="11"/>
      <c r="B909" s="11"/>
      <c r="C909" s="11"/>
      <c r="D909" s="11"/>
      <c r="E909" s="11"/>
      <c r="F909" s="11"/>
      <c r="G909" s="11"/>
      <c r="H909" s="11"/>
      <c r="I909" s="46"/>
      <c r="J909" s="11"/>
      <c r="K909" s="11"/>
      <c r="L909" s="11"/>
      <c r="M909" s="11"/>
      <c r="N909" s="46"/>
      <c r="O909" s="11"/>
      <c r="P909" s="11"/>
      <c r="Q909" s="11"/>
      <c r="R909" s="11"/>
      <c r="S909" s="11"/>
      <c r="T909" s="11"/>
      <c r="U909" s="11"/>
      <c r="V909" s="11"/>
      <c r="W909" s="11"/>
      <c r="X909" s="11"/>
      <c r="Y909" s="11"/>
      <c r="Z909" s="11"/>
    </row>
    <row r="910" spans="1:26" ht="14.25" customHeight="1">
      <c r="A910" s="11"/>
      <c r="B910" s="11"/>
      <c r="C910" s="11"/>
      <c r="D910" s="11"/>
      <c r="E910" s="11"/>
      <c r="F910" s="11"/>
      <c r="G910" s="11"/>
      <c r="H910" s="11"/>
      <c r="I910" s="46"/>
      <c r="J910" s="11"/>
      <c r="K910" s="11"/>
      <c r="L910" s="11"/>
      <c r="M910" s="11"/>
      <c r="N910" s="46"/>
      <c r="O910" s="11"/>
      <c r="P910" s="11"/>
      <c r="Q910" s="11"/>
      <c r="R910" s="11"/>
      <c r="S910" s="11"/>
      <c r="T910" s="11"/>
      <c r="U910" s="11"/>
      <c r="V910" s="11"/>
      <c r="W910" s="11"/>
      <c r="X910" s="11"/>
      <c r="Y910" s="11"/>
      <c r="Z910" s="11"/>
    </row>
    <row r="911" spans="1:26" ht="14.25" customHeight="1">
      <c r="A911" s="11"/>
      <c r="B911" s="11"/>
      <c r="C911" s="11"/>
      <c r="D911" s="11"/>
      <c r="E911" s="11"/>
      <c r="F911" s="11"/>
      <c r="G911" s="11"/>
      <c r="H911" s="11"/>
      <c r="I911" s="46"/>
      <c r="J911" s="11"/>
      <c r="K911" s="11"/>
      <c r="L911" s="11"/>
      <c r="M911" s="11"/>
      <c r="N911" s="46"/>
      <c r="O911" s="11"/>
      <c r="P911" s="11"/>
      <c r="Q911" s="11"/>
      <c r="R911" s="11"/>
      <c r="S911" s="11"/>
      <c r="T911" s="11"/>
      <c r="U911" s="11"/>
      <c r="V911" s="11"/>
      <c r="W911" s="11"/>
      <c r="X911" s="11"/>
      <c r="Y911" s="11"/>
      <c r="Z911" s="11"/>
    </row>
    <row r="912" spans="1:26" ht="14.25" customHeight="1">
      <c r="A912" s="11"/>
      <c r="B912" s="11"/>
      <c r="C912" s="11"/>
      <c r="D912" s="11"/>
      <c r="E912" s="11"/>
      <c r="F912" s="11"/>
      <c r="G912" s="11"/>
      <c r="H912" s="11"/>
      <c r="I912" s="46"/>
      <c r="J912" s="11"/>
      <c r="K912" s="11"/>
      <c r="L912" s="11"/>
      <c r="M912" s="11"/>
      <c r="N912" s="46"/>
      <c r="O912" s="11"/>
      <c r="P912" s="11"/>
      <c r="Q912" s="11"/>
      <c r="R912" s="11"/>
      <c r="S912" s="11"/>
      <c r="T912" s="11"/>
      <c r="U912" s="11"/>
      <c r="V912" s="11"/>
      <c r="W912" s="11"/>
      <c r="X912" s="11"/>
      <c r="Y912" s="11"/>
      <c r="Z912" s="11"/>
    </row>
    <row r="913" spans="1:26" ht="14.25" customHeight="1">
      <c r="A913" s="11"/>
      <c r="B913" s="11"/>
      <c r="C913" s="11"/>
      <c r="D913" s="11"/>
      <c r="E913" s="11"/>
      <c r="F913" s="11"/>
      <c r="G913" s="11"/>
      <c r="H913" s="11"/>
      <c r="I913" s="46"/>
      <c r="J913" s="11"/>
      <c r="K913" s="11"/>
      <c r="L913" s="11"/>
      <c r="M913" s="11"/>
      <c r="N913" s="46"/>
      <c r="O913" s="11"/>
      <c r="P913" s="11"/>
      <c r="Q913" s="11"/>
      <c r="R913" s="11"/>
      <c r="S913" s="11"/>
      <c r="T913" s="11"/>
      <c r="U913" s="11"/>
      <c r="V913" s="11"/>
      <c r="W913" s="11"/>
      <c r="X913" s="11"/>
      <c r="Y913" s="11"/>
      <c r="Z913" s="11"/>
    </row>
    <row r="914" spans="1:26" ht="14.25" customHeight="1">
      <c r="A914" s="11"/>
      <c r="B914" s="11"/>
      <c r="C914" s="11"/>
      <c r="D914" s="11"/>
      <c r="E914" s="11"/>
      <c r="F914" s="11"/>
      <c r="G914" s="11"/>
      <c r="H914" s="11"/>
      <c r="I914" s="46"/>
      <c r="J914" s="11"/>
      <c r="K914" s="11"/>
      <c r="L914" s="11"/>
      <c r="M914" s="11"/>
      <c r="N914" s="46"/>
      <c r="O914" s="11"/>
      <c r="P914" s="11"/>
      <c r="Q914" s="11"/>
      <c r="R914" s="11"/>
      <c r="S914" s="11"/>
      <c r="T914" s="11"/>
      <c r="U914" s="11"/>
      <c r="V914" s="11"/>
      <c r="W914" s="11"/>
      <c r="X914" s="11"/>
      <c r="Y914" s="11"/>
      <c r="Z914" s="11"/>
    </row>
    <row r="915" spans="1:26" ht="14.25" customHeight="1">
      <c r="A915" s="11"/>
      <c r="B915" s="11"/>
      <c r="C915" s="11"/>
      <c r="D915" s="11"/>
      <c r="E915" s="11"/>
      <c r="F915" s="11"/>
      <c r="G915" s="11"/>
      <c r="H915" s="11"/>
      <c r="I915" s="46"/>
      <c r="J915" s="11"/>
      <c r="K915" s="11"/>
      <c r="L915" s="11"/>
      <c r="M915" s="11"/>
      <c r="N915" s="46"/>
      <c r="O915" s="11"/>
      <c r="P915" s="11"/>
      <c r="Q915" s="11"/>
      <c r="R915" s="11"/>
      <c r="S915" s="11"/>
      <c r="T915" s="11"/>
      <c r="U915" s="11"/>
      <c r="V915" s="11"/>
      <c r="W915" s="11"/>
      <c r="X915" s="11"/>
      <c r="Y915" s="11"/>
      <c r="Z915" s="11"/>
    </row>
    <row r="916" spans="1:26" ht="14.25" customHeight="1">
      <c r="A916" s="11"/>
      <c r="B916" s="11"/>
      <c r="C916" s="11"/>
      <c r="D916" s="11"/>
      <c r="E916" s="11"/>
      <c r="F916" s="11"/>
      <c r="G916" s="11"/>
      <c r="H916" s="11"/>
      <c r="I916" s="46"/>
      <c r="J916" s="11"/>
      <c r="K916" s="11"/>
      <c r="L916" s="11"/>
      <c r="M916" s="11"/>
      <c r="N916" s="46"/>
      <c r="O916" s="11"/>
      <c r="P916" s="11"/>
      <c r="Q916" s="11"/>
      <c r="R916" s="11"/>
      <c r="S916" s="11"/>
      <c r="T916" s="11"/>
      <c r="U916" s="11"/>
      <c r="V916" s="11"/>
      <c r="W916" s="11"/>
      <c r="X916" s="11"/>
      <c r="Y916" s="11"/>
      <c r="Z916" s="11"/>
    </row>
    <row r="917" spans="1:26" ht="14.25" customHeight="1">
      <c r="A917" s="11"/>
      <c r="B917" s="11"/>
      <c r="C917" s="11"/>
      <c r="D917" s="11"/>
      <c r="E917" s="11"/>
      <c r="F917" s="11"/>
      <c r="G917" s="11"/>
      <c r="H917" s="11"/>
      <c r="I917" s="46"/>
      <c r="J917" s="11"/>
      <c r="K917" s="11"/>
      <c r="L917" s="11"/>
      <c r="M917" s="11"/>
      <c r="N917" s="46"/>
      <c r="O917" s="11"/>
      <c r="P917" s="11"/>
      <c r="Q917" s="11"/>
      <c r="R917" s="11"/>
      <c r="S917" s="11"/>
      <c r="T917" s="11"/>
      <c r="U917" s="11"/>
      <c r="V917" s="11"/>
      <c r="W917" s="11"/>
      <c r="X917" s="11"/>
      <c r="Y917" s="11"/>
      <c r="Z917" s="11"/>
    </row>
    <row r="918" spans="1:26" ht="14.25" customHeight="1">
      <c r="A918" s="11"/>
      <c r="B918" s="11"/>
      <c r="C918" s="11"/>
      <c r="D918" s="11"/>
      <c r="E918" s="11"/>
      <c r="F918" s="11"/>
      <c r="G918" s="11"/>
      <c r="H918" s="11"/>
      <c r="I918" s="46"/>
      <c r="J918" s="11"/>
      <c r="K918" s="11"/>
      <c r="L918" s="11"/>
      <c r="M918" s="11"/>
      <c r="N918" s="46"/>
      <c r="O918" s="11"/>
      <c r="P918" s="11"/>
      <c r="Q918" s="11"/>
      <c r="R918" s="11"/>
      <c r="S918" s="11"/>
      <c r="T918" s="11"/>
      <c r="U918" s="11"/>
      <c r="V918" s="11"/>
      <c r="W918" s="11"/>
      <c r="X918" s="11"/>
      <c r="Y918" s="11"/>
      <c r="Z918" s="11"/>
    </row>
    <row r="919" spans="1:26" ht="14.25" customHeight="1">
      <c r="A919" s="11"/>
      <c r="B919" s="11"/>
      <c r="C919" s="11"/>
      <c r="D919" s="11"/>
      <c r="E919" s="11"/>
      <c r="F919" s="11"/>
      <c r="G919" s="11"/>
      <c r="H919" s="11"/>
      <c r="I919" s="46"/>
      <c r="J919" s="11"/>
      <c r="K919" s="11"/>
      <c r="L919" s="11"/>
      <c r="M919" s="11"/>
      <c r="N919" s="46"/>
      <c r="O919" s="11"/>
      <c r="P919" s="11"/>
      <c r="Q919" s="11"/>
      <c r="R919" s="11"/>
      <c r="S919" s="11"/>
      <c r="T919" s="11"/>
      <c r="U919" s="11"/>
      <c r="V919" s="11"/>
      <c r="W919" s="11"/>
      <c r="X919" s="11"/>
      <c r="Y919" s="11"/>
      <c r="Z919" s="11"/>
    </row>
    <row r="920" spans="1:26" ht="14.25" customHeight="1">
      <c r="A920" s="11"/>
      <c r="B920" s="11"/>
      <c r="C920" s="11"/>
      <c r="D920" s="11"/>
      <c r="E920" s="11"/>
      <c r="F920" s="11"/>
      <c r="G920" s="11"/>
      <c r="H920" s="11"/>
      <c r="I920" s="46"/>
      <c r="J920" s="11"/>
      <c r="K920" s="11"/>
      <c r="L920" s="11"/>
      <c r="M920" s="11"/>
      <c r="N920" s="46"/>
      <c r="O920" s="11"/>
      <c r="P920" s="11"/>
      <c r="Q920" s="11"/>
      <c r="R920" s="11"/>
      <c r="S920" s="11"/>
      <c r="T920" s="11"/>
      <c r="U920" s="11"/>
      <c r="V920" s="11"/>
      <c r="W920" s="11"/>
      <c r="X920" s="11"/>
      <c r="Y920" s="11"/>
      <c r="Z920" s="11"/>
    </row>
    <row r="921" spans="1:26" ht="14.25" customHeight="1">
      <c r="A921" s="11"/>
      <c r="B921" s="11"/>
      <c r="C921" s="11"/>
      <c r="D921" s="11"/>
      <c r="E921" s="11"/>
      <c r="F921" s="11"/>
      <c r="G921" s="11"/>
      <c r="H921" s="11"/>
      <c r="I921" s="46"/>
      <c r="J921" s="11"/>
      <c r="K921" s="11"/>
      <c r="L921" s="11"/>
      <c r="M921" s="11"/>
      <c r="N921" s="46"/>
      <c r="O921" s="11"/>
      <c r="P921" s="11"/>
      <c r="Q921" s="11"/>
      <c r="R921" s="11"/>
      <c r="S921" s="11"/>
      <c r="T921" s="11"/>
      <c r="U921" s="11"/>
      <c r="V921" s="11"/>
      <c r="W921" s="11"/>
      <c r="X921" s="11"/>
      <c r="Y921" s="11"/>
      <c r="Z921" s="11"/>
    </row>
    <row r="922" spans="1:26" ht="14.25" customHeight="1">
      <c r="A922" s="11"/>
      <c r="B922" s="11"/>
      <c r="C922" s="11"/>
      <c r="D922" s="11"/>
      <c r="E922" s="11"/>
      <c r="F922" s="11"/>
      <c r="G922" s="11"/>
      <c r="H922" s="11"/>
      <c r="I922" s="46"/>
      <c r="J922" s="11"/>
      <c r="K922" s="11"/>
      <c r="L922" s="11"/>
      <c r="M922" s="11"/>
      <c r="N922" s="46"/>
      <c r="O922" s="11"/>
      <c r="P922" s="11"/>
      <c r="Q922" s="11"/>
      <c r="R922" s="11"/>
      <c r="S922" s="11"/>
      <c r="T922" s="11"/>
      <c r="U922" s="11"/>
      <c r="V922" s="11"/>
      <c r="W922" s="11"/>
      <c r="X922" s="11"/>
      <c r="Y922" s="11"/>
      <c r="Z922" s="11"/>
    </row>
    <row r="923" spans="1:26" ht="14.25" customHeight="1">
      <c r="A923" s="11"/>
      <c r="B923" s="11"/>
      <c r="C923" s="11"/>
      <c r="D923" s="11"/>
      <c r="E923" s="11"/>
      <c r="F923" s="11"/>
      <c r="G923" s="11"/>
      <c r="H923" s="11"/>
      <c r="I923" s="46"/>
      <c r="J923" s="11"/>
      <c r="K923" s="11"/>
      <c r="L923" s="11"/>
      <c r="M923" s="11"/>
      <c r="N923" s="46"/>
      <c r="O923" s="11"/>
      <c r="P923" s="11"/>
      <c r="Q923" s="11"/>
      <c r="R923" s="11"/>
      <c r="S923" s="11"/>
      <c r="T923" s="11"/>
      <c r="U923" s="11"/>
      <c r="V923" s="11"/>
      <c r="W923" s="11"/>
      <c r="X923" s="11"/>
      <c r="Y923" s="11"/>
      <c r="Z923" s="11"/>
    </row>
    <row r="924" spans="1:26" ht="14.25" customHeight="1">
      <c r="A924" s="11"/>
      <c r="B924" s="11"/>
      <c r="C924" s="11"/>
      <c r="D924" s="11"/>
      <c r="E924" s="11"/>
      <c r="F924" s="11"/>
      <c r="G924" s="11"/>
      <c r="H924" s="11"/>
      <c r="I924" s="46"/>
      <c r="J924" s="11"/>
      <c r="K924" s="11"/>
      <c r="L924" s="11"/>
      <c r="M924" s="11"/>
      <c r="N924" s="46"/>
      <c r="O924" s="11"/>
      <c r="P924" s="11"/>
      <c r="Q924" s="11"/>
      <c r="R924" s="11"/>
      <c r="S924" s="11"/>
      <c r="T924" s="11"/>
      <c r="U924" s="11"/>
      <c r="V924" s="11"/>
      <c r="W924" s="11"/>
      <c r="X924" s="11"/>
      <c r="Y924" s="11"/>
      <c r="Z924" s="11"/>
    </row>
    <row r="925" spans="1:26" ht="14.25" customHeight="1">
      <c r="A925" s="11"/>
      <c r="B925" s="11"/>
      <c r="C925" s="11"/>
      <c r="D925" s="11"/>
      <c r="E925" s="11"/>
      <c r="F925" s="11"/>
      <c r="G925" s="11"/>
      <c r="H925" s="11"/>
      <c r="I925" s="46"/>
      <c r="J925" s="11"/>
      <c r="K925" s="11"/>
      <c r="L925" s="11"/>
      <c r="M925" s="11"/>
      <c r="N925" s="46"/>
      <c r="O925" s="11"/>
      <c r="P925" s="11"/>
      <c r="Q925" s="11"/>
      <c r="R925" s="11"/>
      <c r="S925" s="11"/>
      <c r="T925" s="11"/>
      <c r="U925" s="11"/>
      <c r="V925" s="11"/>
      <c r="W925" s="11"/>
      <c r="X925" s="11"/>
      <c r="Y925" s="11"/>
      <c r="Z925" s="11"/>
    </row>
    <row r="926" spans="1:26" ht="14.25" customHeight="1">
      <c r="A926" s="11"/>
      <c r="B926" s="11"/>
      <c r="C926" s="11"/>
      <c r="D926" s="11"/>
      <c r="E926" s="11"/>
      <c r="F926" s="11"/>
      <c r="G926" s="11"/>
      <c r="H926" s="11"/>
      <c r="I926" s="46"/>
      <c r="J926" s="11"/>
      <c r="K926" s="11"/>
      <c r="L926" s="11"/>
      <c r="M926" s="11"/>
      <c r="N926" s="46"/>
      <c r="O926" s="11"/>
      <c r="P926" s="11"/>
      <c r="Q926" s="11"/>
      <c r="R926" s="11"/>
      <c r="S926" s="11"/>
      <c r="T926" s="11"/>
      <c r="U926" s="11"/>
      <c r="V926" s="11"/>
      <c r="W926" s="11"/>
      <c r="X926" s="11"/>
      <c r="Y926" s="11"/>
      <c r="Z926" s="11"/>
    </row>
    <row r="927" spans="1:26" ht="14.25" customHeight="1">
      <c r="A927" s="11"/>
      <c r="B927" s="11"/>
      <c r="C927" s="11"/>
      <c r="D927" s="11"/>
      <c r="E927" s="11"/>
      <c r="F927" s="11"/>
      <c r="G927" s="11"/>
      <c r="H927" s="11"/>
      <c r="I927" s="46"/>
      <c r="J927" s="11"/>
      <c r="K927" s="11"/>
      <c r="L927" s="11"/>
      <c r="M927" s="11"/>
      <c r="N927" s="46"/>
      <c r="O927" s="11"/>
      <c r="P927" s="11"/>
      <c r="Q927" s="11"/>
      <c r="R927" s="11"/>
      <c r="S927" s="11"/>
      <c r="T927" s="11"/>
      <c r="U927" s="11"/>
      <c r="V927" s="11"/>
      <c r="W927" s="11"/>
      <c r="X927" s="11"/>
      <c r="Y927" s="11"/>
      <c r="Z927" s="11"/>
    </row>
    <row r="928" spans="1:26" ht="14.25" customHeight="1">
      <c r="A928" s="11"/>
      <c r="B928" s="11"/>
      <c r="C928" s="11"/>
      <c r="D928" s="11"/>
      <c r="E928" s="11"/>
      <c r="F928" s="11"/>
      <c r="G928" s="11"/>
      <c r="H928" s="11"/>
      <c r="I928" s="46"/>
      <c r="J928" s="11"/>
      <c r="K928" s="11"/>
      <c r="L928" s="11"/>
      <c r="M928" s="11"/>
      <c r="N928" s="46"/>
      <c r="O928" s="11"/>
      <c r="P928" s="11"/>
      <c r="Q928" s="11"/>
      <c r="R928" s="11"/>
      <c r="S928" s="11"/>
      <c r="T928" s="11"/>
      <c r="U928" s="11"/>
      <c r="V928" s="11"/>
      <c r="W928" s="11"/>
      <c r="X928" s="11"/>
      <c r="Y928" s="11"/>
      <c r="Z928" s="11"/>
    </row>
    <row r="929" spans="1:26" ht="14.25" customHeight="1">
      <c r="A929" s="11"/>
      <c r="B929" s="11"/>
      <c r="C929" s="11"/>
      <c r="D929" s="11"/>
      <c r="E929" s="11"/>
      <c r="F929" s="11"/>
      <c r="G929" s="11"/>
      <c r="H929" s="11"/>
      <c r="I929" s="46"/>
      <c r="J929" s="11"/>
      <c r="K929" s="11"/>
      <c r="L929" s="11"/>
      <c r="M929" s="11"/>
      <c r="N929" s="46"/>
      <c r="O929" s="11"/>
      <c r="P929" s="11"/>
      <c r="Q929" s="11"/>
      <c r="R929" s="11"/>
      <c r="S929" s="11"/>
      <c r="T929" s="11"/>
      <c r="U929" s="11"/>
      <c r="V929" s="11"/>
      <c r="W929" s="11"/>
      <c r="X929" s="11"/>
      <c r="Y929" s="11"/>
      <c r="Z929" s="11"/>
    </row>
    <row r="930" spans="1:26" ht="14.25" customHeight="1">
      <c r="A930" s="11"/>
      <c r="B930" s="11"/>
      <c r="C930" s="11"/>
      <c r="D930" s="11"/>
      <c r="E930" s="11"/>
      <c r="F930" s="11"/>
      <c r="G930" s="11"/>
      <c r="H930" s="11"/>
      <c r="I930" s="46"/>
      <c r="J930" s="11"/>
      <c r="K930" s="11"/>
      <c r="L930" s="11"/>
      <c r="M930" s="11"/>
      <c r="N930" s="46"/>
      <c r="O930" s="11"/>
      <c r="P930" s="11"/>
      <c r="Q930" s="11"/>
      <c r="R930" s="11"/>
      <c r="S930" s="11"/>
      <c r="T930" s="11"/>
      <c r="U930" s="11"/>
      <c r="V930" s="11"/>
      <c r="W930" s="11"/>
      <c r="X930" s="11"/>
      <c r="Y930" s="11"/>
      <c r="Z930" s="11"/>
    </row>
    <row r="931" spans="1:26" ht="14.25" customHeight="1">
      <c r="A931" s="11"/>
      <c r="B931" s="11"/>
      <c r="C931" s="11"/>
      <c r="D931" s="11"/>
      <c r="E931" s="11"/>
      <c r="F931" s="11"/>
      <c r="G931" s="11"/>
      <c r="H931" s="11"/>
      <c r="I931" s="46"/>
      <c r="J931" s="11"/>
      <c r="K931" s="11"/>
      <c r="L931" s="11"/>
      <c r="M931" s="11"/>
      <c r="N931" s="46"/>
      <c r="O931" s="11"/>
      <c r="P931" s="11"/>
      <c r="Q931" s="11"/>
      <c r="R931" s="11"/>
      <c r="S931" s="11"/>
      <c r="T931" s="11"/>
      <c r="U931" s="11"/>
      <c r="V931" s="11"/>
      <c r="W931" s="11"/>
      <c r="X931" s="11"/>
      <c r="Y931" s="11"/>
      <c r="Z931" s="11"/>
    </row>
    <row r="932" spans="1:26" ht="14.25" customHeight="1">
      <c r="A932" s="11"/>
      <c r="B932" s="11"/>
      <c r="C932" s="11"/>
      <c r="D932" s="11"/>
      <c r="E932" s="11"/>
      <c r="F932" s="11"/>
      <c r="G932" s="11"/>
      <c r="H932" s="11"/>
      <c r="I932" s="46"/>
      <c r="J932" s="11"/>
      <c r="K932" s="11"/>
      <c r="L932" s="11"/>
      <c r="M932" s="11"/>
      <c r="N932" s="46"/>
      <c r="O932" s="11"/>
      <c r="P932" s="11"/>
      <c r="Q932" s="11"/>
      <c r="R932" s="11"/>
      <c r="S932" s="11"/>
      <c r="T932" s="11"/>
      <c r="U932" s="11"/>
      <c r="V932" s="11"/>
      <c r="W932" s="11"/>
      <c r="X932" s="11"/>
      <c r="Y932" s="11"/>
      <c r="Z932" s="11"/>
    </row>
    <row r="933" spans="1:26" ht="14.25" customHeight="1">
      <c r="A933" s="11"/>
      <c r="B933" s="11"/>
      <c r="C933" s="11"/>
      <c r="D933" s="11"/>
      <c r="E933" s="11"/>
      <c r="F933" s="11"/>
      <c r="G933" s="11"/>
      <c r="H933" s="11"/>
      <c r="I933" s="46"/>
      <c r="J933" s="11"/>
      <c r="K933" s="11"/>
      <c r="L933" s="11"/>
      <c r="M933" s="11"/>
      <c r="N933" s="46"/>
      <c r="O933" s="11"/>
      <c r="P933" s="11"/>
      <c r="Q933" s="11"/>
      <c r="R933" s="11"/>
      <c r="S933" s="11"/>
      <c r="T933" s="11"/>
      <c r="U933" s="11"/>
      <c r="V933" s="11"/>
      <c r="W933" s="11"/>
      <c r="X933" s="11"/>
      <c r="Y933" s="11"/>
      <c r="Z933" s="11"/>
    </row>
    <row r="934" spans="1:26" ht="14.25" customHeight="1">
      <c r="A934" s="11"/>
      <c r="B934" s="11"/>
      <c r="C934" s="11"/>
      <c r="D934" s="11"/>
      <c r="E934" s="11"/>
      <c r="F934" s="11"/>
      <c r="G934" s="11"/>
      <c r="H934" s="11"/>
      <c r="I934" s="46"/>
      <c r="J934" s="11"/>
      <c r="K934" s="11"/>
      <c r="L934" s="11"/>
      <c r="M934" s="11"/>
      <c r="N934" s="46"/>
      <c r="O934" s="11"/>
      <c r="P934" s="11"/>
      <c r="Q934" s="11"/>
      <c r="R934" s="11"/>
      <c r="S934" s="11"/>
      <c r="T934" s="11"/>
      <c r="U934" s="11"/>
      <c r="V934" s="11"/>
      <c r="W934" s="11"/>
      <c r="X934" s="11"/>
      <c r="Y934" s="11"/>
      <c r="Z934" s="11"/>
    </row>
    <row r="935" spans="1:26" ht="14.25" customHeight="1">
      <c r="A935" s="11"/>
      <c r="B935" s="11"/>
      <c r="C935" s="11"/>
      <c r="D935" s="11"/>
      <c r="E935" s="11"/>
      <c r="F935" s="11"/>
      <c r="G935" s="11"/>
      <c r="H935" s="11"/>
      <c r="I935" s="46"/>
      <c r="J935" s="11"/>
      <c r="K935" s="11"/>
      <c r="L935" s="11"/>
      <c r="M935" s="11"/>
      <c r="N935" s="46"/>
      <c r="O935" s="11"/>
      <c r="P935" s="11"/>
      <c r="Q935" s="11"/>
      <c r="R935" s="11"/>
      <c r="S935" s="11"/>
      <c r="T935" s="11"/>
      <c r="U935" s="11"/>
      <c r="V935" s="11"/>
      <c r="W935" s="11"/>
      <c r="X935" s="11"/>
      <c r="Y935" s="11"/>
      <c r="Z935" s="11"/>
    </row>
    <row r="936" spans="1:26" ht="14.25" customHeight="1">
      <c r="A936" s="11"/>
      <c r="B936" s="11"/>
      <c r="C936" s="11"/>
      <c r="D936" s="11"/>
      <c r="E936" s="11"/>
      <c r="F936" s="11"/>
      <c r="G936" s="11"/>
      <c r="H936" s="11"/>
      <c r="I936" s="46"/>
      <c r="J936" s="11"/>
      <c r="K936" s="11"/>
      <c r="L936" s="11"/>
      <c r="M936" s="11"/>
      <c r="N936" s="46"/>
      <c r="O936" s="11"/>
      <c r="P936" s="11"/>
      <c r="Q936" s="11"/>
      <c r="R936" s="11"/>
      <c r="S936" s="11"/>
      <c r="T936" s="11"/>
      <c r="U936" s="11"/>
      <c r="V936" s="11"/>
      <c r="W936" s="11"/>
      <c r="X936" s="11"/>
      <c r="Y936" s="11"/>
      <c r="Z936" s="11"/>
    </row>
    <row r="937" spans="1:26" ht="14.25" customHeight="1">
      <c r="A937" s="11"/>
      <c r="B937" s="11"/>
      <c r="C937" s="11"/>
      <c r="D937" s="11"/>
      <c r="E937" s="11"/>
      <c r="F937" s="11"/>
      <c r="G937" s="11"/>
      <c r="H937" s="11"/>
      <c r="I937" s="46"/>
      <c r="J937" s="11"/>
      <c r="K937" s="11"/>
      <c r="L937" s="11"/>
      <c r="M937" s="11"/>
      <c r="N937" s="46"/>
      <c r="O937" s="11"/>
      <c r="P937" s="11"/>
      <c r="Q937" s="11"/>
      <c r="R937" s="11"/>
      <c r="S937" s="11"/>
      <c r="T937" s="11"/>
      <c r="U937" s="11"/>
      <c r="V937" s="11"/>
      <c r="W937" s="11"/>
      <c r="X937" s="11"/>
      <c r="Y937" s="11"/>
      <c r="Z937" s="11"/>
    </row>
    <row r="938" spans="1:26" ht="14.25" customHeight="1">
      <c r="A938" s="11"/>
      <c r="B938" s="11"/>
      <c r="C938" s="11"/>
      <c r="D938" s="11"/>
      <c r="E938" s="11"/>
      <c r="F938" s="11"/>
      <c r="G938" s="11"/>
      <c r="H938" s="11"/>
      <c r="I938" s="46"/>
      <c r="J938" s="11"/>
      <c r="K938" s="11"/>
      <c r="L938" s="11"/>
      <c r="M938" s="11"/>
      <c r="N938" s="46"/>
      <c r="O938" s="11"/>
      <c r="P938" s="11"/>
      <c r="Q938" s="11"/>
      <c r="R938" s="11"/>
      <c r="S938" s="11"/>
      <c r="T938" s="11"/>
      <c r="U938" s="11"/>
      <c r="V938" s="11"/>
      <c r="W938" s="11"/>
      <c r="X938" s="11"/>
      <c r="Y938" s="11"/>
      <c r="Z938" s="11"/>
    </row>
    <row r="939" spans="1:26" ht="14.25" customHeight="1">
      <c r="A939" s="11"/>
      <c r="B939" s="11"/>
      <c r="C939" s="11"/>
      <c r="D939" s="11"/>
      <c r="E939" s="11"/>
      <c r="F939" s="11"/>
      <c r="G939" s="11"/>
      <c r="H939" s="11"/>
      <c r="I939" s="46"/>
      <c r="J939" s="11"/>
      <c r="K939" s="11"/>
      <c r="L939" s="11"/>
      <c r="M939" s="11"/>
      <c r="N939" s="46"/>
      <c r="O939" s="11"/>
      <c r="P939" s="11"/>
      <c r="Q939" s="11"/>
      <c r="R939" s="11"/>
      <c r="S939" s="11"/>
      <c r="T939" s="11"/>
      <c r="U939" s="11"/>
      <c r="V939" s="11"/>
      <c r="W939" s="11"/>
      <c r="X939" s="11"/>
      <c r="Y939" s="11"/>
      <c r="Z939" s="11"/>
    </row>
    <row r="940" spans="1:26" ht="14.25" customHeight="1">
      <c r="A940" s="11"/>
      <c r="B940" s="11"/>
      <c r="C940" s="11"/>
      <c r="D940" s="11"/>
      <c r="E940" s="11"/>
      <c r="F940" s="11"/>
      <c r="G940" s="11"/>
      <c r="H940" s="11"/>
      <c r="I940" s="46"/>
      <c r="J940" s="11"/>
      <c r="K940" s="11"/>
      <c r="L940" s="11"/>
      <c r="M940" s="11"/>
      <c r="N940" s="46"/>
      <c r="O940" s="11"/>
      <c r="P940" s="11"/>
      <c r="Q940" s="11"/>
      <c r="R940" s="11"/>
      <c r="S940" s="11"/>
      <c r="T940" s="11"/>
      <c r="U940" s="11"/>
      <c r="V940" s="11"/>
      <c r="W940" s="11"/>
      <c r="X940" s="11"/>
      <c r="Y940" s="11"/>
      <c r="Z940" s="11"/>
    </row>
    <row r="941" spans="1:26" ht="14.25" customHeight="1">
      <c r="A941" s="11"/>
      <c r="B941" s="11"/>
      <c r="C941" s="11"/>
      <c r="D941" s="11"/>
      <c r="E941" s="11"/>
      <c r="F941" s="11"/>
      <c r="G941" s="11"/>
      <c r="H941" s="11"/>
      <c r="I941" s="46"/>
      <c r="J941" s="11"/>
      <c r="K941" s="11"/>
      <c r="L941" s="11"/>
      <c r="M941" s="11"/>
      <c r="N941" s="46"/>
      <c r="O941" s="11"/>
      <c r="P941" s="11"/>
      <c r="Q941" s="11"/>
      <c r="R941" s="11"/>
      <c r="S941" s="11"/>
      <c r="T941" s="11"/>
      <c r="U941" s="11"/>
      <c r="V941" s="11"/>
      <c r="W941" s="11"/>
      <c r="X941" s="11"/>
      <c r="Y941" s="11"/>
      <c r="Z941" s="11"/>
    </row>
    <row r="942" spans="1:26" ht="14.25" customHeight="1">
      <c r="A942" s="11"/>
      <c r="B942" s="11"/>
      <c r="C942" s="11"/>
      <c r="D942" s="11"/>
      <c r="E942" s="11"/>
      <c r="F942" s="11"/>
      <c r="G942" s="11"/>
      <c r="H942" s="11"/>
      <c r="I942" s="46"/>
      <c r="J942" s="11"/>
      <c r="K942" s="11"/>
      <c r="L942" s="11"/>
      <c r="M942" s="11"/>
      <c r="N942" s="46"/>
      <c r="O942" s="11"/>
      <c r="P942" s="11"/>
      <c r="Q942" s="11"/>
      <c r="R942" s="11"/>
      <c r="S942" s="11"/>
      <c r="T942" s="11"/>
      <c r="U942" s="11"/>
      <c r="V942" s="11"/>
      <c r="W942" s="11"/>
      <c r="X942" s="11"/>
      <c r="Y942" s="11"/>
      <c r="Z942" s="11"/>
    </row>
    <row r="943" spans="1:26" ht="14.25" customHeight="1">
      <c r="A943" s="11"/>
      <c r="B943" s="11"/>
      <c r="C943" s="11"/>
      <c r="D943" s="11"/>
      <c r="E943" s="11"/>
      <c r="F943" s="11"/>
      <c r="G943" s="11"/>
      <c r="H943" s="11"/>
      <c r="I943" s="46"/>
      <c r="J943" s="11"/>
      <c r="K943" s="11"/>
      <c r="L943" s="11"/>
      <c r="M943" s="11"/>
      <c r="N943" s="46"/>
      <c r="O943" s="11"/>
      <c r="P943" s="11"/>
      <c r="Q943" s="11"/>
      <c r="R943" s="11"/>
      <c r="S943" s="11"/>
      <c r="T943" s="11"/>
      <c r="U943" s="11"/>
      <c r="V943" s="11"/>
      <c r="W943" s="11"/>
      <c r="X943" s="11"/>
      <c r="Y943" s="11"/>
      <c r="Z943" s="11"/>
    </row>
    <row r="944" spans="1:26" ht="14.25" customHeight="1">
      <c r="A944" s="11"/>
      <c r="B944" s="11"/>
      <c r="C944" s="11"/>
      <c r="D944" s="11"/>
      <c r="E944" s="11"/>
      <c r="F944" s="11"/>
      <c r="G944" s="11"/>
      <c r="H944" s="11"/>
      <c r="I944" s="46"/>
      <c r="J944" s="11"/>
      <c r="K944" s="11"/>
      <c r="L944" s="11"/>
      <c r="M944" s="11"/>
      <c r="N944" s="46"/>
      <c r="O944" s="11"/>
      <c r="P944" s="11"/>
      <c r="Q944" s="11"/>
      <c r="R944" s="11"/>
      <c r="S944" s="11"/>
      <c r="T944" s="11"/>
      <c r="U944" s="11"/>
      <c r="V944" s="11"/>
      <c r="W944" s="11"/>
      <c r="X944" s="11"/>
      <c r="Y944" s="11"/>
      <c r="Z944" s="11"/>
    </row>
    <row r="945" spans="1:26" ht="14.25" customHeight="1">
      <c r="A945" s="11"/>
      <c r="B945" s="11"/>
      <c r="C945" s="11"/>
      <c r="D945" s="11"/>
      <c r="E945" s="11"/>
      <c r="F945" s="11"/>
      <c r="G945" s="11"/>
      <c r="H945" s="11"/>
      <c r="I945" s="46"/>
      <c r="J945" s="11"/>
      <c r="K945" s="11"/>
      <c r="L945" s="11"/>
      <c r="M945" s="11"/>
      <c r="N945" s="46"/>
      <c r="O945" s="11"/>
      <c r="P945" s="11"/>
      <c r="Q945" s="11"/>
      <c r="R945" s="11"/>
      <c r="S945" s="11"/>
      <c r="T945" s="11"/>
      <c r="U945" s="11"/>
      <c r="V945" s="11"/>
      <c r="W945" s="11"/>
      <c r="X945" s="11"/>
      <c r="Y945" s="11"/>
      <c r="Z945" s="11"/>
    </row>
    <row r="946" spans="1:26" ht="14.25" customHeight="1">
      <c r="A946" s="11"/>
      <c r="B946" s="11"/>
      <c r="C946" s="11"/>
      <c r="D946" s="11"/>
      <c r="E946" s="11"/>
      <c r="F946" s="11"/>
      <c r="G946" s="11"/>
      <c r="H946" s="11"/>
      <c r="I946" s="46"/>
      <c r="J946" s="11"/>
      <c r="K946" s="11"/>
      <c r="L946" s="11"/>
      <c r="M946" s="11"/>
      <c r="N946" s="46"/>
      <c r="O946" s="11"/>
      <c r="P946" s="11"/>
      <c r="Q946" s="11"/>
      <c r="R946" s="11"/>
      <c r="S946" s="11"/>
      <c r="T946" s="11"/>
      <c r="U946" s="11"/>
      <c r="V946" s="11"/>
      <c r="W946" s="11"/>
      <c r="X946" s="11"/>
      <c r="Y946" s="11"/>
      <c r="Z946" s="11"/>
    </row>
    <row r="947" spans="1:26" ht="14.25" customHeight="1">
      <c r="A947" s="11"/>
      <c r="B947" s="11"/>
      <c r="C947" s="11"/>
      <c r="D947" s="11"/>
      <c r="E947" s="11"/>
      <c r="F947" s="11"/>
      <c r="G947" s="11"/>
      <c r="H947" s="11"/>
      <c r="I947" s="46"/>
      <c r="J947" s="11"/>
      <c r="K947" s="11"/>
      <c r="L947" s="11"/>
      <c r="M947" s="11"/>
      <c r="N947" s="46"/>
      <c r="O947" s="11"/>
      <c r="P947" s="11"/>
      <c r="Q947" s="11"/>
      <c r="R947" s="11"/>
      <c r="S947" s="11"/>
      <c r="T947" s="11"/>
      <c r="U947" s="11"/>
      <c r="V947" s="11"/>
      <c r="W947" s="11"/>
      <c r="X947" s="11"/>
      <c r="Y947" s="11"/>
      <c r="Z947" s="11"/>
    </row>
    <row r="948" spans="1:26" ht="14.25" customHeight="1">
      <c r="A948" s="11"/>
      <c r="B948" s="11"/>
      <c r="C948" s="11"/>
      <c r="D948" s="11"/>
      <c r="E948" s="11"/>
      <c r="F948" s="11"/>
      <c r="G948" s="11"/>
      <c r="H948" s="11"/>
      <c r="I948" s="46"/>
      <c r="J948" s="11"/>
      <c r="K948" s="11"/>
      <c r="L948" s="11"/>
      <c r="M948" s="11"/>
      <c r="N948" s="46"/>
      <c r="O948" s="11"/>
      <c r="P948" s="11"/>
      <c r="Q948" s="11"/>
      <c r="R948" s="11"/>
      <c r="S948" s="11"/>
      <c r="T948" s="11"/>
      <c r="U948" s="11"/>
      <c r="V948" s="11"/>
      <c r="W948" s="11"/>
      <c r="X948" s="11"/>
      <c r="Y948" s="11"/>
      <c r="Z948" s="11"/>
    </row>
    <row r="949" spans="1:26" ht="14.25" customHeight="1">
      <c r="A949" s="11"/>
      <c r="B949" s="11"/>
      <c r="C949" s="11"/>
      <c r="D949" s="11"/>
      <c r="E949" s="11"/>
      <c r="F949" s="11"/>
      <c r="G949" s="11"/>
      <c r="H949" s="11"/>
      <c r="I949" s="46"/>
      <c r="J949" s="11"/>
      <c r="K949" s="11"/>
      <c r="L949" s="11"/>
      <c r="M949" s="11"/>
      <c r="N949" s="46"/>
      <c r="O949" s="11"/>
      <c r="P949" s="11"/>
      <c r="Q949" s="11"/>
      <c r="R949" s="11"/>
      <c r="S949" s="11"/>
      <c r="T949" s="11"/>
      <c r="U949" s="11"/>
      <c r="V949" s="11"/>
      <c r="W949" s="11"/>
      <c r="X949" s="11"/>
      <c r="Y949" s="11"/>
      <c r="Z949" s="11"/>
    </row>
    <row r="950" spans="1:26" ht="14.25" customHeight="1">
      <c r="A950" s="11"/>
      <c r="B950" s="11"/>
      <c r="C950" s="11"/>
      <c r="D950" s="11"/>
      <c r="E950" s="11"/>
      <c r="F950" s="11"/>
      <c r="G950" s="11"/>
      <c r="H950" s="11"/>
      <c r="I950" s="46"/>
      <c r="J950" s="11"/>
      <c r="K950" s="11"/>
      <c r="L950" s="11"/>
      <c r="M950" s="11"/>
      <c r="N950" s="46"/>
      <c r="O950" s="11"/>
      <c r="P950" s="11"/>
      <c r="Q950" s="11"/>
      <c r="R950" s="11"/>
      <c r="S950" s="11"/>
      <c r="T950" s="11"/>
      <c r="U950" s="11"/>
      <c r="V950" s="11"/>
      <c r="W950" s="11"/>
      <c r="X950" s="11"/>
      <c r="Y950" s="11"/>
      <c r="Z950" s="11"/>
    </row>
    <row r="951" spans="1:26" ht="14.25" customHeight="1">
      <c r="A951" s="11"/>
      <c r="B951" s="11"/>
      <c r="C951" s="11"/>
      <c r="D951" s="11"/>
      <c r="E951" s="11"/>
      <c r="F951" s="11"/>
      <c r="G951" s="11"/>
      <c r="H951" s="11"/>
      <c r="I951" s="46"/>
      <c r="J951" s="11"/>
      <c r="K951" s="11"/>
      <c r="L951" s="11"/>
      <c r="M951" s="11"/>
      <c r="N951" s="46"/>
      <c r="O951" s="11"/>
      <c r="P951" s="11"/>
      <c r="Q951" s="11"/>
      <c r="R951" s="11"/>
      <c r="S951" s="11"/>
      <c r="T951" s="11"/>
      <c r="U951" s="11"/>
      <c r="V951" s="11"/>
      <c r="W951" s="11"/>
      <c r="X951" s="11"/>
      <c r="Y951" s="11"/>
      <c r="Z951" s="11"/>
    </row>
    <row r="952" spans="1:26" ht="14.25" customHeight="1">
      <c r="A952" s="11"/>
      <c r="B952" s="11"/>
      <c r="C952" s="11"/>
      <c r="D952" s="11"/>
      <c r="E952" s="11"/>
      <c r="F952" s="11"/>
      <c r="G952" s="11"/>
      <c r="H952" s="11"/>
      <c r="I952" s="46"/>
      <c r="J952" s="11"/>
      <c r="K952" s="11"/>
      <c r="L952" s="11"/>
      <c r="M952" s="11"/>
      <c r="N952" s="46"/>
      <c r="O952" s="11"/>
      <c r="P952" s="11"/>
      <c r="Q952" s="11"/>
      <c r="R952" s="11"/>
      <c r="S952" s="11"/>
      <c r="T952" s="11"/>
      <c r="U952" s="11"/>
      <c r="V952" s="11"/>
      <c r="W952" s="11"/>
      <c r="X952" s="11"/>
      <c r="Y952" s="11"/>
      <c r="Z952" s="11"/>
    </row>
    <row r="953" spans="1:26" ht="14.25" customHeight="1">
      <c r="A953" s="11"/>
      <c r="B953" s="11"/>
      <c r="C953" s="11"/>
      <c r="D953" s="11"/>
      <c r="E953" s="11"/>
      <c r="F953" s="11"/>
      <c r="G953" s="11"/>
      <c r="H953" s="11"/>
      <c r="I953" s="46"/>
      <c r="J953" s="11"/>
      <c r="K953" s="11"/>
      <c r="L953" s="11"/>
      <c r="M953" s="11"/>
      <c r="N953" s="46"/>
      <c r="O953" s="11"/>
      <c r="P953" s="11"/>
      <c r="Q953" s="11"/>
      <c r="R953" s="11"/>
      <c r="S953" s="11"/>
      <c r="T953" s="11"/>
      <c r="U953" s="11"/>
      <c r="V953" s="11"/>
      <c r="W953" s="11"/>
      <c r="X953" s="11"/>
      <c r="Y953" s="11"/>
      <c r="Z953" s="11"/>
    </row>
    <row r="954" spans="1:26" ht="14.25" customHeight="1">
      <c r="A954" s="11"/>
      <c r="B954" s="11"/>
      <c r="C954" s="11"/>
      <c r="D954" s="11"/>
      <c r="E954" s="11"/>
      <c r="F954" s="11"/>
      <c r="G954" s="11"/>
      <c r="H954" s="11"/>
      <c r="I954" s="46"/>
      <c r="J954" s="11"/>
      <c r="K954" s="11"/>
      <c r="L954" s="11"/>
      <c r="M954" s="11"/>
      <c r="N954" s="46"/>
      <c r="O954" s="11"/>
      <c r="P954" s="11"/>
      <c r="Q954" s="11"/>
      <c r="R954" s="11"/>
      <c r="S954" s="11"/>
      <c r="T954" s="11"/>
      <c r="U954" s="11"/>
      <c r="V954" s="11"/>
      <c r="W954" s="11"/>
      <c r="X954" s="11"/>
      <c r="Y954" s="11"/>
      <c r="Z954" s="11"/>
    </row>
    <row r="955" spans="1:26" ht="14.25" customHeight="1">
      <c r="A955" s="11"/>
      <c r="B955" s="11"/>
      <c r="C955" s="11"/>
      <c r="D955" s="11"/>
      <c r="E955" s="11"/>
      <c r="F955" s="11"/>
      <c r="G955" s="11"/>
      <c r="H955" s="11"/>
      <c r="I955" s="46"/>
      <c r="J955" s="11"/>
      <c r="K955" s="11"/>
      <c r="L955" s="11"/>
      <c r="M955" s="11"/>
      <c r="N955" s="46"/>
      <c r="O955" s="11"/>
      <c r="P955" s="11"/>
      <c r="Q955" s="11"/>
      <c r="R955" s="11"/>
      <c r="S955" s="11"/>
      <c r="T955" s="11"/>
      <c r="U955" s="11"/>
      <c r="V955" s="11"/>
      <c r="W955" s="11"/>
      <c r="X955" s="11"/>
      <c r="Y955" s="11"/>
      <c r="Z955" s="11"/>
    </row>
    <row r="956" spans="1:26" ht="14.25" customHeight="1">
      <c r="A956" s="11"/>
      <c r="B956" s="11"/>
      <c r="C956" s="11"/>
      <c r="D956" s="11"/>
      <c r="E956" s="11"/>
      <c r="F956" s="11"/>
      <c r="G956" s="11"/>
      <c r="H956" s="11"/>
      <c r="I956" s="46"/>
      <c r="J956" s="11"/>
      <c r="K956" s="11"/>
      <c r="L956" s="11"/>
      <c r="M956" s="11"/>
      <c r="N956" s="46"/>
      <c r="O956" s="11"/>
      <c r="P956" s="11"/>
      <c r="Q956" s="11"/>
      <c r="R956" s="11"/>
      <c r="S956" s="11"/>
      <c r="T956" s="11"/>
      <c r="U956" s="11"/>
      <c r="V956" s="11"/>
      <c r="W956" s="11"/>
      <c r="X956" s="11"/>
      <c r="Y956" s="11"/>
      <c r="Z956" s="11"/>
    </row>
    <row r="957" spans="1:26" ht="14.25" customHeight="1">
      <c r="A957" s="11"/>
      <c r="B957" s="11"/>
      <c r="C957" s="11"/>
      <c r="D957" s="11"/>
      <c r="E957" s="11"/>
      <c r="F957" s="11"/>
      <c r="G957" s="11"/>
      <c r="H957" s="11"/>
      <c r="I957" s="46"/>
      <c r="J957" s="11"/>
      <c r="K957" s="11"/>
      <c r="L957" s="11"/>
      <c r="M957" s="11"/>
      <c r="N957" s="46"/>
      <c r="O957" s="11"/>
      <c r="P957" s="11"/>
      <c r="Q957" s="11"/>
      <c r="R957" s="11"/>
      <c r="S957" s="11"/>
      <c r="T957" s="11"/>
      <c r="U957" s="11"/>
      <c r="V957" s="11"/>
      <c r="W957" s="11"/>
      <c r="X957" s="11"/>
      <c r="Y957" s="11"/>
      <c r="Z957" s="11"/>
    </row>
    <row r="958" spans="1:26" ht="14.25" customHeight="1">
      <c r="A958" s="11"/>
      <c r="B958" s="11"/>
      <c r="C958" s="11"/>
      <c r="D958" s="11"/>
      <c r="E958" s="11"/>
      <c r="F958" s="11"/>
      <c r="G958" s="11"/>
      <c r="H958" s="11"/>
      <c r="I958" s="46"/>
      <c r="J958" s="11"/>
      <c r="K958" s="11"/>
      <c r="L958" s="11"/>
      <c r="M958" s="11"/>
      <c r="N958" s="46"/>
      <c r="O958" s="11"/>
      <c r="P958" s="11"/>
      <c r="Q958" s="11"/>
      <c r="R958" s="11"/>
      <c r="S958" s="11"/>
      <c r="T958" s="11"/>
      <c r="U958" s="11"/>
      <c r="V958" s="11"/>
      <c r="W958" s="11"/>
      <c r="X958" s="11"/>
      <c r="Y958" s="11"/>
      <c r="Z958" s="11"/>
    </row>
    <row r="959" spans="1:26" ht="14.25" customHeight="1">
      <c r="A959" s="11"/>
      <c r="B959" s="11"/>
      <c r="C959" s="11"/>
      <c r="D959" s="11"/>
      <c r="E959" s="11"/>
      <c r="F959" s="11"/>
      <c r="G959" s="11"/>
      <c r="H959" s="11"/>
      <c r="I959" s="46"/>
      <c r="J959" s="11"/>
      <c r="K959" s="11"/>
      <c r="L959" s="11"/>
      <c r="M959" s="11"/>
      <c r="N959" s="46"/>
      <c r="O959" s="11"/>
      <c r="P959" s="11"/>
      <c r="Q959" s="11"/>
      <c r="R959" s="11"/>
      <c r="S959" s="11"/>
      <c r="T959" s="11"/>
      <c r="U959" s="11"/>
      <c r="V959" s="11"/>
      <c r="W959" s="11"/>
      <c r="X959" s="11"/>
      <c r="Y959" s="11"/>
      <c r="Z959" s="11"/>
    </row>
    <row r="960" spans="1:26" ht="14.25" customHeight="1">
      <c r="A960" s="11"/>
      <c r="B960" s="11"/>
      <c r="C960" s="11"/>
      <c r="D960" s="11"/>
      <c r="E960" s="11"/>
      <c r="F960" s="11"/>
      <c r="G960" s="11"/>
      <c r="H960" s="11"/>
      <c r="I960" s="46"/>
      <c r="J960" s="11"/>
      <c r="K960" s="11"/>
      <c r="L960" s="11"/>
      <c r="M960" s="11"/>
      <c r="N960" s="46"/>
      <c r="O960" s="11"/>
      <c r="P960" s="11"/>
      <c r="Q960" s="11"/>
      <c r="R960" s="11"/>
      <c r="S960" s="11"/>
      <c r="T960" s="11"/>
      <c r="U960" s="11"/>
      <c r="V960" s="11"/>
      <c r="W960" s="11"/>
      <c r="X960" s="11"/>
      <c r="Y960" s="11"/>
      <c r="Z960" s="11"/>
    </row>
    <row r="961" spans="1:26" ht="14.25" customHeight="1">
      <c r="A961" s="11"/>
      <c r="B961" s="11"/>
      <c r="C961" s="11"/>
      <c r="D961" s="11"/>
      <c r="E961" s="11"/>
      <c r="F961" s="11"/>
      <c r="G961" s="11"/>
      <c r="H961" s="11"/>
      <c r="I961" s="46"/>
      <c r="J961" s="11"/>
      <c r="K961" s="11"/>
      <c r="L961" s="11"/>
      <c r="M961" s="11"/>
      <c r="N961" s="46"/>
      <c r="O961" s="11"/>
      <c r="P961" s="11"/>
      <c r="Q961" s="11"/>
      <c r="R961" s="11"/>
      <c r="S961" s="11"/>
      <c r="T961" s="11"/>
      <c r="U961" s="11"/>
      <c r="V961" s="11"/>
      <c r="W961" s="11"/>
      <c r="X961" s="11"/>
      <c r="Y961" s="11"/>
      <c r="Z961" s="11"/>
    </row>
    <row r="962" spans="1:26" ht="14.25" customHeight="1">
      <c r="A962" s="11"/>
      <c r="B962" s="11"/>
      <c r="C962" s="11"/>
      <c r="D962" s="11"/>
      <c r="E962" s="11"/>
      <c r="F962" s="11"/>
      <c r="G962" s="11"/>
      <c r="H962" s="11"/>
      <c r="I962" s="46"/>
      <c r="J962" s="11"/>
      <c r="K962" s="11"/>
      <c r="L962" s="11"/>
      <c r="M962" s="11"/>
      <c r="N962" s="46"/>
      <c r="O962" s="11"/>
      <c r="P962" s="11"/>
      <c r="Q962" s="11"/>
      <c r="R962" s="11"/>
      <c r="S962" s="11"/>
      <c r="T962" s="11"/>
      <c r="U962" s="11"/>
      <c r="V962" s="11"/>
      <c r="W962" s="11"/>
      <c r="X962" s="11"/>
      <c r="Y962" s="11"/>
      <c r="Z962" s="11"/>
    </row>
    <row r="963" spans="1:26" ht="14.25" customHeight="1">
      <c r="A963" s="11"/>
      <c r="B963" s="11"/>
      <c r="C963" s="11"/>
      <c r="D963" s="11"/>
      <c r="E963" s="11"/>
      <c r="F963" s="11"/>
      <c r="G963" s="11"/>
      <c r="H963" s="11"/>
      <c r="I963" s="46"/>
      <c r="J963" s="11"/>
      <c r="K963" s="11"/>
      <c r="L963" s="11"/>
      <c r="M963" s="11"/>
      <c r="N963" s="46"/>
      <c r="O963" s="11"/>
      <c r="P963" s="11"/>
      <c r="Q963" s="11"/>
      <c r="R963" s="11"/>
      <c r="S963" s="11"/>
      <c r="T963" s="11"/>
      <c r="U963" s="11"/>
      <c r="V963" s="11"/>
      <c r="W963" s="11"/>
      <c r="X963" s="11"/>
      <c r="Y963" s="11"/>
      <c r="Z963" s="11"/>
    </row>
    <row r="964" spans="1:26" ht="14.25" customHeight="1">
      <c r="A964" s="11"/>
      <c r="B964" s="11"/>
      <c r="C964" s="11"/>
      <c r="D964" s="11"/>
      <c r="E964" s="11"/>
      <c r="F964" s="11"/>
      <c r="G964" s="11"/>
      <c r="H964" s="11"/>
      <c r="I964" s="46"/>
      <c r="J964" s="11"/>
      <c r="K964" s="11"/>
      <c r="L964" s="11"/>
      <c r="M964" s="11"/>
      <c r="N964" s="46"/>
      <c r="O964" s="11"/>
      <c r="P964" s="11"/>
      <c r="Q964" s="11"/>
      <c r="R964" s="11"/>
      <c r="S964" s="11"/>
      <c r="T964" s="11"/>
      <c r="U964" s="11"/>
      <c r="V964" s="11"/>
      <c r="W964" s="11"/>
      <c r="X964" s="11"/>
      <c r="Y964" s="11"/>
      <c r="Z964" s="11"/>
    </row>
    <row r="965" spans="1:26" ht="14.25" customHeight="1">
      <c r="A965" s="11"/>
      <c r="B965" s="11"/>
      <c r="C965" s="11"/>
      <c r="D965" s="11"/>
      <c r="E965" s="11"/>
      <c r="F965" s="11"/>
      <c r="G965" s="11"/>
      <c r="H965" s="11"/>
      <c r="I965" s="46"/>
      <c r="J965" s="11"/>
      <c r="K965" s="11"/>
      <c r="L965" s="11"/>
      <c r="M965" s="11"/>
      <c r="N965" s="46"/>
      <c r="O965" s="11"/>
      <c r="P965" s="11"/>
      <c r="Q965" s="11"/>
      <c r="R965" s="11"/>
      <c r="S965" s="11"/>
      <c r="T965" s="11"/>
      <c r="U965" s="11"/>
      <c r="V965" s="11"/>
      <c r="W965" s="11"/>
      <c r="X965" s="11"/>
      <c r="Y965" s="11"/>
      <c r="Z965" s="11"/>
    </row>
    <row r="966" spans="1:26" ht="14.25" customHeight="1">
      <c r="A966" s="11"/>
      <c r="B966" s="11"/>
      <c r="C966" s="11"/>
      <c r="D966" s="11"/>
      <c r="E966" s="11"/>
      <c r="F966" s="11"/>
      <c r="G966" s="11"/>
      <c r="H966" s="11"/>
      <c r="I966" s="46"/>
      <c r="J966" s="11"/>
      <c r="K966" s="11"/>
      <c r="L966" s="11"/>
      <c r="M966" s="11"/>
      <c r="N966" s="46"/>
      <c r="O966" s="11"/>
      <c r="P966" s="11"/>
      <c r="Q966" s="11"/>
      <c r="R966" s="11"/>
      <c r="S966" s="11"/>
      <c r="T966" s="11"/>
      <c r="U966" s="11"/>
      <c r="V966" s="11"/>
      <c r="W966" s="11"/>
      <c r="X966" s="11"/>
      <c r="Y966" s="11"/>
      <c r="Z966" s="11"/>
    </row>
    <row r="967" spans="1:26" ht="14.25" customHeight="1">
      <c r="A967" s="11"/>
      <c r="B967" s="11"/>
      <c r="C967" s="11"/>
      <c r="D967" s="11"/>
      <c r="E967" s="11"/>
      <c r="F967" s="11"/>
      <c r="G967" s="11"/>
      <c r="H967" s="11"/>
      <c r="I967" s="46"/>
      <c r="J967" s="11"/>
      <c r="K967" s="11"/>
      <c r="L967" s="11"/>
      <c r="M967" s="11"/>
      <c r="N967" s="46"/>
      <c r="O967" s="11"/>
      <c r="P967" s="11"/>
      <c r="Q967" s="11"/>
      <c r="R967" s="11"/>
      <c r="S967" s="11"/>
      <c r="T967" s="11"/>
      <c r="U967" s="11"/>
      <c r="V967" s="11"/>
      <c r="W967" s="11"/>
      <c r="X967" s="11"/>
      <c r="Y967" s="11"/>
      <c r="Z967" s="11"/>
    </row>
    <row r="968" spans="1:26" ht="14.25" customHeight="1">
      <c r="A968" s="11"/>
      <c r="B968" s="11"/>
      <c r="C968" s="11"/>
      <c r="D968" s="11"/>
      <c r="E968" s="11"/>
      <c r="F968" s="11"/>
      <c r="G968" s="11"/>
      <c r="H968" s="11"/>
      <c r="I968" s="46"/>
      <c r="J968" s="11"/>
      <c r="K968" s="11"/>
      <c r="L968" s="11"/>
      <c r="M968" s="11"/>
      <c r="N968" s="46"/>
      <c r="O968" s="11"/>
      <c r="P968" s="11"/>
      <c r="Q968" s="11"/>
      <c r="R968" s="11"/>
      <c r="S968" s="11"/>
      <c r="T968" s="11"/>
      <c r="U968" s="11"/>
      <c r="V968" s="11"/>
      <c r="W968" s="11"/>
      <c r="X968" s="11"/>
      <c r="Y968" s="11"/>
      <c r="Z968" s="11"/>
    </row>
    <row r="969" spans="1:26" ht="14.25" customHeight="1">
      <c r="A969" s="11"/>
      <c r="B969" s="11"/>
      <c r="C969" s="11"/>
      <c r="D969" s="11"/>
      <c r="E969" s="11"/>
      <c r="F969" s="11"/>
      <c r="G969" s="11"/>
      <c r="H969" s="11"/>
      <c r="I969" s="46"/>
      <c r="J969" s="11"/>
      <c r="K969" s="11"/>
      <c r="L969" s="11"/>
      <c r="M969" s="11"/>
      <c r="N969" s="46"/>
      <c r="O969" s="11"/>
      <c r="P969" s="11"/>
      <c r="Q969" s="11"/>
      <c r="R969" s="11"/>
      <c r="S969" s="11"/>
      <c r="T969" s="11"/>
      <c r="U969" s="11"/>
      <c r="V969" s="11"/>
      <c r="W969" s="11"/>
      <c r="X969" s="11"/>
      <c r="Y969" s="11"/>
      <c r="Z969" s="11"/>
    </row>
    <row r="970" spans="1:26" ht="14.25" customHeight="1">
      <c r="A970" s="11"/>
      <c r="B970" s="11"/>
      <c r="C970" s="11"/>
      <c r="D970" s="11"/>
      <c r="E970" s="11"/>
      <c r="F970" s="11"/>
      <c r="G970" s="11"/>
      <c r="H970" s="11"/>
      <c r="I970" s="46"/>
      <c r="J970" s="11"/>
      <c r="K970" s="11"/>
      <c r="L970" s="11"/>
      <c r="M970" s="11"/>
      <c r="N970" s="46"/>
      <c r="O970" s="11"/>
      <c r="P970" s="11"/>
      <c r="Q970" s="11"/>
      <c r="R970" s="11"/>
      <c r="S970" s="11"/>
      <c r="T970" s="11"/>
      <c r="U970" s="11"/>
      <c r="V970" s="11"/>
      <c r="W970" s="11"/>
      <c r="X970" s="11"/>
      <c r="Y970" s="11"/>
      <c r="Z970" s="11"/>
    </row>
    <row r="971" spans="1:26" ht="14.25" customHeight="1">
      <c r="A971" s="11"/>
      <c r="B971" s="11"/>
      <c r="C971" s="11"/>
      <c r="D971" s="11"/>
      <c r="E971" s="11"/>
      <c r="F971" s="11"/>
      <c r="G971" s="11"/>
      <c r="H971" s="11"/>
      <c r="I971" s="46"/>
      <c r="J971" s="11"/>
      <c r="K971" s="11"/>
      <c r="L971" s="11"/>
      <c r="M971" s="11"/>
      <c r="N971" s="46"/>
      <c r="O971" s="11"/>
      <c r="P971" s="11"/>
      <c r="Q971" s="11"/>
      <c r="R971" s="11"/>
      <c r="S971" s="11"/>
      <c r="T971" s="11"/>
      <c r="U971" s="11"/>
      <c r="V971" s="11"/>
      <c r="W971" s="11"/>
      <c r="X971" s="11"/>
      <c r="Y971" s="11"/>
      <c r="Z971" s="11"/>
    </row>
    <row r="972" spans="1:26" ht="14.25" customHeight="1">
      <c r="A972" s="11"/>
      <c r="B972" s="11"/>
      <c r="C972" s="11"/>
      <c r="D972" s="11"/>
      <c r="E972" s="11"/>
      <c r="F972" s="11"/>
      <c r="G972" s="11"/>
      <c r="H972" s="11"/>
      <c r="I972" s="46"/>
      <c r="J972" s="11"/>
      <c r="K972" s="11"/>
      <c r="L972" s="11"/>
      <c r="M972" s="11"/>
      <c r="N972" s="46"/>
      <c r="O972" s="11"/>
      <c r="P972" s="11"/>
      <c r="Q972" s="11"/>
      <c r="R972" s="11"/>
      <c r="S972" s="11"/>
      <c r="T972" s="11"/>
      <c r="U972" s="11"/>
      <c r="V972" s="11"/>
      <c r="W972" s="11"/>
      <c r="X972" s="11"/>
      <c r="Y972" s="11"/>
      <c r="Z972" s="11"/>
    </row>
    <row r="973" spans="1:26" ht="14.25" customHeight="1">
      <c r="A973" s="11"/>
      <c r="B973" s="11"/>
      <c r="C973" s="11"/>
      <c r="D973" s="11"/>
      <c r="E973" s="11"/>
      <c r="F973" s="11"/>
      <c r="G973" s="11"/>
      <c r="H973" s="11"/>
      <c r="I973" s="46"/>
      <c r="J973" s="11"/>
      <c r="K973" s="11"/>
      <c r="L973" s="11"/>
      <c r="M973" s="11"/>
      <c r="N973" s="46"/>
      <c r="O973" s="11"/>
      <c r="P973" s="11"/>
      <c r="Q973" s="11"/>
      <c r="R973" s="11"/>
      <c r="S973" s="11"/>
      <c r="T973" s="11"/>
      <c r="U973" s="11"/>
      <c r="V973" s="11"/>
      <c r="W973" s="11"/>
      <c r="X973" s="11"/>
      <c r="Y973" s="11"/>
      <c r="Z973" s="11"/>
    </row>
    <row r="974" spans="1:26" ht="14.25" customHeight="1">
      <c r="A974" s="11"/>
      <c r="B974" s="11"/>
      <c r="C974" s="11"/>
      <c r="D974" s="11"/>
      <c r="E974" s="11"/>
      <c r="F974" s="11"/>
      <c r="G974" s="11"/>
      <c r="H974" s="11"/>
      <c r="I974" s="46"/>
      <c r="J974" s="11"/>
      <c r="K974" s="11"/>
      <c r="L974" s="11"/>
      <c r="M974" s="11"/>
      <c r="N974" s="46"/>
      <c r="O974" s="11"/>
      <c r="P974" s="11"/>
      <c r="Q974" s="11"/>
      <c r="R974" s="11"/>
      <c r="S974" s="11"/>
      <c r="T974" s="11"/>
      <c r="U974" s="11"/>
      <c r="V974" s="11"/>
      <c r="W974" s="11"/>
      <c r="X974" s="11"/>
      <c r="Y974" s="11"/>
      <c r="Z974" s="11"/>
    </row>
    <row r="975" spans="1:26" ht="14.25" customHeight="1">
      <c r="A975" s="11"/>
      <c r="B975" s="11"/>
      <c r="C975" s="11"/>
      <c r="D975" s="11"/>
      <c r="E975" s="11"/>
      <c r="F975" s="11"/>
      <c r="G975" s="11"/>
      <c r="H975" s="11"/>
      <c r="I975" s="46"/>
      <c r="J975" s="11"/>
      <c r="K975" s="11"/>
      <c r="L975" s="11"/>
      <c r="M975" s="11"/>
      <c r="N975" s="46"/>
      <c r="O975" s="11"/>
      <c r="P975" s="11"/>
      <c r="Q975" s="11"/>
      <c r="R975" s="11"/>
      <c r="S975" s="11"/>
      <c r="T975" s="11"/>
      <c r="U975" s="11"/>
      <c r="V975" s="11"/>
      <c r="W975" s="11"/>
      <c r="X975" s="11"/>
      <c r="Y975" s="11"/>
      <c r="Z975" s="11"/>
    </row>
    <row r="976" spans="1:26" ht="14.25" customHeight="1">
      <c r="A976" s="11"/>
      <c r="B976" s="11"/>
      <c r="C976" s="11"/>
      <c r="D976" s="11"/>
      <c r="E976" s="11"/>
      <c r="F976" s="11"/>
      <c r="G976" s="11"/>
      <c r="H976" s="11"/>
      <c r="I976" s="46"/>
      <c r="J976" s="11"/>
      <c r="K976" s="11"/>
      <c r="L976" s="11"/>
      <c r="M976" s="11"/>
      <c r="N976" s="46"/>
      <c r="O976" s="11"/>
      <c r="P976" s="11"/>
      <c r="Q976" s="11"/>
      <c r="R976" s="11"/>
      <c r="S976" s="11"/>
      <c r="T976" s="11"/>
      <c r="U976" s="11"/>
      <c r="V976" s="11"/>
      <c r="W976" s="11"/>
      <c r="X976" s="11"/>
      <c r="Y976" s="11"/>
      <c r="Z976" s="11"/>
    </row>
    <row r="977" spans="1:26" ht="14.25" customHeight="1">
      <c r="A977" s="11"/>
      <c r="B977" s="11"/>
      <c r="C977" s="11"/>
      <c r="D977" s="11"/>
      <c r="E977" s="11"/>
      <c r="F977" s="11"/>
      <c r="G977" s="11"/>
      <c r="H977" s="11"/>
      <c r="I977" s="46"/>
      <c r="J977" s="11"/>
      <c r="K977" s="11"/>
      <c r="L977" s="11"/>
      <c r="M977" s="11"/>
      <c r="N977" s="46"/>
      <c r="O977" s="11"/>
      <c r="P977" s="11"/>
      <c r="Q977" s="11"/>
      <c r="R977" s="11"/>
      <c r="S977" s="11"/>
      <c r="T977" s="11"/>
      <c r="U977" s="11"/>
      <c r="V977" s="11"/>
      <c r="W977" s="11"/>
      <c r="X977" s="11"/>
      <c r="Y977" s="11"/>
      <c r="Z977" s="11"/>
    </row>
    <row r="978" spans="1:26" ht="14.25" customHeight="1">
      <c r="A978" s="11"/>
      <c r="B978" s="11"/>
      <c r="C978" s="11"/>
      <c r="D978" s="11"/>
      <c r="E978" s="11"/>
      <c r="F978" s="11"/>
      <c r="G978" s="11"/>
      <c r="H978" s="11"/>
      <c r="I978" s="46"/>
      <c r="J978" s="11"/>
      <c r="K978" s="11"/>
      <c r="L978" s="11"/>
      <c r="M978" s="11"/>
      <c r="N978" s="46"/>
      <c r="O978" s="11"/>
      <c r="P978" s="11"/>
      <c r="Q978" s="11"/>
      <c r="R978" s="11"/>
      <c r="S978" s="11"/>
      <c r="T978" s="11"/>
      <c r="U978" s="11"/>
      <c r="V978" s="11"/>
      <c r="W978" s="11"/>
      <c r="X978" s="11"/>
      <c r="Y978" s="11"/>
      <c r="Z978" s="11"/>
    </row>
    <row r="979" spans="1:26" ht="14.25" customHeight="1">
      <c r="A979" s="11"/>
      <c r="B979" s="11"/>
      <c r="C979" s="11"/>
      <c r="D979" s="11"/>
      <c r="E979" s="11"/>
      <c r="F979" s="11"/>
      <c r="G979" s="11"/>
      <c r="H979" s="11"/>
      <c r="I979" s="46"/>
      <c r="J979" s="11"/>
      <c r="K979" s="11"/>
      <c r="L979" s="11"/>
      <c r="M979" s="11"/>
      <c r="N979" s="46"/>
      <c r="O979" s="11"/>
      <c r="P979" s="11"/>
      <c r="Q979" s="11"/>
      <c r="R979" s="11"/>
      <c r="S979" s="11"/>
      <c r="T979" s="11"/>
      <c r="U979" s="11"/>
      <c r="V979" s="11"/>
      <c r="W979" s="11"/>
      <c r="X979" s="11"/>
      <c r="Y979" s="11"/>
      <c r="Z979" s="11"/>
    </row>
    <row r="980" spans="1:26" ht="14.25" customHeight="1">
      <c r="A980" s="11"/>
      <c r="B980" s="11"/>
      <c r="C980" s="11"/>
      <c r="D980" s="11"/>
      <c r="E980" s="11"/>
      <c r="F980" s="11"/>
      <c r="G980" s="11"/>
      <c r="H980" s="11"/>
      <c r="I980" s="46"/>
      <c r="J980" s="11"/>
      <c r="K980" s="11"/>
      <c r="L980" s="11"/>
      <c r="M980" s="11"/>
      <c r="N980" s="46"/>
      <c r="O980" s="11"/>
      <c r="P980" s="11"/>
      <c r="Q980" s="11"/>
      <c r="R980" s="11"/>
      <c r="S980" s="11"/>
      <c r="T980" s="11"/>
      <c r="U980" s="11"/>
      <c r="V980" s="11"/>
      <c r="W980" s="11"/>
      <c r="X980" s="11"/>
      <c r="Y980" s="11"/>
      <c r="Z980" s="11"/>
    </row>
    <row r="981" spans="1:26" ht="14.25" customHeight="1">
      <c r="A981" s="11"/>
      <c r="B981" s="11"/>
      <c r="C981" s="11"/>
      <c r="D981" s="11"/>
      <c r="E981" s="11"/>
      <c r="F981" s="11"/>
      <c r="G981" s="11"/>
      <c r="H981" s="11"/>
      <c r="I981" s="46"/>
      <c r="J981" s="11"/>
      <c r="K981" s="11"/>
      <c r="L981" s="11"/>
      <c r="M981" s="11"/>
      <c r="N981" s="46"/>
      <c r="O981" s="11"/>
      <c r="P981" s="11"/>
      <c r="Q981" s="11"/>
      <c r="R981" s="11"/>
      <c r="S981" s="11"/>
      <c r="T981" s="11"/>
      <c r="U981" s="11"/>
      <c r="V981" s="11"/>
      <c r="W981" s="11"/>
      <c r="X981" s="11"/>
      <c r="Y981" s="11"/>
      <c r="Z981" s="11"/>
    </row>
    <row r="982" spans="1:26" ht="14.25" customHeight="1">
      <c r="A982" s="11"/>
      <c r="B982" s="11"/>
      <c r="C982" s="11"/>
      <c r="D982" s="11"/>
      <c r="E982" s="11"/>
      <c r="F982" s="11"/>
      <c r="G982" s="11"/>
      <c r="H982" s="11"/>
      <c r="I982" s="46"/>
      <c r="J982" s="11"/>
      <c r="K982" s="11"/>
      <c r="L982" s="11"/>
      <c r="M982" s="11"/>
      <c r="N982" s="46"/>
      <c r="O982" s="11"/>
      <c r="P982" s="11"/>
      <c r="Q982" s="11"/>
      <c r="R982" s="11"/>
      <c r="S982" s="11"/>
      <c r="T982" s="11"/>
      <c r="U982" s="11"/>
      <c r="V982" s="11"/>
      <c r="W982" s="11"/>
      <c r="X982" s="11"/>
      <c r="Y982" s="11"/>
      <c r="Z982" s="11"/>
    </row>
    <row r="983" spans="1:26" ht="14.25" customHeight="1">
      <c r="A983" s="11"/>
      <c r="B983" s="11"/>
      <c r="C983" s="11"/>
      <c r="D983" s="11"/>
      <c r="E983" s="11"/>
      <c r="F983" s="11"/>
      <c r="G983" s="11"/>
      <c r="H983" s="11"/>
      <c r="I983" s="46"/>
      <c r="J983" s="11"/>
      <c r="K983" s="11"/>
      <c r="L983" s="11"/>
      <c r="M983" s="11"/>
      <c r="N983" s="46"/>
      <c r="O983" s="11"/>
      <c r="P983" s="11"/>
      <c r="Q983" s="11"/>
      <c r="R983" s="11"/>
      <c r="S983" s="11"/>
      <c r="T983" s="11"/>
      <c r="U983" s="11"/>
      <c r="V983" s="11"/>
      <c r="W983" s="11"/>
      <c r="X983" s="11"/>
      <c r="Y983" s="11"/>
      <c r="Z983" s="11"/>
    </row>
    <row r="984" spans="1:26" ht="14.25" customHeight="1">
      <c r="A984" s="11"/>
      <c r="B984" s="11"/>
      <c r="C984" s="11"/>
      <c r="D984" s="11"/>
      <c r="E984" s="11"/>
      <c r="F984" s="11"/>
      <c r="G984" s="11"/>
      <c r="H984" s="11"/>
      <c r="I984" s="46"/>
      <c r="J984" s="11"/>
      <c r="K984" s="11"/>
      <c r="L984" s="11"/>
      <c r="M984" s="11"/>
      <c r="N984" s="46"/>
      <c r="O984" s="11"/>
      <c r="P984" s="11"/>
      <c r="Q984" s="11"/>
      <c r="R984" s="11"/>
      <c r="S984" s="11"/>
      <c r="T984" s="11"/>
      <c r="U984" s="11"/>
      <c r="V984" s="11"/>
      <c r="W984" s="11"/>
      <c r="X984" s="11"/>
      <c r="Y984" s="11"/>
      <c r="Z984" s="11"/>
    </row>
    <row r="985" spans="1:26" ht="14.25" customHeight="1">
      <c r="A985" s="11"/>
      <c r="B985" s="11"/>
      <c r="C985" s="11"/>
      <c r="D985" s="11"/>
      <c r="E985" s="11"/>
      <c r="F985" s="11"/>
      <c r="G985" s="11"/>
      <c r="H985" s="11"/>
      <c r="I985" s="46"/>
      <c r="J985" s="11"/>
      <c r="K985" s="11"/>
      <c r="L985" s="11"/>
      <c r="M985" s="11"/>
      <c r="N985" s="46"/>
      <c r="O985" s="11"/>
      <c r="P985" s="11"/>
      <c r="Q985" s="11"/>
      <c r="R985" s="11"/>
      <c r="S985" s="11"/>
      <c r="T985" s="11"/>
      <c r="U985" s="11"/>
      <c r="V985" s="11"/>
      <c r="W985" s="11"/>
      <c r="X985" s="11"/>
      <c r="Y985" s="11"/>
      <c r="Z985" s="11"/>
    </row>
    <row r="986" spans="1:26" ht="14.25" customHeight="1">
      <c r="A986" s="11"/>
      <c r="B986" s="11"/>
      <c r="C986" s="11"/>
      <c r="D986" s="11"/>
      <c r="E986" s="11"/>
      <c r="F986" s="11"/>
      <c r="G986" s="11"/>
      <c r="H986" s="11"/>
      <c r="I986" s="46"/>
      <c r="J986" s="11"/>
      <c r="K986" s="11"/>
      <c r="L986" s="11"/>
      <c r="M986" s="11"/>
      <c r="N986" s="46"/>
      <c r="O986" s="11"/>
      <c r="P986" s="11"/>
      <c r="Q986" s="11"/>
      <c r="R986" s="11"/>
      <c r="S986" s="11"/>
      <c r="T986" s="11"/>
      <c r="U986" s="11"/>
      <c r="V986" s="11"/>
      <c r="W986" s="11"/>
      <c r="X986" s="11"/>
      <c r="Y986" s="11"/>
      <c r="Z986" s="11"/>
    </row>
    <row r="987" spans="1:26" ht="14.25" customHeight="1">
      <c r="A987" s="11"/>
      <c r="B987" s="11"/>
      <c r="C987" s="11"/>
      <c r="D987" s="11"/>
      <c r="E987" s="11"/>
      <c r="F987" s="11"/>
      <c r="G987" s="11"/>
      <c r="H987" s="11"/>
      <c r="I987" s="46"/>
      <c r="J987" s="11"/>
      <c r="K987" s="11"/>
      <c r="L987" s="11"/>
      <c r="M987" s="11"/>
      <c r="N987" s="46"/>
      <c r="O987" s="11"/>
      <c r="P987" s="11"/>
      <c r="Q987" s="11"/>
      <c r="R987" s="11"/>
      <c r="S987" s="11"/>
      <c r="T987" s="11"/>
      <c r="U987" s="11"/>
      <c r="V987" s="11"/>
      <c r="W987" s="11"/>
      <c r="X987" s="11"/>
      <c r="Y987" s="11"/>
      <c r="Z987" s="11"/>
    </row>
    <row r="988" spans="1:26" ht="14.25" customHeight="1">
      <c r="A988" s="11"/>
      <c r="B988" s="11"/>
      <c r="C988" s="11"/>
      <c r="D988" s="11"/>
      <c r="E988" s="11"/>
      <c r="F988" s="11"/>
      <c r="G988" s="11"/>
      <c r="H988" s="11"/>
      <c r="I988" s="46"/>
      <c r="J988" s="11"/>
      <c r="K988" s="11"/>
      <c r="L988" s="11"/>
      <c r="M988" s="11"/>
      <c r="N988" s="46"/>
      <c r="O988" s="11"/>
      <c r="P988" s="11"/>
      <c r="Q988" s="11"/>
      <c r="R988" s="11"/>
      <c r="S988" s="11"/>
      <c r="T988" s="11"/>
      <c r="U988" s="11"/>
      <c r="V988" s="11"/>
      <c r="W988" s="11"/>
      <c r="X988" s="11"/>
      <c r="Y988" s="11"/>
      <c r="Z988" s="11"/>
    </row>
    <row r="989" spans="1:26" ht="14.25" customHeight="1">
      <c r="A989" s="11"/>
      <c r="B989" s="11"/>
      <c r="C989" s="11"/>
      <c r="D989" s="11"/>
      <c r="E989" s="11"/>
      <c r="F989" s="11"/>
      <c r="G989" s="11"/>
      <c r="H989" s="11"/>
      <c r="I989" s="46"/>
      <c r="J989" s="11"/>
      <c r="K989" s="11"/>
      <c r="L989" s="11"/>
      <c r="M989" s="11"/>
      <c r="N989" s="46"/>
      <c r="O989" s="11"/>
      <c r="P989" s="11"/>
      <c r="Q989" s="11"/>
      <c r="R989" s="11"/>
      <c r="S989" s="11"/>
      <c r="T989" s="11"/>
      <c r="U989" s="11"/>
      <c r="V989" s="11"/>
      <c r="W989" s="11"/>
      <c r="X989" s="11"/>
      <c r="Y989" s="11"/>
      <c r="Z989" s="11"/>
    </row>
    <row r="990" spans="1:26" ht="14.25" customHeight="1">
      <c r="A990" s="11"/>
      <c r="B990" s="11"/>
      <c r="C990" s="11"/>
      <c r="D990" s="11"/>
      <c r="E990" s="11"/>
      <c r="F990" s="11"/>
      <c r="G990" s="11"/>
      <c r="H990" s="11"/>
      <c r="I990" s="46"/>
      <c r="J990" s="11"/>
      <c r="K990" s="11"/>
      <c r="L990" s="11"/>
      <c r="M990" s="11"/>
      <c r="N990" s="46"/>
      <c r="O990" s="11"/>
      <c r="P990" s="11"/>
      <c r="Q990" s="11"/>
      <c r="R990" s="11"/>
      <c r="S990" s="11"/>
      <c r="T990" s="11"/>
      <c r="U990" s="11"/>
      <c r="V990" s="11"/>
      <c r="W990" s="11"/>
      <c r="X990" s="11"/>
      <c r="Y990" s="11"/>
      <c r="Z990" s="11"/>
    </row>
    <row r="991" spans="1:26" ht="14.25" customHeight="1">
      <c r="A991" s="11"/>
      <c r="B991" s="11"/>
      <c r="C991" s="11"/>
      <c r="D991" s="11"/>
      <c r="E991" s="11"/>
      <c r="F991" s="11"/>
      <c r="G991" s="11"/>
      <c r="H991" s="11"/>
      <c r="I991" s="46"/>
      <c r="J991" s="11"/>
      <c r="K991" s="11"/>
      <c r="L991" s="11"/>
      <c r="M991" s="11"/>
      <c r="N991" s="46"/>
      <c r="O991" s="11"/>
      <c r="P991" s="11"/>
      <c r="Q991" s="11"/>
      <c r="R991" s="11"/>
      <c r="S991" s="11"/>
      <c r="T991" s="11"/>
      <c r="U991" s="11"/>
      <c r="V991" s="11"/>
      <c r="W991" s="11"/>
      <c r="X991" s="11"/>
      <c r="Y991" s="11"/>
      <c r="Z991" s="11"/>
    </row>
    <row r="992" spans="1:26" ht="14.25" customHeight="1">
      <c r="A992" s="11"/>
      <c r="B992" s="11"/>
      <c r="C992" s="11"/>
      <c r="D992" s="11"/>
      <c r="E992" s="11"/>
      <c r="F992" s="11"/>
      <c r="G992" s="11"/>
      <c r="H992" s="11"/>
      <c r="I992" s="46"/>
      <c r="J992" s="11"/>
      <c r="K992" s="11"/>
      <c r="L992" s="11"/>
      <c r="M992" s="11"/>
      <c r="N992" s="46"/>
      <c r="O992" s="11"/>
      <c r="P992" s="11"/>
      <c r="Q992" s="11"/>
      <c r="R992" s="11"/>
      <c r="S992" s="11"/>
      <c r="T992" s="11"/>
      <c r="U992" s="11"/>
      <c r="V992" s="11"/>
      <c r="W992" s="11"/>
      <c r="X992" s="11"/>
      <c r="Y992" s="11"/>
      <c r="Z992" s="11"/>
    </row>
    <row r="993" spans="1:26" ht="14.25" customHeight="1">
      <c r="A993" s="11"/>
      <c r="B993" s="11"/>
      <c r="C993" s="11"/>
      <c r="D993" s="11"/>
      <c r="E993" s="11"/>
      <c r="F993" s="11"/>
      <c r="G993" s="11"/>
      <c r="H993" s="11"/>
      <c r="I993" s="46"/>
      <c r="J993" s="11"/>
      <c r="K993" s="11"/>
      <c r="L993" s="11"/>
      <c r="M993" s="11"/>
      <c r="N993" s="46"/>
      <c r="O993" s="11"/>
      <c r="P993" s="11"/>
      <c r="Q993" s="11"/>
      <c r="R993" s="11"/>
      <c r="S993" s="11"/>
      <c r="T993" s="11"/>
      <c r="U993" s="11"/>
      <c r="V993" s="11"/>
      <c r="W993" s="11"/>
      <c r="X993" s="11"/>
      <c r="Y993" s="11"/>
      <c r="Z993" s="11"/>
    </row>
    <row r="994" spans="1:26" ht="14.25" customHeight="1">
      <c r="A994" s="11"/>
      <c r="B994" s="11"/>
      <c r="C994" s="11"/>
      <c r="D994" s="11"/>
      <c r="E994" s="11"/>
      <c r="F994" s="11"/>
      <c r="G994" s="11"/>
      <c r="H994" s="11"/>
      <c r="I994" s="46"/>
      <c r="J994" s="11"/>
      <c r="K994" s="11"/>
      <c r="L994" s="11"/>
      <c r="M994" s="11"/>
      <c r="N994" s="46"/>
      <c r="O994" s="11"/>
      <c r="P994" s="11"/>
      <c r="Q994" s="11"/>
      <c r="R994" s="11"/>
      <c r="S994" s="11"/>
      <c r="T994" s="11"/>
      <c r="U994" s="11"/>
      <c r="V994" s="11"/>
      <c r="W994" s="11"/>
      <c r="X994" s="11"/>
      <c r="Y994" s="11"/>
      <c r="Z994" s="11"/>
    </row>
    <row r="995" spans="1:26" ht="14.25" customHeight="1">
      <c r="A995" s="11"/>
      <c r="B995" s="11"/>
      <c r="C995" s="11"/>
      <c r="D995" s="11"/>
      <c r="E995" s="11"/>
      <c r="F995" s="11"/>
      <c r="G995" s="11"/>
      <c r="H995" s="11"/>
      <c r="I995" s="46"/>
      <c r="J995" s="11"/>
      <c r="K995" s="11"/>
      <c r="L995" s="11"/>
      <c r="M995" s="11"/>
      <c r="N995" s="46"/>
      <c r="O995" s="11"/>
      <c r="P995" s="11"/>
      <c r="Q995" s="11"/>
      <c r="R995" s="11"/>
      <c r="S995" s="11"/>
      <c r="T995" s="11"/>
      <c r="U995" s="11"/>
      <c r="V995" s="11"/>
      <c r="W995" s="11"/>
      <c r="X995" s="11"/>
      <c r="Y995" s="11"/>
      <c r="Z995" s="11"/>
    </row>
    <row r="996" spans="1:26" ht="14.25" customHeight="1">
      <c r="A996" s="11"/>
      <c r="B996" s="11"/>
      <c r="C996" s="11"/>
      <c r="D996" s="11"/>
      <c r="E996" s="11"/>
      <c r="F996" s="11"/>
      <c r="G996" s="11"/>
      <c r="H996" s="11"/>
      <c r="I996" s="46"/>
      <c r="J996" s="11"/>
      <c r="K996" s="11"/>
      <c r="L996" s="11"/>
      <c r="M996" s="11"/>
      <c r="N996" s="46"/>
      <c r="O996" s="11"/>
      <c r="P996" s="11"/>
      <c r="Q996" s="11"/>
      <c r="R996" s="11"/>
      <c r="S996" s="11"/>
      <c r="T996" s="11"/>
      <c r="U996" s="11"/>
      <c r="V996" s="11"/>
      <c r="W996" s="11"/>
      <c r="X996" s="11"/>
      <c r="Y996" s="11"/>
      <c r="Z996" s="11"/>
    </row>
    <row r="997" spans="1:26" ht="14.25" customHeight="1">
      <c r="A997" s="11"/>
      <c r="B997" s="11"/>
      <c r="C997" s="11"/>
      <c r="D997" s="11"/>
      <c r="E997" s="11"/>
      <c r="F997" s="11"/>
      <c r="G997" s="11"/>
      <c r="H997" s="11"/>
      <c r="I997" s="46"/>
      <c r="J997" s="11"/>
      <c r="K997" s="11"/>
      <c r="L997" s="11"/>
      <c r="M997" s="11"/>
      <c r="N997" s="46"/>
      <c r="O997" s="11"/>
      <c r="P997" s="11"/>
      <c r="Q997" s="11"/>
      <c r="R997" s="11"/>
      <c r="S997" s="11"/>
      <c r="T997" s="11"/>
      <c r="U997" s="11"/>
      <c r="V997" s="11"/>
      <c r="W997" s="11"/>
      <c r="X997" s="11"/>
      <c r="Y997" s="11"/>
      <c r="Z997" s="11"/>
    </row>
    <row r="998" spans="1:26" ht="14.25" customHeight="1">
      <c r="A998" s="11"/>
      <c r="B998" s="11"/>
      <c r="C998" s="11"/>
      <c r="D998" s="11"/>
      <c r="E998" s="11"/>
      <c r="F998" s="11"/>
      <c r="G998" s="11"/>
      <c r="H998" s="11"/>
      <c r="I998" s="46"/>
      <c r="J998" s="11"/>
      <c r="K998" s="11"/>
      <c r="L998" s="11"/>
      <c r="M998" s="11"/>
      <c r="N998" s="46"/>
      <c r="O998" s="11"/>
      <c r="P998" s="11"/>
      <c r="Q998" s="11"/>
      <c r="R998" s="11"/>
      <c r="S998" s="11"/>
      <c r="T998" s="11"/>
      <c r="U998" s="11"/>
      <c r="V998" s="11"/>
      <c r="W998" s="11"/>
      <c r="X998" s="11"/>
      <c r="Y998" s="11"/>
      <c r="Z998" s="11"/>
    </row>
    <row r="999" spans="1:26" ht="14.25" customHeight="1">
      <c r="A999" s="11"/>
      <c r="B999" s="11"/>
      <c r="C999" s="11"/>
      <c r="D999" s="11"/>
      <c r="E999" s="11"/>
      <c r="F999" s="11"/>
      <c r="G999" s="11"/>
      <c r="H999" s="11"/>
      <c r="I999" s="46"/>
      <c r="J999" s="11"/>
      <c r="K999" s="11"/>
      <c r="L999" s="11"/>
      <c r="M999" s="11"/>
      <c r="N999" s="46"/>
      <c r="O999" s="11"/>
      <c r="P999" s="11"/>
      <c r="Q999" s="11"/>
      <c r="R999" s="11"/>
      <c r="S999" s="11"/>
      <c r="T999" s="11"/>
      <c r="U999" s="11"/>
      <c r="V999" s="11"/>
      <c r="W999" s="11"/>
      <c r="X999" s="11"/>
      <c r="Y999" s="11"/>
      <c r="Z999" s="11"/>
    </row>
    <row r="1000" spans="1:26" ht="14.25" customHeight="1">
      <c r="A1000" s="11"/>
      <c r="B1000" s="11"/>
      <c r="C1000" s="11"/>
      <c r="D1000" s="11"/>
      <c r="E1000" s="11"/>
      <c r="F1000" s="11"/>
      <c r="G1000" s="11"/>
      <c r="H1000" s="11"/>
      <c r="I1000" s="46"/>
      <c r="J1000" s="11"/>
      <c r="K1000" s="11"/>
      <c r="L1000" s="11"/>
      <c r="M1000" s="11"/>
      <c r="N1000" s="46"/>
      <c r="O1000" s="11"/>
      <c r="P1000" s="11"/>
      <c r="Q1000" s="11"/>
      <c r="R1000" s="11"/>
      <c r="S1000" s="11"/>
      <c r="T1000" s="11"/>
      <c r="U1000" s="11"/>
      <c r="V1000" s="11"/>
      <c r="W1000" s="11"/>
      <c r="X1000" s="11"/>
      <c r="Y1000" s="11"/>
      <c r="Z1000" s="11"/>
    </row>
  </sheetData>
  <mergeCells count="1">
    <mergeCell ref="A1:M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6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ColWidth="8.88671875" defaultRowHeight="15" customHeight="1"/>
  <cols>
    <col min="1" max="1" width="42.44140625" customWidth="1"/>
    <col min="2" max="13" width="12.77734375" customWidth="1"/>
    <col min="14" max="14" width="8.88671875" customWidth="1"/>
  </cols>
  <sheetData>
    <row r="1" spans="1:16384" ht="27" customHeight="1">
      <c r="A1" s="407" t="s">
        <v>63</v>
      </c>
      <c r="B1" s="404"/>
      <c r="C1" s="404"/>
      <c r="D1" s="404"/>
      <c r="E1" s="404"/>
      <c r="F1" s="404"/>
      <c r="G1" s="404"/>
      <c r="H1" s="404"/>
      <c r="I1" s="404"/>
      <c r="J1" s="404"/>
      <c r="K1" s="404"/>
      <c r="L1" s="404"/>
      <c r="M1" s="405"/>
      <c r="N1" s="79"/>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t="s">
        <v>41</v>
      </c>
      <c r="AP1" s="80"/>
      <c r="AQ1" s="80"/>
      <c r="AR1" s="80"/>
      <c r="AS1" s="80"/>
      <c r="AT1" s="80"/>
      <c r="AU1" s="80"/>
      <c r="AV1" s="80"/>
      <c r="AW1" s="80" t="s">
        <v>41</v>
      </c>
      <c r="AX1" s="80"/>
      <c r="AY1" s="80"/>
      <c r="AZ1" s="80"/>
      <c r="BA1" s="80"/>
      <c r="BB1" s="80"/>
      <c r="BC1" s="80"/>
      <c r="BD1" s="80"/>
      <c r="BE1" s="408" t="s">
        <v>41</v>
      </c>
      <c r="BF1" s="404"/>
      <c r="BG1" s="404"/>
      <c r="BH1" s="404"/>
      <c r="BI1" s="404"/>
      <c r="BJ1" s="404"/>
      <c r="BK1" s="404"/>
      <c r="BL1" s="405"/>
      <c r="BM1" s="408" t="s">
        <v>41</v>
      </c>
      <c r="BN1" s="404"/>
      <c r="BO1" s="404"/>
      <c r="BP1" s="404"/>
      <c r="BQ1" s="404"/>
      <c r="BR1" s="404"/>
      <c r="BS1" s="404"/>
      <c r="BT1" s="405"/>
      <c r="BU1" s="408" t="s">
        <v>41</v>
      </c>
      <c r="BV1" s="404"/>
      <c r="BW1" s="404"/>
      <c r="BX1" s="404"/>
      <c r="BY1" s="404"/>
      <c r="BZ1" s="404"/>
      <c r="CA1" s="404"/>
      <c r="CB1" s="405"/>
      <c r="CC1" s="408" t="s">
        <v>41</v>
      </c>
      <c r="CD1" s="404"/>
      <c r="CE1" s="404"/>
      <c r="CF1" s="404"/>
      <c r="CG1" s="404"/>
      <c r="CH1" s="404"/>
      <c r="CI1" s="404"/>
      <c r="CJ1" s="405"/>
      <c r="CK1" s="408" t="s">
        <v>41</v>
      </c>
      <c r="CL1" s="404"/>
      <c r="CM1" s="404"/>
      <c r="CN1" s="404"/>
      <c r="CO1" s="404"/>
      <c r="CP1" s="404"/>
      <c r="CQ1" s="404"/>
      <c r="CR1" s="405"/>
      <c r="CS1" s="408" t="s">
        <v>41</v>
      </c>
      <c r="CT1" s="404"/>
      <c r="CU1" s="404"/>
      <c r="CV1" s="404"/>
      <c r="CW1" s="404"/>
      <c r="CX1" s="404"/>
      <c r="CY1" s="404"/>
      <c r="CZ1" s="405"/>
      <c r="DA1" s="408" t="s">
        <v>41</v>
      </c>
      <c r="DB1" s="404"/>
      <c r="DC1" s="404"/>
      <c r="DD1" s="404"/>
      <c r="DE1" s="404"/>
      <c r="DF1" s="404"/>
      <c r="DG1" s="404"/>
      <c r="DH1" s="405"/>
      <c r="DI1" s="408" t="s">
        <v>41</v>
      </c>
      <c r="DJ1" s="404"/>
      <c r="DK1" s="404"/>
      <c r="DL1" s="404"/>
      <c r="DM1" s="404"/>
      <c r="DN1" s="404"/>
      <c r="DO1" s="404"/>
      <c r="DP1" s="405"/>
      <c r="DQ1" s="408" t="s">
        <v>41</v>
      </c>
      <c r="DR1" s="404"/>
      <c r="DS1" s="404"/>
      <c r="DT1" s="404"/>
      <c r="DU1" s="404"/>
      <c r="DV1" s="404"/>
      <c r="DW1" s="404"/>
      <c r="DX1" s="405"/>
      <c r="DY1" s="408" t="s">
        <v>41</v>
      </c>
      <c r="DZ1" s="404"/>
      <c r="EA1" s="404"/>
      <c r="EB1" s="404"/>
      <c r="EC1" s="404"/>
      <c r="ED1" s="404"/>
      <c r="EE1" s="404"/>
      <c r="EF1" s="405"/>
      <c r="EG1" s="408" t="s">
        <v>41</v>
      </c>
      <c r="EH1" s="404"/>
      <c r="EI1" s="404"/>
      <c r="EJ1" s="404"/>
      <c r="EK1" s="404"/>
      <c r="EL1" s="404"/>
      <c r="EM1" s="404"/>
      <c r="EN1" s="405"/>
      <c r="EO1" s="408" t="s">
        <v>41</v>
      </c>
      <c r="EP1" s="404"/>
      <c r="EQ1" s="404"/>
      <c r="ER1" s="404"/>
      <c r="ES1" s="404"/>
      <c r="ET1" s="404"/>
      <c r="EU1" s="404"/>
      <c r="EV1" s="405"/>
      <c r="EW1" s="408" t="s">
        <v>41</v>
      </c>
      <c r="EX1" s="404"/>
      <c r="EY1" s="404"/>
      <c r="EZ1" s="404"/>
      <c r="FA1" s="404"/>
      <c r="FB1" s="404"/>
      <c r="FC1" s="404"/>
      <c r="FD1" s="405"/>
      <c r="FE1" s="408" t="s">
        <v>41</v>
      </c>
      <c r="FF1" s="404"/>
      <c r="FG1" s="404"/>
      <c r="FH1" s="404"/>
      <c r="FI1" s="404"/>
      <c r="FJ1" s="404"/>
      <c r="FK1" s="404"/>
      <c r="FL1" s="405"/>
      <c r="FM1" s="408" t="s">
        <v>41</v>
      </c>
      <c r="FN1" s="404"/>
      <c r="FO1" s="404"/>
      <c r="FP1" s="404"/>
      <c r="FQ1" s="404"/>
      <c r="FR1" s="404"/>
      <c r="FS1" s="404"/>
      <c r="FT1" s="405"/>
      <c r="FU1" s="408" t="s">
        <v>41</v>
      </c>
      <c r="FV1" s="404"/>
      <c r="FW1" s="404"/>
      <c r="FX1" s="404"/>
      <c r="FY1" s="404"/>
      <c r="FZ1" s="404"/>
      <c r="GA1" s="404"/>
      <c r="GB1" s="405"/>
      <c r="GC1" s="408" t="s">
        <v>41</v>
      </c>
      <c r="GD1" s="404"/>
      <c r="GE1" s="404"/>
      <c r="GF1" s="404"/>
      <c r="GG1" s="404"/>
      <c r="GH1" s="404"/>
      <c r="GI1" s="404"/>
      <c r="GJ1" s="405"/>
      <c r="GK1" s="408" t="s">
        <v>41</v>
      </c>
      <c r="GL1" s="404"/>
      <c r="GM1" s="404"/>
      <c r="GN1" s="404"/>
      <c r="GO1" s="404"/>
      <c r="GP1" s="404"/>
      <c r="GQ1" s="404"/>
      <c r="GR1" s="405"/>
      <c r="GS1" s="408" t="s">
        <v>41</v>
      </c>
      <c r="GT1" s="404"/>
      <c r="GU1" s="404"/>
      <c r="GV1" s="404"/>
      <c r="GW1" s="404"/>
      <c r="GX1" s="404"/>
      <c r="GY1" s="404"/>
      <c r="GZ1" s="405"/>
      <c r="HA1" s="408" t="s">
        <v>41</v>
      </c>
      <c r="HB1" s="404"/>
      <c r="HC1" s="404"/>
      <c r="HD1" s="404"/>
      <c r="HE1" s="404"/>
      <c r="HF1" s="404"/>
      <c r="HG1" s="404"/>
      <c r="HH1" s="405"/>
      <c r="HI1" s="408" t="s">
        <v>41</v>
      </c>
      <c r="HJ1" s="404"/>
      <c r="HK1" s="404"/>
      <c r="HL1" s="404"/>
      <c r="HM1" s="404"/>
      <c r="HN1" s="404"/>
      <c r="HO1" s="404"/>
      <c r="HP1" s="405"/>
      <c r="HQ1" s="408" t="s">
        <v>41</v>
      </c>
      <c r="HR1" s="404"/>
      <c r="HS1" s="404"/>
      <c r="HT1" s="404"/>
      <c r="HU1" s="404"/>
      <c r="HV1" s="404"/>
      <c r="HW1" s="404"/>
      <c r="HX1" s="405"/>
      <c r="HY1" s="408" t="s">
        <v>41</v>
      </c>
      <c r="HZ1" s="404"/>
      <c r="IA1" s="404"/>
      <c r="IB1" s="404"/>
      <c r="IC1" s="404"/>
      <c r="ID1" s="404"/>
      <c r="IE1" s="404"/>
      <c r="IF1" s="405"/>
      <c r="IG1" s="408" t="s">
        <v>41</v>
      </c>
      <c r="IH1" s="404"/>
      <c r="II1" s="404"/>
      <c r="IJ1" s="404"/>
      <c r="IK1" s="404"/>
      <c r="IL1" s="404"/>
      <c r="IM1" s="404"/>
      <c r="IN1" s="405"/>
      <c r="IO1" s="408" t="s">
        <v>41</v>
      </c>
      <c r="IP1" s="404"/>
      <c r="IQ1" s="404"/>
      <c r="IR1" s="404"/>
      <c r="IS1" s="404"/>
      <c r="IT1" s="404"/>
      <c r="IU1" s="404"/>
      <c r="IV1" s="405"/>
      <c r="IW1" s="408" t="s">
        <v>41</v>
      </c>
      <c r="IX1" s="404"/>
      <c r="IY1" s="404"/>
      <c r="IZ1" s="404"/>
      <c r="JA1" s="404"/>
      <c r="JB1" s="404"/>
      <c r="JC1" s="404"/>
      <c r="JD1" s="405"/>
      <c r="JE1" s="408" t="s">
        <v>41</v>
      </c>
      <c r="JF1" s="404"/>
      <c r="JG1" s="404"/>
      <c r="JH1" s="404"/>
      <c r="JI1" s="404"/>
      <c r="JJ1" s="404"/>
      <c r="JK1" s="404"/>
      <c r="JL1" s="405"/>
      <c r="JM1" s="408" t="s">
        <v>41</v>
      </c>
      <c r="JN1" s="404"/>
      <c r="JO1" s="404"/>
      <c r="JP1" s="404"/>
      <c r="JQ1" s="404"/>
      <c r="JR1" s="404"/>
      <c r="JS1" s="404"/>
      <c r="JT1" s="405"/>
      <c r="JU1" s="408" t="s">
        <v>41</v>
      </c>
      <c r="JV1" s="404"/>
      <c r="JW1" s="404"/>
      <c r="JX1" s="404"/>
      <c r="JY1" s="404"/>
      <c r="JZ1" s="404"/>
      <c r="KA1" s="404"/>
      <c r="KB1" s="405"/>
      <c r="KC1" s="408" t="s">
        <v>41</v>
      </c>
      <c r="KD1" s="404"/>
      <c r="KE1" s="404"/>
      <c r="KF1" s="404"/>
      <c r="KG1" s="404"/>
      <c r="KH1" s="404"/>
      <c r="KI1" s="404"/>
      <c r="KJ1" s="405"/>
      <c r="KK1" s="408" t="s">
        <v>41</v>
      </c>
      <c r="KL1" s="404"/>
      <c r="KM1" s="404"/>
      <c r="KN1" s="404"/>
      <c r="KO1" s="404"/>
      <c r="KP1" s="404"/>
      <c r="KQ1" s="404"/>
      <c r="KR1" s="405"/>
      <c r="KS1" s="408" t="s">
        <v>41</v>
      </c>
      <c r="KT1" s="404"/>
      <c r="KU1" s="404"/>
      <c r="KV1" s="404"/>
      <c r="KW1" s="404"/>
      <c r="KX1" s="404"/>
      <c r="KY1" s="404"/>
      <c r="KZ1" s="405"/>
      <c r="LA1" s="408" t="s">
        <v>41</v>
      </c>
      <c r="LB1" s="404"/>
      <c r="LC1" s="404"/>
      <c r="LD1" s="404"/>
      <c r="LE1" s="404"/>
      <c r="LF1" s="404"/>
      <c r="LG1" s="404"/>
      <c r="LH1" s="405"/>
      <c r="LI1" s="408" t="s">
        <v>41</v>
      </c>
      <c r="LJ1" s="404"/>
      <c r="LK1" s="404"/>
      <c r="LL1" s="404"/>
      <c r="LM1" s="404"/>
      <c r="LN1" s="404"/>
      <c r="LO1" s="404"/>
      <c r="LP1" s="405"/>
      <c r="LQ1" s="408" t="s">
        <v>41</v>
      </c>
      <c r="LR1" s="404"/>
      <c r="LS1" s="404"/>
      <c r="LT1" s="404"/>
      <c r="LU1" s="404"/>
      <c r="LV1" s="404"/>
      <c r="LW1" s="404"/>
      <c r="LX1" s="405"/>
      <c r="LY1" s="408" t="s">
        <v>41</v>
      </c>
      <c r="LZ1" s="404"/>
      <c r="MA1" s="404"/>
      <c r="MB1" s="404"/>
      <c r="MC1" s="404"/>
      <c r="MD1" s="404"/>
      <c r="ME1" s="404"/>
      <c r="MF1" s="405"/>
      <c r="MG1" s="408" t="s">
        <v>41</v>
      </c>
      <c r="MH1" s="404"/>
      <c r="MI1" s="404"/>
      <c r="MJ1" s="404"/>
      <c r="MK1" s="404"/>
      <c r="ML1" s="404"/>
      <c r="MM1" s="404"/>
      <c r="MN1" s="405"/>
      <c r="MO1" s="408" t="s">
        <v>41</v>
      </c>
      <c r="MP1" s="404"/>
      <c r="MQ1" s="404"/>
      <c r="MR1" s="404"/>
      <c r="MS1" s="404"/>
      <c r="MT1" s="404"/>
      <c r="MU1" s="404"/>
      <c r="MV1" s="405"/>
      <c r="MW1" s="408" t="s">
        <v>41</v>
      </c>
      <c r="MX1" s="404"/>
      <c r="MY1" s="404"/>
      <c r="MZ1" s="404"/>
      <c r="NA1" s="404"/>
      <c r="NB1" s="404"/>
      <c r="NC1" s="404"/>
      <c r="ND1" s="405"/>
      <c r="NE1" s="408" t="s">
        <v>41</v>
      </c>
      <c r="NF1" s="404"/>
      <c r="NG1" s="404"/>
      <c r="NH1" s="404"/>
      <c r="NI1" s="404"/>
      <c r="NJ1" s="404"/>
      <c r="NK1" s="404"/>
      <c r="NL1" s="405"/>
      <c r="NM1" s="408" t="s">
        <v>41</v>
      </c>
      <c r="NN1" s="404"/>
      <c r="NO1" s="404"/>
      <c r="NP1" s="404"/>
      <c r="NQ1" s="404"/>
      <c r="NR1" s="404"/>
      <c r="NS1" s="404"/>
      <c r="NT1" s="405"/>
      <c r="NU1" s="408" t="s">
        <v>41</v>
      </c>
      <c r="NV1" s="404"/>
      <c r="NW1" s="404"/>
      <c r="NX1" s="404"/>
      <c r="NY1" s="404"/>
      <c r="NZ1" s="404"/>
      <c r="OA1" s="404"/>
      <c r="OB1" s="405"/>
      <c r="OC1" s="408" t="s">
        <v>41</v>
      </c>
      <c r="OD1" s="404"/>
      <c r="OE1" s="404"/>
      <c r="OF1" s="404"/>
      <c r="OG1" s="404"/>
      <c r="OH1" s="404"/>
      <c r="OI1" s="404"/>
      <c r="OJ1" s="405"/>
      <c r="OK1" s="408" t="s">
        <v>41</v>
      </c>
      <c r="OL1" s="404"/>
      <c r="OM1" s="404"/>
      <c r="ON1" s="404"/>
      <c r="OO1" s="404"/>
      <c r="OP1" s="404"/>
      <c r="OQ1" s="404"/>
      <c r="OR1" s="405"/>
      <c r="OS1" s="408" t="s">
        <v>41</v>
      </c>
      <c r="OT1" s="404"/>
      <c r="OU1" s="404"/>
      <c r="OV1" s="404"/>
      <c r="OW1" s="404"/>
      <c r="OX1" s="404"/>
      <c r="OY1" s="404"/>
      <c r="OZ1" s="405"/>
      <c r="PA1" s="408" t="s">
        <v>41</v>
      </c>
      <c r="PB1" s="404"/>
      <c r="PC1" s="404"/>
      <c r="PD1" s="404"/>
      <c r="PE1" s="404"/>
      <c r="PF1" s="404"/>
      <c r="PG1" s="404"/>
      <c r="PH1" s="405"/>
      <c r="PI1" s="408" t="s">
        <v>41</v>
      </c>
      <c r="PJ1" s="404"/>
      <c r="PK1" s="404"/>
      <c r="PL1" s="404"/>
      <c r="PM1" s="404"/>
      <c r="PN1" s="404"/>
      <c r="PO1" s="404"/>
      <c r="PP1" s="405"/>
      <c r="PQ1" s="408" t="s">
        <v>41</v>
      </c>
      <c r="PR1" s="404"/>
      <c r="PS1" s="404"/>
      <c r="PT1" s="404"/>
      <c r="PU1" s="404"/>
      <c r="PV1" s="404"/>
      <c r="PW1" s="404"/>
      <c r="PX1" s="405"/>
      <c r="PY1" s="408" t="s">
        <v>41</v>
      </c>
      <c r="PZ1" s="404"/>
      <c r="QA1" s="404"/>
      <c r="QB1" s="404"/>
      <c r="QC1" s="404"/>
      <c r="QD1" s="404"/>
      <c r="QE1" s="404"/>
      <c r="QF1" s="405"/>
      <c r="QG1" s="408" t="s">
        <v>41</v>
      </c>
      <c r="QH1" s="404"/>
      <c r="QI1" s="404"/>
      <c r="QJ1" s="404"/>
      <c r="QK1" s="404"/>
      <c r="QL1" s="404"/>
      <c r="QM1" s="404"/>
      <c r="QN1" s="405"/>
      <c r="QO1" s="408" t="s">
        <v>41</v>
      </c>
      <c r="QP1" s="404"/>
      <c r="QQ1" s="404"/>
      <c r="QR1" s="404"/>
      <c r="QS1" s="404"/>
      <c r="QT1" s="404"/>
      <c r="QU1" s="404"/>
      <c r="QV1" s="405"/>
      <c r="QW1" s="408" t="s">
        <v>41</v>
      </c>
      <c r="QX1" s="404"/>
      <c r="QY1" s="404"/>
      <c r="QZ1" s="404"/>
      <c r="RA1" s="404"/>
      <c r="RB1" s="404"/>
      <c r="RC1" s="404"/>
      <c r="RD1" s="405"/>
      <c r="RE1" s="408" t="s">
        <v>41</v>
      </c>
      <c r="RF1" s="404"/>
      <c r="RG1" s="404"/>
      <c r="RH1" s="404"/>
      <c r="RI1" s="404"/>
      <c r="RJ1" s="404"/>
      <c r="RK1" s="404"/>
      <c r="RL1" s="405"/>
      <c r="RM1" s="408" t="s">
        <v>41</v>
      </c>
      <c r="RN1" s="404"/>
      <c r="RO1" s="404"/>
      <c r="RP1" s="404"/>
      <c r="RQ1" s="404"/>
      <c r="RR1" s="404"/>
      <c r="RS1" s="404"/>
      <c r="RT1" s="405"/>
      <c r="RU1" s="408" t="s">
        <v>41</v>
      </c>
      <c r="RV1" s="404"/>
      <c r="RW1" s="404"/>
      <c r="RX1" s="404"/>
      <c r="RY1" s="404"/>
      <c r="RZ1" s="404"/>
      <c r="SA1" s="404"/>
      <c r="SB1" s="405"/>
      <c r="SC1" s="408" t="s">
        <v>41</v>
      </c>
      <c r="SD1" s="404"/>
      <c r="SE1" s="404"/>
      <c r="SF1" s="404"/>
      <c r="SG1" s="404"/>
      <c r="SH1" s="404"/>
      <c r="SI1" s="404"/>
      <c r="SJ1" s="405"/>
      <c r="SK1" s="408" t="s">
        <v>41</v>
      </c>
      <c r="SL1" s="404"/>
      <c r="SM1" s="404"/>
      <c r="SN1" s="404"/>
      <c r="SO1" s="404"/>
      <c r="SP1" s="404"/>
      <c r="SQ1" s="404"/>
      <c r="SR1" s="405"/>
      <c r="SS1" s="408" t="s">
        <v>41</v>
      </c>
      <c r="ST1" s="404"/>
      <c r="SU1" s="404"/>
      <c r="SV1" s="404"/>
      <c r="SW1" s="404"/>
      <c r="SX1" s="404"/>
      <c r="SY1" s="404"/>
      <c r="SZ1" s="405"/>
      <c r="TA1" s="408" t="s">
        <v>41</v>
      </c>
      <c r="TB1" s="404"/>
      <c r="TC1" s="404"/>
      <c r="TD1" s="404"/>
      <c r="TE1" s="404"/>
      <c r="TF1" s="404"/>
      <c r="TG1" s="404"/>
      <c r="TH1" s="405"/>
      <c r="TI1" s="408" t="s">
        <v>41</v>
      </c>
      <c r="TJ1" s="404"/>
      <c r="TK1" s="404"/>
      <c r="TL1" s="404"/>
      <c r="TM1" s="404"/>
      <c r="TN1" s="404"/>
      <c r="TO1" s="404"/>
      <c r="TP1" s="405"/>
      <c r="TQ1" s="408" t="s">
        <v>41</v>
      </c>
      <c r="TR1" s="404"/>
      <c r="TS1" s="404"/>
      <c r="TT1" s="404"/>
      <c r="TU1" s="404"/>
      <c r="TV1" s="404"/>
      <c r="TW1" s="404"/>
      <c r="TX1" s="405"/>
      <c r="TY1" s="408" t="s">
        <v>41</v>
      </c>
      <c r="TZ1" s="404"/>
      <c r="UA1" s="404"/>
      <c r="UB1" s="404"/>
      <c r="UC1" s="404"/>
      <c r="UD1" s="404"/>
      <c r="UE1" s="404"/>
      <c r="UF1" s="405"/>
      <c r="UG1" s="408" t="s">
        <v>41</v>
      </c>
      <c r="UH1" s="404"/>
      <c r="UI1" s="404"/>
      <c r="UJ1" s="404"/>
      <c r="UK1" s="404"/>
      <c r="UL1" s="404"/>
      <c r="UM1" s="404"/>
      <c r="UN1" s="405"/>
      <c r="UO1" s="408" t="s">
        <v>41</v>
      </c>
      <c r="UP1" s="404"/>
      <c r="UQ1" s="404"/>
      <c r="UR1" s="404"/>
      <c r="US1" s="404"/>
      <c r="UT1" s="404"/>
      <c r="UU1" s="404"/>
      <c r="UV1" s="405"/>
      <c r="UW1" s="408" t="s">
        <v>41</v>
      </c>
      <c r="UX1" s="404"/>
      <c r="UY1" s="404"/>
      <c r="UZ1" s="404"/>
      <c r="VA1" s="404"/>
      <c r="VB1" s="404"/>
      <c r="VC1" s="404"/>
      <c r="VD1" s="405"/>
      <c r="VE1" s="408" t="s">
        <v>41</v>
      </c>
      <c r="VF1" s="404"/>
      <c r="VG1" s="404"/>
      <c r="VH1" s="404"/>
      <c r="VI1" s="404"/>
      <c r="VJ1" s="404"/>
      <c r="VK1" s="404"/>
      <c r="VL1" s="405"/>
      <c r="VM1" s="408" t="s">
        <v>41</v>
      </c>
      <c r="VN1" s="404"/>
      <c r="VO1" s="404"/>
      <c r="VP1" s="404"/>
      <c r="VQ1" s="404"/>
      <c r="VR1" s="404"/>
      <c r="VS1" s="404"/>
      <c r="VT1" s="405"/>
      <c r="VU1" s="408" t="s">
        <v>41</v>
      </c>
      <c r="VV1" s="404"/>
      <c r="VW1" s="404"/>
      <c r="VX1" s="404"/>
      <c r="VY1" s="404"/>
      <c r="VZ1" s="404"/>
      <c r="WA1" s="404"/>
      <c r="WB1" s="405"/>
      <c r="WC1" s="408" t="s">
        <v>41</v>
      </c>
      <c r="WD1" s="404"/>
      <c r="WE1" s="404"/>
      <c r="WF1" s="404"/>
      <c r="WG1" s="404"/>
      <c r="WH1" s="404"/>
      <c r="WI1" s="404"/>
      <c r="WJ1" s="405"/>
      <c r="WK1" s="408" t="s">
        <v>41</v>
      </c>
      <c r="WL1" s="404"/>
      <c r="WM1" s="404"/>
      <c r="WN1" s="404"/>
      <c r="WO1" s="404"/>
      <c r="WP1" s="404"/>
      <c r="WQ1" s="404"/>
      <c r="WR1" s="405"/>
      <c r="WS1" s="408" t="s">
        <v>41</v>
      </c>
      <c r="WT1" s="404"/>
      <c r="WU1" s="404"/>
      <c r="WV1" s="404"/>
      <c r="WW1" s="404"/>
      <c r="WX1" s="404"/>
      <c r="WY1" s="404"/>
      <c r="WZ1" s="405"/>
      <c r="XA1" s="408" t="s">
        <v>41</v>
      </c>
      <c r="XB1" s="404"/>
      <c r="XC1" s="404"/>
      <c r="XD1" s="404"/>
      <c r="XE1" s="404"/>
      <c r="XF1" s="404"/>
      <c r="XG1" s="404"/>
      <c r="XH1" s="405"/>
      <c r="XI1" s="408" t="s">
        <v>41</v>
      </c>
      <c r="XJ1" s="404"/>
      <c r="XK1" s="404"/>
      <c r="XL1" s="404"/>
      <c r="XM1" s="404"/>
      <c r="XN1" s="404"/>
      <c r="XO1" s="404"/>
      <c r="XP1" s="405"/>
      <c r="XQ1" s="408" t="s">
        <v>41</v>
      </c>
      <c r="XR1" s="404"/>
      <c r="XS1" s="404"/>
      <c r="XT1" s="404"/>
      <c r="XU1" s="404"/>
      <c r="XV1" s="404"/>
      <c r="XW1" s="404"/>
      <c r="XX1" s="405"/>
      <c r="XY1" s="408" t="s">
        <v>41</v>
      </c>
      <c r="XZ1" s="404"/>
      <c r="YA1" s="404"/>
      <c r="YB1" s="404"/>
      <c r="YC1" s="404"/>
      <c r="YD1" s="404"/>
      <c r="YE1" s="404"/>
      <c r="YF1" s="405"/>
      <c r="YG1" s="408" t="s">
        <v>41</v>
      </c>
      <c r="YH1" s="404"/>
      <c r="YI1" s="404"/>
      <c r="YJ1" s="404"/>
      <c r="YK1" s="404"/>
      <c r="YL1" s="404"/>
      <c r="YM1" s="404"/>
      <c r="YN1" s="405"/>
      <c r="YO1" s="408" t="s">
        <v>41</v>
      </c>
      <c r="YP1" s="404"/>
      <c r="YQ1" s="404"/>
      <c r="YR1" s="404"/>
      <c r="YS1" s="404"/>
      <c r="YT1" s="404"/>
      <c r="YU1" s="404"/>
      <c r="YV1" s="405"/>
      <c r="YW1" s="408" t="s">
        <v>41</v>
      </c>
      <c r="YX1" s="404"/>
      <c r="YY1" s="404"/>
      <c r="YZ1" s="404"/>
      <c r="ZA1" s="404"/>
      <c r="ZB1" s="404"/>
      <c r="ZC1" s="404"/>
      <c r="ZD1" s="405"/>
      <c r="ZE1" s="408" t="s">
        <v>41</v>
      </c>
      <c r="ZF1" s="404"/>
      <c r="ZG1" s="404"/>
      <c r="ZH1" s="404"/>
      <c r="ZI1" s="404"/>
      <c r="ZJ1" s="404"/>
      <c r="ZK1" s="404"/>
      <c r="ZL1" s="405"/>
      <c r="ZM1" s="408" t="s">
        <v>41</v>
      </c>
      <c r="ZN1" s="404"/>
      <c r="ZO1" s="404"/>
      <c r="ZP1" s="404"/>
      <c r="ZQ1" s="404"/>
      <c r="ZR1" s="404"/>
      <c r="ZS1" s="404"/>
      <c r="ZT1" s="405"/>
      <c r="ZU1" s="408" t="s">
        <v>41</v>
      </c>
      <c r="ZV1" s="404"/>
      <c r="ZW1" s="404"/>
      <c r="ZX1" s="404"/>
      <c r="ZY1" s="404"/>
      <c r="ZZ1" s="404"/>
      <c r="AAA1" s="404"/>
      <c r="AAB1" s="405"/>
      <c r="AAC1" s="408" t="s">
        <v>41</v>
      </c>
      <c r="AAD1" s="404"/>
      <c r="AAE1" s="404"/>
      <c r="AAF1" s="404"/>
      <c r="AAG1" s="404"/>
      <c r="AAH1" s="404"/>
      <c r="AAI1" s="404"/>
      <c r="AAJ1" s="405"/>
      <c r="AAK1" s="408" t="s">
        <v>41</v>
      </c>
      <c r="AAL1" s="404"/>
      <c r="AAM1" s="404"/>
      <c r="AAN1" s="404"/>
      <c r="AAO1" s="404"/>
      <c r="AAP1" s="404"/>
      <c r="AAQ1" s="404"/>
      <c r="AAR1" s="405"/>
      <c r="AAS1" s="408" t="s">
        <v>41</v>
      </c>
      <c r="AAT1" s="404"/>
      <c r="AAU1" s="404"/>
      <c r="AAV1" s="404"/>
      <c r="AAW1" s="404"/>
      <c r="AAX1" s="404"/>
      <c r="AAY1" s="404"/>
      <c r="AAZ1" s="405"/>
      <c r="ABA1" s="408" t="s">
        <v>41</v>
      </c>
      <c r="ABB1" s="404"/>
      <c r="ABC1" s="404"/>
      <c r="ABD1" s="404"/>
      <c r="ABE1" s="404"/>
      <c r="ABF1" s="404"/>
      <c r="ABG1" s="404"/>
      <c r="ABH1" s="405"/>
      <c r="ABI1" s="408" t="s">
        <v>41</v>
      </c>
      <c r="ABJ1" s="404"/>
      <c r="ABK1" s="404"/>
      <c r="ABL1" s="404"/>
      <c r="ABM1" s="404"/>
      <c r="ABN1" s="404"/>
      <c r="ABO1" s="404"/>
      <c r="ABP1" s="405"/>
      <c r="ABQ1" s="408" t="s">
        <v>41</v>
      </c>
      <c r="ABR1" s="404"/>
      <c r="ABS1" s="404"/>
      <c r="ABT1" s="404"/>
      <c r="ABU1" s="404"/>
      <c r="ABV1" s="404"/>
      <c r="ABW1" s="404"/>
      <c r="ABX1" s="405"/>
      <c r="ABY1" s="408" t="s">
        <v>41</v>
      </c>
      <c r="ABZ1" s="404"/>
      <c r="ACA1" s="404"/>
      <c r="ACB1" s="404"/>
      <c r="ACC1" s="404"/>
      <c r="ACD1" s="404"/>
      <c r="ACE1" s="404"/>
      <c r="ACF1" s="405"/>
      <c r="ACG1" s="408" t="s">
        <v>41</v>
      </c>
      <c r="ACH1" s="404"/>
      <c r="ACI1" s="404"/>
      <c r="ACJ1" s="404"/>
      <c r="ACK1" s="404"/>
      <c r="ACL1" s="404"/>
      <c r="ACM1" s="404"/>
      <c r="ACN1" s="405"/>
      <c r="ACO1" s="408" t="s">
        <v>41</v>
      </c>
      <c r="ACP1" s="404"/>
      <c r="ACQ1" s="404"/>
      <c r="ACR1" s="404"/>
      <c r="ACS1" s="404"/>
      <c r="ACT1" s="404"/>
      <c r="ACU1" s="404"/>
      <c r="ACV1" s="405"/>
      <c r="ACW1" s="408" t="s">
        <v>41</v>
      </c>
      <c r="ACX1" s="404"/>
      <c r="ACY1" s="404"/>
      <c r="ACZ1" s="404"/>
      <c r="ADA1" s="404"/>
      <c r="ADB1" s="404"/>
      <c r="ADC1" s="404"/>
      <c r="ADD1" s="405"/>
      <c r="ADE1" s="408" t="s">
        <v>41</v>
      </c>
      <c r="ADF1" s="404"/>
      <c r="ADG1" s="404"/>
      <c r="ADH1" s="404"/>
      <c r="ADI1" s="404"/>
      <c r="ADJ1" s="404"/>
      <c r="ADK1" s="404"/>
      <c r="ADL1" s="405"/>
      <c r="ADM1" s="408" t="s">
        <v>41</v>
      </c>
      <c r="ADN1" s="404"/>
      <c r="ADO1" s="404"/>
      <c r="ADP1" s="404"/>
      <c r="ADQ1" s="404"/>
      <c r="ADR1" s="404"/>
      <c r="ADS1" s="404"/>
      <c r="ADT1" s="405"/>
      <c r="ADU1" s="408" t="s">
        <v>41</v>
      </c>
      <c r="ADV1" s="404"/>
      <c r="ADW1" s="404"/>
      <c r="ADX1" s="404"/>
      <c r="ADY1" s="404"/>
      <c r="ADZ1" s="404"/>
      <c r="AEA1" s="404"/>
      <c r="AEB1" s="405"/>
      <c r="AEC1" s="408" t="s">
        <v>41</v>
      </c>
      <c r="AED1" s="404"/>
      <c r="AEE1" s="404"/>
      <c r="AEF1" s="404"/>
      <c r="AEG1" s="404"/>
      <c r="AEH1" s="404"/>
      <c r="AEI1" s="404"/>
      <c r="AEJ1" s="405"/>
      <c r="AEK1" s="408" t="s">
        <v>41</v>
      </c>
      <c r="AEL1" s="404"/>
      <c r="AEM1" s="404"/>
      <c r="AEN1" s="404"/>
      <c r="AEO1" s="404"/>
      <c r="AEP1" s="404"/>
      <c r="AEQ1" s="404"/>
      <c r="AER1" s="405"/>
      <c r="AES1" s="408" t="s">
        <v>41</v>
      </c>
      <c r="AET1" s="404"/>
      <c r="AEU1" s="404"/>
      <c r="AEV1" s="404"/>
      <c r="AEW1" s="404"/>
      <c r="AEX1" s="404"/>
      <c r="AEY1" s="404"/>
      <c r="AEZ1" s="405"/>
      <c r="AFA1" s="408" t="s">
        <v>41</v>
      </c>
      <c r="AFB1" s="404"/>
      <c r="AFC1" s="404"/>
      <c r="AFD1" s="404"/>
      <c r="AFE1" s="404"/>
      <c r="AFF1" s="404"/>
      <c r="AFG1" s="404"/>
      <c r="AFH1" s="405"/>
      <c r="AFI1" s="408" t="s">
        <v>41</v>
      </c>
      <c r="AFJ1" s="404"/>
      <c r="AFK1" s="404"/>
      <c r="AFL1" s="404"/>
      <c r="AFM1" s="404"/>
      <c r="AFN1" s="404"/>
      <c r="AFO1" s="404"/>
      <c r="AFP1" s="405"/>
      <c r="AFQ1" s="408" t="s">
        <v>41</v>
      </c>
      <c r="AFR1" s="404"/>
      <c r="AFS1" s="404"/>
      <c r="AFT1" s="404"/>
      <c r="AFU1" s="404"/>
      <c r="AFV1" s="404"/>
      <c r="AFW1" s="404"/>
      <c r="AFX1" s="405"/>
      <c r="AFY1" s="408" t="s">
        <v>41</v>
      </c>
      <c r="AFZ1" s="404"/>
      <c r="AGA1" s="404"/>
      <c r="AGB1" s="404"/>
      <c r="AGC1" s="404"/>
      <c r="AGD1" s="404"/>
      <c r="AGE1" s="404"/>
      <c r="AGF1" s="405"/>
      <c r="AGG1" s="408" t="s">
        <v>41</v>
      </c>
      <c r="AGH1" s="404"/>
      <c r="AGI1" s="404"/>
      <c r="AGJ1" s="404"/>
      <c r="AGK1" s="404"/>
      <c r="AGL1" s="404"/>
      <c r="AGM1" s="404"/>
      <c r="AGN1" s="405"/>
      <c r="AGO1" s="408" t="s">
        <v>41</v>
      </c>
      <c r="AGP1" s="404"/>
      <c r="AGQ1" s="404"/>
      <c r="AGR1" s="404"/>
      <c r="AGS1" s="404"/>
      <c r="AGT1" s="404"/>
      <c r="AGU1" s="404"/>
      <c r="AGV1" s="405"/>
      <c r="AGW1" s="408" t="s">
        <v>41</v>
      </c>
      <c r="AGX1" s="404"/>
      <c r="AGY1" s="404"/>
      <c r="AGZ1" s="404"/>
      <c r="AHA1" s="404"/>
      <c r="AHB1" s="404"/>
      <c r="AHC1" s="404"/>
      <c r="AHD1" s="405"/>
      <c r="AHE1" s="408" t="s">
        <v>41</v>
      </c>
      <c r="AHF1" s="404"/>
      <c r="AHG1" s="404"/>
      <c r="AHH1" s="404"/>
      <c r="AHI1" s="404"/>
      <c r="AHJ1" s="404"/>
      <c r="AHK1" s="404"/>
      <c r="AHL1" s="405"/>
      <c r="AHM1" s="408" t="s">
        <v>41</v>
      </c>
      <c r="AHN1" s="404"/>
      <c r="AHO1" s="404"/>
      <c r="AHP1" s="404"/>
      <c r="AHQ1" s="404"/>
      <c r="AHR1" s="404"/>
      <c r="AHS1" s="404"/>
      <c r="AHT1" s="405"/>
      <c r="AHU1" s="408" t="s">
        <v>41</v>
      </c>
      <c r="AHV1" s="404"/>
      <c r="AHW1" s="404"/>
      <c r="AHX1" s="404"/>
      <c r="AHY1" s="404"/>
      <c r="AHZ1" s="404"/>
      <c r="AIA1" s="404"/>
      <c r="AIB1" s="405"/>
      <c r="AIC1" s="408" t="s">
        <v>41</v>
      </c>
      <c r="AID1" s="404"/>
      <c r="AIE1" s="404"/>
      <c r="AIF1" s="404"/>
      <c r="AIG1" s="404"/>
      <c r="AIH1" s="404"/>
      <c r="AII1" s="404"/>
      <c r="AIJ1" s="405"/>
      <c r="AIK1" s="408" t="s">
        <v>41</v>
      </c>
      <c r="AIL1" s="404"/>
      <c r="AIM1" s="404"/>
      <c r="AIN1" s="404"/>
      <c r="AIO1" s="404"/>
      <c r="AIP1" s="404"/>
      <c r="AIQ1" s="404"/>
      <c r="AIR1" s="405"/>
      <c r="AIS1" s="408" t="s">
        <v>41</v>
      </c>
      <c r="AIT1" s="404"/>
      <c r="AIU1" s="404"/>
      <c r="AIV1" s="404"/>
      <c r="AIW1" s="404"/>
      <c r="AIX1" s="404"/>
      <c r="AIY1" s="404"/>
      <c r="AIZ1" s="405"/>
      <c r="AJA1" s="408" t="s">
        <v>41</v>
      </c>
      <c r="AJB1" s="404"/>
      <c r="AJC1" s="404"/>
      <c r="AJD1" s="404"/>
      <c r="AJE1" s="404"/>
      <c r="AJF1" s="404"/>
      <c r="AJG1" s="404"/>
      <c r="AJH1" s="405"/>
      <c r="AJI1" s="408" t="s">
        <v>41</v>
      </c>
      <c r="AJJ1" s="404"/>
      <c r="AJK1" s="404"/>
      <c r="AJL1" s="404"/>
      <c r="AJM1" s="404"/>
      <c r="AJN1" s="404"/>
      <c r="AJO1" s="404"/>
      <c r="AJP1" s="405"/>
      <c r="AJQ1" s="408" t="s">
        <v>41</v>
      </c>
      <c r="AJR1" s="404"/>
      <c r="AJS1" s="404"/>
      <c r="AJT1" s="404"/>
      <c r="AJU1" s="404"/>
      <c r="AJV1" s="404"/>
      <c r="AJW1" s="404"/>
      <c r="AJX1" s="405"/>
      <c r="AJY1" s="408" t="s">
        <v>41</v>
      </c>
      <c r="AJZ1" s="404"/>
      <c r="AKA1" s="404"/>
      <c r="AKB1" s="404"/>
      <c r="AKC1" s="404"/>
      <c r="AKD1" s="404"/>
      <c r="AKE1" s="404"/>
      <c r="AKF1" s="405"/>
      <c r="AKG1" s="408" t="s">
        <v>41</v>
      </c>
      <c r="AKH1" s="404"/>
      <c r="AKI1" s="404"/>
      <c r="AKJ1" s="404"/>
      <c r="AKK1" s="404"/>
      <c r="AKL1" s="404"/>
      <c r="AKM1" s="404"/>
      <c r="AKN1" s="405"/>
      <c r="AKO1" s="408" t="s">
        <v>41</v>
      </c>
      <c r="AKP1" s="404"/>
      <c r="AKQ1" s="404"/>
      <c r="AKR1" s="404"/>
      <c r="AKS1" s="404"/>
      <c r="AKT1" s="404"/>
      <c r="AKU1" s="404"/>
      <c r="AKV1" s="405"/>
      <c r="AKW1" s="408" t="s">
        <v>41</v>
      </c>
      <c r="AKX1" s="404"/>
      <c r="AKY1" s="404"/>
      <c r="AKZ1" s="404"/>
      <c r="ALA1" s="404"/>
      <c r="ALB1" s="404"/>
      <c r="ALC1" s="404"/>
      <c r="ALD1" s="405"/>
      <c r="ALE1" s="408" t="s">
        <v>41</v>
      </c>
      <c r="ALF1" s="404"/>
      <c r="ALG1" s="404"/>
      <c r="ALH1" s="404"/>
      <c r="ALI1" s="404"/>
      <c r="ALJ1" s="404"/>
      <c r="ALK1" s="404"/>
      <c r="ALL1" s="405"/>
      <c r="ALM1" s="408" t="s">
        <v>41</v>
      </c>
      <c r="ALN1" s="404"/>
      <c r="ALO1" s="404"/>
      <c r="ALP1" s="404"/>
      <c r="ALQ1" s="404"/>
      <c r="ALR1" s="404"/>
      <c r="ALS1" s="404"/>
      <c r="ALT1" s="405"/>
      <c r="ALU1" s="408" t="s">
        <v>41</v>
      </c>
      <c r="ALV1" s="404"/>
      <c r="ALW1" s="404"/>
      <c r="ALX1" s="404"/>
      <c r="ALY1" s="404"/>
      <c r="ALZ1" s="404"/>
      <c r="AMA1" s="404"/>
      <c r="AMB1" s="405"/>
      <c r="AMC1" s="408" t="s">
        <v>41</v>
      </c>
      <c r="AMD1" s="404"/>
      <c r="AME1" s="404"/>
      <c r="AMF1" s="404"/>
      <c r="AMG1" s="404"/>
      <c r="AMH1" s="404"/>
      <c r="AMI1" s="404"/>
      <c r="AMJ1" s="405"/>
      <c r="AMK1" s="408" t="s">
        <v>41</v>
      </c>
      <c r="AML1" s="404"/>
      <c r="AMM1" s="404"/>
      <c r="AMN1" s="404"/>
      <c r="AMO1" s="404"/>
      <c r="AMP1" s="404"/>
      <c r="AMQ1" s="404"/>
      <c r="AMR1" s="405"/>
      <c r="AMS1" s="408" t="s">
        <v>41</v>
      </c>
      <c r="AMT1" s="404"/>
      <c r="AMU1" s="404"/>
      <c r="AMV1" s="404"/>
      <c r="AMW1" s="404"/>
      <c r="AMX1" s="404"/>
      <c r="AMY1" s="404"/>
      <c r="AMZ1" s="405"/>
      <c r="ANA1" s="408" t="s">
        <v>41</v>
      </c>
      <c r="ANB1" s="404"/>
      <c r="ANC1" s="404"/>
      <c r="AND1" s="404"/>
      <c r="ANE1" s="404"/>
      <c r="ANF1" s="404"/>
      <c r="ANG1" s="404"/>
      <c r="ANH1" s="405"/>
      <c r="ANI1" s="408" t="s">
        <v>41</v>
      </c>
      <c r="ANJ1" s="404"/>
      <c r="ANK1" s="404"/>
      <c r="ANL1" s="404"/>
      <c r="ANM1" s="404"/>
      <c r="ANN1" s="404"/>
      <c r="ANO1" s="404"/>
      <c r="ANP1" s="405"/>
      <c r="ANQ1" s="408" t="s">
        <v>41</v>
      </c>
      <c r="ANR1" s="404"/>
      <c r="ANS1" s="404"/>
      <c r="ANT1" s="404"/>
      <c r="ANU1" s="404"/>
      <c r="ANV1" s="404"/>
      <c r="ANW1" s="404"/>
      <c r="ANX1" s="405"/>
      <c r="ANY1" s="408" t="s">
        <v>41</v>
      </c>
      <c r="ANZ1" s="404"/>
      <c r="AOA1" s="404"/>
      <c r="AOB1" s="404"/>
      <c r="AOC1" s="404"/>
      <c r="AOD1" s="404"/>
      <c r="AOE1" s="404"/>
      <c r="AOF1" s="405"/>
      <c r="AOG1" s="408" t="s">
        <v>41</v>
      </c>
      <c r="AOH1" s="404"/>
      <c r="AOI1" s="404"/>
      <c r="AOJ1" s="404"/>
      <c r="AOK1" s="404"/>
      <c r="AOL1" s="404"/>
      <c r="AOM1" s="404"/>
      <c r="AON1" s="405"/>
      <c r="AOO1" s="408" t="s">
        <v>41</v>
      </c>
      <c r="AOP1" s="404"/>
      <c r="AOQ1" s="404"/>
      <c r="AOR1" s="404"/>
      <c r="AOS1" s="404"/>
      <c r="AOT1" s="404"/>
      <c r="AOU1" s="404"/>
      <c r="AOV1" s="405"/>
      <c r="AOW1" s="408" t="s">
        <v>41</v>
      </c>
      <c r="AOX1" s="404"/>
      <c r="AOY1" s="404"/>
      <c r="AOZ1" s="404"/>
      <c r="APA1" s="404"/>
      <c r="APB1" s="404"/>
      <c r="APC1" s="404"/>
      <c r="APD1" s="405"/>
      <c r="APE1" s="408" t="s">
        <v>41</v>
      </c>
      <c r="APF1" s="404"/>
      <c r="APG1" s="404"/>
      <c r="APH1" s="404"/>
      <c r="API1" s="404"/>
      <c r="APJ1" s="404"/>
      <c r="APK1" s="404"/>
      <c r="APL1" s="405"/>
      <c r="APM1" s="408" t="s">
        <v>41</v>
      </c>
      <c r="APN1" s="404"/>
      <c r="APO1" s="404"/>
      <c r="APP1" s="404"/>
      <c r="APQ1" s="404"/>
      <c r="APR1" s="404"/>
      <c r="APS1" s="404"/>
      <c r="APT1" s="405"/>
      <c r="APU1" s="408" t="s">
        <v>41</v>
      </c>
      <c r="APV1" s="404"/>
      <c r="APW1" s="404"/>
      <c r="APX1" s="404"/>
      <c r="APY1" s="404"/>
      <c r="APZ1" s="404"/>
      <c r="AQA1" s="404"/>
      <c r="AQB1" s="405"/>
      <c r="AQC1" s="408" t="s">
        <v>41</v>
      </c>
      <c r="AQD1" s="404"/>
      <c r="AQE1" s="404"/>
      <c r="AQF1" s="404"/>
      <c r="AQG1" s="404"/>
      <c r="AQH1" s="404"/>
      <c r="AQI1" s="404"/>
      <c r="AQJ1" s="405"/>
      <c r="AQK1" s="408" t="s">
        <v>41</v>
      </c>
      <c r="AQL1" s="404"/>
      <c r="AQM1" s="404"/>
      <c r="AQN1" s="404"/>
      <c r="AQO1" s="404"/>
      <c r="AQP1" s="404"/>
      <c r="AQQ1" s="404"/>
      <c r="AQR1" s="405"/>
      <c r="AQS1" s="408" t="s">
        <v>41</v>
      </c>
      <c r="AQT1" s="404"/>
      <c r="AQU1" s="404"/>
      <c r="AQV1" s="404"/>
      <c r="AQW1" s="404"/>
      <c r="AQX1" s="404"/>
      <c r="AQY1" s="404"/>
      <c r="AQZ1" s="405"/>
      <c r="ARA1" s="408" t="s">
        <v>41</v>
      </c>
      <c r="ARB1" s="404"/>
      <c r="ARC1" s="404"/>
      <c r="ARD1" s="404"/>
      <c r="ARE1" s="404"/>
      <c r="ARF1" s="404"/>
      <c r="ARG1" s="404"/>
      <c r="ARH1" s="405"/>
      <c r="ARI1" s="408" t="s">
        <v>41</v>
      </c>
      <c r="ARJ1" s="404"/>
      <c r="ARK1" s="404"/>
      <c r="ARL1" s="404"/>
      <c r="ARM1" s="404"/>
      <c r="ARN1" s="404"/>
      <c r="ARO1" s="404"/>
      <c r="ARP1" s="405"/>
      <c r="ARQ1" s="408" t="s">
        <v>41</v>
      </c>
      <c r="ARR1" s="404"/>
      <c r="ARS1" s="404"/>
      <c r="ART1" s="404"/>
      <c r="ARU1" s="404"/>
      <c r="ARV1" s="404"/>
      <c r="ARW1" s="404"/>
      <c r="ARX1" s="405"/>
      <c r="ARY1" s="408" t="s">
        <v>41</v>
      </c>
      <c r="ARZ1" s="404"/>
      <c r="ASA1" s="404"/>
      <c r="ASB1" s="404"/>
      <c r="ASC1" s="404"/>
      <c r="ASD1" s="404"/>
      <c r="ASE1" s="404"/>
      <c r="ASF1" s="405"/>
      <c r="ASG1" s="408" t="s">
        <v>41</v>
      </c>
      <c r="ASH1" s="404"/>
      <c r="ASI1" s="404"/>
      <c r="ASJ1" s="404"/>
      <c r="ASK1" s="404"/>
      <c r="ASL1" s="404"/>
      <c r="ASM1" s="404"/>
      <c r="ASN1" s="405"/>
      <c r="ASO1" s="408" t="s">
        <v>41</v>
      </c>
      <c r="ASP1" s="404"/>
      <c r="ASQ1" s="404"/>
      <c r="ASR1" s="404"/>
      <c r="ASS1" s="404"/>
      <c r="AST1" s="404"/>
      <c r="ASU1" s="404"/>
      <c r="ASV1" s="405"/>
      <c r="ASW1" s="408" t="s">
        <v>41</v>
      </c>
      <c r="ASX1" s="404"/>
      <c r="ASY1" s="404"/>
      <c r="ASZ1" s="404"/>
      <c r="ATA1" s="404"/>
      <c r="ATB1" s="404"/>
      <c r="ATC1" s="404"/>
      <c r="ATD1" s="405"/>
      <c r="ATE1" s="408" t="s">
        <v>41</v>
      </c>
      <c r="ATF1" s="404"/>
      <c r="ATG1" s="404"/>
      <c r="ATH1" s="404"/>
      <c r="ATI1" s="404"/>
      <c r="ATJ1" s="404"/>
      <c r="ATK1" s="404"/>
      <c r="ATL1" s="405"/>
      <c r="ATM1" s="408" t="s">
        <v>41</v>
      </c>
      <c r="ATN1" s="404"/>
      <c r="ATO1" s="404"/>
      <c r="ATP1" s="404"/>
      <c r="ATQ1" s="404"/>
      <c r="ATR1" s="404"/>
      <c r="ATS1" s="404"/>
      <c r="ATT1" s="405"/>
      <c r="ATU1" s="408" t="s">
        <v>41</v>
      </c>
      <c r="ATV1" s="404"/>
      <c r="ATW1" s="404"/>
      <c r="ATX1" s="404"/>
      <c r="ATY1" s="404"/>
      <c r="ATZ1" s="404"/>
      <c r="AUA1" s="404"/>
      <c r="AUB1" s="405"/>
      <c r="AUC1" s="408" t="s">
        <v>41</v>
      </c>
      <c r="AUD1" s="404"/>
      <c r="AUE1" s="404"/>
      <c r="AUF1" s="404"/>
      <c r="AUG1" s="404"/>
      <c r="AUH1" s="404"/>
      <c r="AUI1" s="404"/>
      <c r="AUJ1" s="405"/>
      <c r="AUK1" s="408" t="s">
        <v>41</v>
      </c>
      <c r="AUL1" s="404"/>
      <c r="AUM1" s="404"/>
      <c r="AUN1" s="404"/>
      <c r="AUO1" s="404"/>
      <c r="AUP1" s="404"/>
      <c r="AUQ1" s="404"/>
      <c r="AUR1" s="405"/>
      <c r="AUS1" s="408" t="s">
        <v>41</v>
      </c>
      <c r="AUT1" s="404"/>
      <c r="AUU1" s="404"/>
      <c r="AUV1" s="404"/>
      <c r="AUW1" s="404"/>
      <c r="AUX1" s="404"/>
      <c r="AUY1" s="404"/>
      <c r="AUZ1" s="405"/>
      <c r="AVA1" s="408" t="s">
        <v>41</v>
      </c>
      <c r="AVB1" s="404"/>
      <c r="AVC1" s="404"/>
      <c r="AVD1" s="404"/>
      <c r="AVE1" s="404"/>
      <c r="AVF1" s="404"/>
      <c r="AVG1" s="404"/>
      <c r="AVH1" s="405"/>
      <c r="AVI1" s="408" t="s">
        <v>41</v>
      </c>
      <c r="AVJ1" s="404"/>
      <c r="AVK1" s="404"/>
      <c r="AVL1" s="404"/>
      <c r="AVM1" s="404"/>
      <c r="AVN1" s="404"/>
      <c r="AVO1" s="404"/>
      <c r="AVP1" s="405"/>
      <c r="AVQ1" s="408" t="s">
        <v>41</v>
      </c>
      <c r="AVR1" s="404"/>
      <c r="AVS1" s="404"/>
      <c r="AVT1" s="404"/>
      <c r="AVU1" s="404"/>
      <c r="AVV1" s="404"/>
      <c r="AVW1" s="404"/>
      <c r="AVX1" s="405"/>
      <c r="AVY1" s="408" t="s">
        <v>41</v>
      </c>
      <c r="AVZ1" s="404"/>
      <c r="AWA1" s="404"/>
      <c r="AWB1" s="404"/>
      <c r="AWC1" s="404"/>
      <c r="AWD1" s="404"/>
      <c r="AWE1" s="404"/>
      <c r="AWF1" s="405"/>
      <c r="AWG1" s="408" t="s">
        <v>41</v>
      </c>
      <c r="AWH1" s="404"/>
      <c r="AWI1" s="404"/>
      <c r="AWJ1" s="404"/>
      <c r="AWK1" s="404"/>
      <c r="AWL1" s="404"/>
      <c r="AWM1" s="404"/>
      <c r="AWN1" s="405"/>
      <c r="AWO1" s="408" t="s">
        <v>41</v>
      </c>
      <c r="AWP1" s="404"/>
      <c r="AWQ1" s="404"/>
      <c r="AWR1" s="404"/>
      <c r="AWS1" s="404"/>
      <c r="AWT1" s="404"/>
      <c r="AWU1" s="404"/>
      <c r="AWV1" s="405"/>
      <c r="AWW1" s="408" t="s">
        <v>41</v>
      </c>
      <c r="AWX1" s="404"/>
      <c r="AWY1" s="404"/>
      <c r="AWZ1" s="404"/>
      <c r="AXA1" s="404"/>
      <c r="AXB1" s="404"/>
      <c r="AXC1" s="404"/>
      <c r="AXD1" s="405"/>
      <c r="AXE1" s="408" t="s">
        <v>41</v>
      </c>
      <c r="AXF1" s="404"/>
      <c r="AXG1" s="404"/>
      <c r="AXH1" s="404"/>
      <c r="AXI1" s="404"/>
      <c r="AXJ1" s="404"/>
      <c r="AXK1" s="404"/>
      <c r="AXL1" s="405"/>
      <c r="AXM1" s="408" t="s">
        <v>41</v>
      </c>
      <c r="AXN1" s="404"/>
      <c r="AXO1" s="404"/>
      <c r="AXP1" s="404"/>
      <c r="AXQ1" s="404"/>
      <c r="AXR1" s="404"/>
      <c r="AXS1" s="404"/>
      <c r="AXT1" s="405"/>
      <c r="AXU1" s="408" t="s">
        <v>41</v>
      </c>
      <c r="AXV1" s="404"/>
      <c r="AXW1" s="404"/>
      <c r="AXX1" s="404"/>
      <c r="AXY1" s="404"/>
      <c r="AXZ1" s="404"/>
      <c r="AYA1" s="404"/>
      <c r="AYB1" s="405"/>
      <c r="AYC1" s="408" t="s">
        <v>41</v>
      </c>
      <c r="AYD1" s="404"/>
      <c r="AYE1" s="404"/>
      <c r="AYF1" s="404"/>
      <c r="AYG1" s="404"/>
      <c r="AYH1" s="404"/>
      <c r="AYI1" s="404"/>
      <c r="AYJ1" s="405"/>
      <c r="AYK1" s="408" t="s">
        <v>41</v>
      </c>
      <c r="AYL1" s="404"/>
      <c r="AYM1" s="404"/>
      <c r="AYN1" s="404"/>
      <c r="AYO1" s="404"/>
      <c r="AYP1" s="404"/>
      <c r="AYQ1" s="404"/>
      <c r="AYR1" s="405"/>
      <c r="AYS1" s="408" t="s">
        <v>41</v>
      </c>
      <c r="AYT1" s="404"/>
      <c r="AYU1" s="404"/>
      <c r="AYV1" s="404"/>
      <c r="AYW1" s="404"/>
      <c r="AYX1" s="404"/>
      <c r="AYY1" s="404"/>
      <c r="AYZ1" s="405"/>
      <c r="AZA1" s="408" t="s">
        <v>41</v>
      </c>
      <c r="AZB1" s="404"/>
      <c r="AZC1" s="404"/>
      <c r="AZD1" s="404"/>
      <c r="AZE1" s="404"/>
      <c r="AZF1" s="404"/>
      <c r="AZG1" s="404"/>
      <c r="AZH1" s="405"/>
      <c r="AZI1" s="408" t="s">
        <v>41</v>
      </c>
      <c r="AZJ1" s="404"/>
      <c r="AZK1" s="404"/>
      <c r="AZL1" s="404"/>
      <c r="AZM1" s="404"/>
      <c r="AZN1" s="404"/>
      <c r="AZO1" s="404"/>
      <c r="AZP1" s="405"/>
      <c r="AZQ1" s="408" t="s">
        <v>41</v>
      </c>
      <c r="AZR1" s="404"/>
      <c r="AZS1" s="404"/>
      <c r="AZT1" s="404"/>
      <c r="AZU1" s="404"/>
      <c r="AZV1" s="404"/>
      <c r="AZW1" s="404"/>
      <c r="AZX1" s="405"/>
      <c r="AZY1" s="408" t="s">
        <v>41</v>
      </c>
      <c r="AZZ1" s="404"/>
      <c r="BAA1" s="404"/>
      <c r="BAB1" s="404"/>
      <c r="BAC1" s="404"/>
      <c r="BAD1" s="404"/>
      <c r="BAE1" s="404"/>
      <c r="BAF1" s="405"/>
      <c r="BAG1" s="408" t="s">
        <v>41</v>
      </c>
      <c r="BAH1" s="404"/>
      <c r="BAI1" s="404"/>
      <c r="BAJ1" s="404"/>
      <c r="BAK1" s="404"/>
      <c r="BAL1" s="404"/>
      <c r="BAM1" s="404"/>
      <c r="BAN1" s="405"/>
      <c r="BAO1" s="408" t="s">
        <v>41</v>
      </c>
      <c r="BAP1" s="404"/>
      <c r="BAQ1" s="404"/>
      <c r="BAR1" s="404"/>
      <c r="BAS1" s="404"/>
      <c r="BAT1" s="404"/>
      <c r="BAU1" s="404"/>
      <c r="BAV1" s="405"/>
      <c r="BAW1" s="408" t="s">
        <v>41</v>
      </c>
      <c r="BAX1" s="404"/>
      <c r="BAY1" s="404"/>
      <c r="BAZ1" s="404"/>
      <c r="BBA1" s="404"/>
      <c r="BBB1" s="404"/>
      <c r="BBC1" s="404"/>
      <c r="BBD1" s="405"/>
      <c r="BBE1" s="408" t="s">
        <v>41</v>
      </c>
      <c r="BBF1" s="404"/>
      <c r="BBG1" s="404"/>
      <c r="BBH1" s="404"/>
      <c r="BBI1" s="404"/>
      <c r="BBJ1" s="404"/>
      <c r="BBK1" s="404"/>
      <c r="BBL1" s="405"/>
      <c r="BBM1" s="408" t="s">
        <v>41</v>
      </c>
      <c r="BBN1" s="404"/>
      <c r="BBO1" s="404"/>
      <c r="BBP1" s="404"/>
      <c r="BBQ1" s="404"/>
      <c r="BBR1" s="404"/>
      <c r="BBS1" s="404"/>
      <c r="BBT1" s="405"/>
      <c r="BBU1" s="408" t="s">
        <v>41</v>
      </c>
      <c r="BBV1" s="404"/>
      <c r="BBW1" s="404"/>
      <c r="BBX1" s="404"/>
      <c r="BBY1" s="404"/>
      <c r="BBZ1" s="404"/>
      <c r="BCA1" s="404"/>
      <c r="BCB1" s="405"/>
      <c r="BCC1" s="408" t="s">
        <v>41</v>
      </c>
      <c r="BCD1" s="404"/>
      <c r="BCE1" s="404"/>
      <c r="BCF1" s="404"/>
      <c r="BCG1" s="404"/>
      <c r="BCH1" s="404"/>
      <c r="BCI1" s="404"/>
      <c r="BCJ1" s="405"/>
      <c r="BCK1" s="408" t="s">
        <v>41</v>
      </c>
      <c r="BCL1" s="404"/>
      <c r="BCM1" s="404"/>
      <c r="BCN1" s="404"/>
      <c r="BCO1" s="404"/>
      <c r="BCP1" s="404"/>
      <c r="BCQ1" s="404"/>
      <c r="BCR1" s="405"/>
      <c r="BCS1" s="408" t="s">
        <v>41</v>
      </c>
      <c r="BCT1" s="404"/>
      <c r="BCU1" s="404"/>
      <c r="BCV1" s="404"/>
      <c r="BCW1" s="404"/>
      <c r="BCX1" s="404"/>
      <c r="BCY1" s="404"/>
      <c r="BCZ1" s="405"/>
      <c r="BDA1" s="408" t="s">
        <v>41</v>
      </c>
      <c r="BDB1" s="404"/>
      <c r="BDC1" s="404"/>
      <c r="BDD1" s="404"/>
      <c r="BDE1" s="404"/>
      <c r="BDF1" s="404"/>
      <c r="BDG1" s="404"/>
      <c r="BDH1" s="405"/>
      <c r="BDI1" s="408" t="s">
        <v>41</v>
      </c>
      <c r="BDJ1" s="404"/>
      <c r="BDK1" s="404"/>
      <c r="BDL1" s="404"/>
      <c r="BDM1" s="404"/>
      <c r="BDN1" s="404"/>
      <c r="BDO1" s="404"/>
      <c r="BDP1" s="405"/>
      <c r="BDQ1" s="408" t="s">
        <v>41</v>
      </c>
      <c r="BDR1" s="404"/>
      <c r="BDS1" s="404"/>
      <c r="BDT1" s="404"/>
      <c r="BDU1" s="404"/>
      <c r="BDV1" s="404"/>
      <c r="BDW1" s="404"/>
      <c r="BDX1" s="405"/>
      <c r="BDY1" s="408" t="s">
        <v>41</v>
      </c>
      <c r="BDZ1" s="404"/>
      <c r="BEA1" s="404"/>
      <c r="BEB1" s="404"/>
      <c r="BEC1" s="404"/>
      <c r="BED1" s="404"/>
      <c r="BEE1" s="404"/>
      <c r="BEF1" s="405"/>
      <c r="BEG1" s="408" t="s">
        <v>41</v>
      </c>
      <c r="BEH1" s="404"/>
      <c r="BEI1" s="404"/>
      <c r="BEJ1" s="404"/>
      <c r="BEK1" s="404"/>
      <c r="BEL1" s="404"/>
      <c r="BEM1" s="404"/>
      <c r="BEN1" s="405"/>
      <c r="BEO1" s="408" t="s">
        <v>41</v>
      </c>
      <c r="BEP1" s="404"/>
      <c r="BEQ1" s="404"/>
      <c r="BER1" s="404"/>
      <c r="BES1" s="404"/>
      <c r="BET1" s="404"/>
      <c r="BEU1" s="404"/>
      <c r="BEV1" s="405"/>
      <c r="BEW1" s="408" t="s">
        <v>41</v>
      </c>
      <c r="BEX1" s="404"/>
      <c r="BEY1" s="404"/>
      <c r="BEZ1" s="404"/>
      <c r="BFA1" s="404"/>
      <c r="BFB1" s="404"/>
      <c r="BFC1" s="404"/>
      <c r="BFD1" s="405"/>
      <c r="BFE1" s="408" t="s">
        <v>41</v>
      </c>
      <c r="BFF1" s="404"/>
      <c r="BFG1" s="404"/>
      <c r="BFH1" s="404"/>
      <c r="BFI1" s="404"/>
      <c r="BFJ1" s="404"/>
      <c r="BFK1" s="404"/>
      <c r="BFL1" s="405"/>
      <c r="BFM1" s="408" t="s">
        <v>41</v>
      </c>
      <c r="BFN1" s="404"/>
      <c r="BFO1" s="404"/>
      <c r="BFP1" s="404"/>
      <c r="BFQ1" s="404"/>
      <c r="BFR1" s="404"/>
      <c r="BFS1" s="404"/>
      <c r="BFT1" s="405"/>
      <c r="BFU1" s="408" t="s">
        <v>41</v>
      </c>
      <c r="BFV1" s="404"/>
      <c r="BFW1" s="404"/>
      <c r="BFX1" s="404"/>
      <c r="BFY1" s="404"/>
      <c r="BFZ1" s="404"/>
      <c r="BGA1" s="404"/>
      <c r="BGB1" s="405"/>
      <c r="BGC1" s="408" t="s">
        <v>41</v>
      </c>
      <c r="BGD1" s="404"/>
      <c r="BGE1" s="404"/>
      <c r="BGF1" s="404"/>
      <c r="BGG1" s="404"/>
      <c r="BGH1" s="404"/>
      <c r="BGI1" s="404"/>
      <c r="BGJ1" s="405"/>
      <c r="BGK1" s="408" t="s">
        <v>41</v>
      </c>
      <c r="BGL1" s="404"/>
      <c r="BGM1" s="404"/>
      <c r="BGN1" s="404"/>
      <c r="BGO1" s="404"/>
      <c r="BGP1" s="404"/>
      <c r="BGQ1" s="404"/>
      <c r="BGR1" s="405"/>
      <c r="BGS1" s="408" t="s">
        <v>41</v>
      </c>
      <c r="BGT1" s="404"/>
      <c r="BGU1" s="404"/>
      <c r="BGV1" s="404"/>
      <c r="BGW1" s="404"/>
      <c r="BGX1" s="404"/>
      <c r="BGY1" s="404"/>
      <c r="BGZ1" s="405"/>
      <c r="BHA1" s="408" t="s">
        <v>41</v>
      </c>
      <c r="BHB1" s="404"/>
      <c r="BHC1" s="404"/>
      <c r="BHD1" s="404"/>
      <c r="BHE1" s="404"/>
      <c r="BHF1" s="404"/>
      <c r="BHG1" s="404"/>
      <c r="BHH1" s="405"/>
      <c r="BHI1" s="408" t="s">
        <v>41</v>
      </c>
      <c r="BHJ1" s="404"/>
      <c r="BHK1" s="404"/>
      <c r="BHL1" s="404"/>
      <c r="BHM1" s="404"/>
      <c r="BHN1" s="404"/>
      <c r="BHO1" s="404"/>
      <c r="BHP1" s="405"/>
      <c r="BHQ1" s="408" t="s">
        <v>41</v>
      </c>
      <c r="BHR1" s="404"/>
      <c r="BHS1" s="404"/>
      <c r="BHT1" s="404"/>
      <c r="BHU1" s="404"/>
      <c r="BHV1" s="404"/>
      <c r="BHW1" s="404"/>
      <c r="BHX1" s="405"/>
      <c r="BHY1" s="408" t="s">
        <v>41</v>
      </c>
      <c r="BHZ1" s="404"/>
      <c r="BIA1" s="404"/>
      <c r="BIB1" s="404"/>
      <c r="BIC1" s="404"/>
      <c r="BID1" s="404"/>
      <c r="BIE1" s="404"/>
      <c r="BIF1" s="405"/>
      <c r="BIG1" s="408" t="s">
        <v>41</v>
      </c>
      <c r="BIH1" s="404"/>
      <c r="BII1" s="404"/>
      <c r="BIJ1" s="404"/>
      <c r="BIK1" s="404"/>
      <c r="BIL1" s="404"/>
      <c r="BIM1" s="404"/>
      <c r="BIN1" s="405"/>
      <c r="BIO1" s="408" t="s">
        <v>41</v>
      </c>
      <c r="BIP1" s="404"/>
      <c r="BIQ1" s="404"/>
      <c r="BIR1" s="404"/>
      <c r="BIS1" s="404"/>
      <c r="BIT1" s="404"/>
      <c r="BIU1" s="404"/>
      <c r="BIV1" s="405"/>
      <c r="BIW1" s="408" t="s">
        <v>41</v>
      </c>
      <c r="BIX1" s="404"/>
      <c r="BIY1" s="404"/>
      <c r="BIZ1" s="404"/>
      <c r="BJA1" s="404"/>
      <c r="BJB1" s="404"/>
      <c r="BJC1" s="404"/>
      <c r="BJD1" s="405"/>
      <c r="BJE1" s="408" t="s">
        <v>41</v>
      </c>
      <c r="BJF1" s="404"/>
      <c r="BJG1" s="404"/>
      <c r="BJH1" s="404"/>
      <c r="BJI1" s="404"/>
      <c r="BJJ1" s="404"/>
      <c r="BJK1" s="404"/>
      <c r="BJL1" s="405"/>
      <c r="BJM1" s="408" t="s">
        <v>41</v>
      </c>
      <c r="BJN1" s="404"/>
      <c r="BJO1" s="404"/>
      <c r="BJP1" s="404"/>
      <c r="BJQ1" s="404"/>
      <c r="BJR1" s="404"/>
      <c r="BJS1" s="404"/>
      <c r="BJT1" s="405"/>
      <c r="BJU1" s="408" t="s">
        <v>41</v>
      </c>
      <c r="BJV1" s="404"/>
      <c r="BJW1" s="404"/>
      <c r="BJX1" s="404"/>
      <c r="BJY1" s="404"/>
      <c r="BJZ1" s="404"/>
      <c r="BKA1" s="404"/>
      <c r="BKB1" s="405"/>
      <c r="BKC1" s="408" t="s">
        <v>41</v>
      </c>
      <c r="BKD1" s="404"/>
      <c r="BKE1" s="404"/>
      <c r="BKF1" s="404"/>
      <c r="BKG1" s="404"/>
      <c r="BKH1" s="404"/>
      <c r="BKI1" s="404"/>
      <c r="BKJ1" s="405"/>
      <c r="BKK1" s="408" t="s">
        <v>41</v>
      </c>
      <c r="BKL1" s="404"/>
      <c r="BKM1" s="404"/>
      <c r="BKN1" s="404"/>
      <c r="BKO1" s="404"/>
      <c r="BKP1" s="404"/>
      <c r="BKQ1" s="404"/>
      <c r="BKR1" s="405"/>
      <c r="BKS1" s="408" t="s">
        <v>41</v>
      </c>
      <c r="BKT1" s="404"/>
      <c r="BKU1" s="404"/>
      <c r="BKV1" s="404"/>
      <c r="BKW1" s="404"/>
      <c r="BKX1" s="404"/>
      <c r="BKY1" s="404"/>
      <c r="BKZ1" s="405"/>
      <c r="BLA1" s="408" t="s">
        <v>41</v>
      </c>
      <c r="BLB1" s="404"/>
      <c r="BLC1" s="404"/>
      <c r="BLD1" s="404"/>
      <c r="BLE1" s="404"/>
      <c r="BLF1" s="404"/>
      <c r="BLG1" s="404"/>
      <c r="BLH1" s="405"/>
      <c r="BLI1" s="408" t="s">
        <v>41</v>
      </c>
      <c r="BLJ1" s="404"/>
      <c r="BLK1" s="404"/>
      <c r="BLL1" s="404"/>
      <c r="BLM1" s="404"/>
      <c r="BLN1" s="404"/>
      <c r="BLO1" s="404"/>
      <c r="BLP1" s="405"/>
      <c r="BLQ1" s="408" t="s">
        <v>41</v>
      </c>
      <c r="BLR1" s="404"/>
      <c r="BLS1" s="404"/>
      <c r="BLT1" s="404"/>
      <c r="BLU1" s="404"/>
      <c r="BLV1" s="404"/>
      <c r="BLW1" s="404"/>
      <c r="BLX1" s="405"/>
      <c r="BLY1" s="408" t="s">
        <v>41</v>
      </c>
      <c r="BLZ1" s="404"/>
      <c r="BMA1" s="404"/>
      <c r="BMB1" s="404"/>
      <c r="BMC1" s="404"/>
      <c r="BMD1" s="404"/>
      <c r="BME1" s="404"/>
      <c r="BMF1" s="405"/>
      <c r="BMG1" s="408" t="s">
        <v>41</v>
      </c>
      <c r="BMH1" s="404"/>
      <c r="BMI1" s="404"/>
      <c r="BMJ1" s="404"/>
      <c r="BMK1" s="404"/>
      <c r="BML1" s="404"/>
      <c r="BMM1" s="404"/>
      <c r="BMN1" s="405"/>
      <c r="BMO1" s="408" t="s">
        <v>41</v>
      </c>
      <c r="BMP1" s="404"/>
      <c r="BMQ1" s="404"/>
      <c r="BMR1" s="404"/>
      <c r="BMS1" s="404"/>
      <c r="BMT1" s="404"/>
      <c r="BMU1" s="404"/>
      <c r="BMV1" s="405"/>
      <c r="BMW1" s="408" t="s">
        <v>41</v>
      </c>
      <c r="BMX1" s="404"/>
      <c r="BMY1" s="404"/>
      <c r="BMZ1" s="404"/>
      <c r="BNA1" s="404"/>
      <c r="BNB1" s="404"/>
      <c r="BNC1" s="404"/>
      <c r="BND1" s="405"/>
      <c r="BNE1" s="408" t="s">
        <v>41</v>
      </c>
      <c r="BNF1" s="404"/>
      <c r="BNG1" s="404"/>
      <c r="BNH1" s="404"/>
      <c r="BNI1" s="404"/>
      <c r="BNJ1" s="404"/>
      <c r="BNK1" s="404"/>
      <c r="BNL1" s="405"/>
      <c r="BNM1" s="408" t="s">
        <v>41</v>
      </c>
      <c r="BNN1" s="404"/>
      <c r="BNO1" s="404"/>
      <c r="BNP1" s="404"/>
      <c r="BNQ1" s="404"/>
      <c r="BNR1" s="404"/>
      <c r="BNS1" s="404"/>
      <c r="BNT1" s="405"/>
      <c r="BNU1" s="408" t="s">
        <v>41</v>
      </c>
      <c r="BNV1" s="404"/>
      <c r="BNW1" s="404"/>
      <c r="BNX1" s="404"/>
      <c r="BNY1" s="404"/>
      <c r="BNZ1" s="404"/>
      <c r="BOA1" s="404"/>
      <c r="BOB1" s="405"/>
      <c r="BOC1" s="408" t="s">
        <v>41</v>
      </c>
      <c r="BOD1" s="404"/>
      <c r="BOE1" s="404"/>
      <c r="BOF1" s="404"/>
      <c r="BOG1" s="404"/>
      <c r="BOH1" s="404"/>
      <c r="BOI1" s="404"/>
      <c r="BOJ1" s="405"/>
      <c r="BOK1" s="408" t="s">
        <v>41</v>
      </c>
      <c r="BOL1" s="404"/>
      <c r="BOM1" s="404"/>
      <c r="BON1" s="404"/>
      <c r="BOO1" s="404"/>
      <c r="BOP1" s="404"/>
      <c r="BOQ1" s="404"/>
      <c r="BOR1" s="405"/>
      <c r="BOS1" s="408" t="s">
        <v>41</v>
      </c>
      <c r="BOT1" s="404"/>
      <c r="BOU1" s="404"/>
      <c r="BOV1" s="404"/>
      <c r="BOW1" s="404"/>
      <c r="BOX1" s="404"/>
      <c r="BOY1" s="404"/>
      <c r="BOZ1" s="405"/>
      <c r="BPA1" s="408" t="s">
        <v>41</v>
      </c>
      <c r="BPB1" s="404"/>
      <c r="BPC1" s="404"/>
      <c r="BPD1" s="404"/>
      <c r="BPE1" s="404"/>
      <c r="BPF1" s="404"/>
      <c r="BPG1" s="404"/>
      <c r="BPH1" s="405"/>
      <c r="BPI1" s="408" t="s">
        <v>41</v>
      </c>
      <c r="BPJ1" s="404"/>
      <c r="BPK1" s="404"/>
      <c r="BPL1" s="404"/>
      <c r="BPM1" s="404"/>
      <c r="BPN1" s="404"/>
      <c r="BPO1" s="404"/>
      <c r="BPP1" s="405"/>
      <c r="BPQ1" s="408" t="s">
        <v>41</v>
      </c>
      <c r="BPR1" s="404"/>
      <c r="BPS1" s="404"/>
      <c r="BPT1" s="404"/>
      <c r="BPU1" s="404"/>
      <c r="BPV1" s="404"/>
      <c r="BPW1" s="404"/>
      <c r="BPX1" s="405"/>
      <c r="BPY1" s="408" t="s">
        <v>41</v>
      </c>
      <c r="BPZ1" s="404"/>
      <c r="BQA1" s="404"/>
      <c r="BQB1" s="404"/>
      <c r="BQC1" s="404"/>
      <c r="BQD1" s="404"/>
      <c r="BQE1" s="404"/>
      <c r="BQF1" s="405"/>
      <c r="BQG1" s="408" t="s">
        <v>41</v>
      </c>
      <c r="BQH1" s="404"/>
      <c r="BQI1" s="404"/>
      <c r="BQJ1" s="404"/>
      <c r="BQK1" s="404"/>
      <c r="BQL1" s="404"/>
      <c r="BQM1" s="404"/>
      <c r="BQN1" s="405"/>
      <c r="BQO1" s="408" t="s">
        <v>41</v>
      </c>
      <c r="BQP1" s="404"/>
      <c r="BQQ1" s="404"/>
      <c r="BQR1" s="404"/>
      <c r="BQS1" s="404"/>
      <c r="BQT1" s="404"/>
      <c r="BQU1" s="404"/>
      <c r="BQV1" s="405"/>
      <c r="BQW1" s="408" t="s">
        <v>41</v>
      </c>
      <c r="BQX1" s="404"/>
      <c r="BQY1" s="404"/>
      <c r="BQZ1" s="404"/>
      <c r="BRA1" s="404"/>
      <c r="BRB1" s="404"/>
      <c r="BRC1" s="404"/>
      <c r="BRD1" s="405"/>
      <c r="BRE1" s="408" t="s">
        <v>41</v>
      </c>
      <c r="BRF1" s="404"/>
      <c r="BRG1" s="404"/>
      <c r="BRH1" s="404"/>
      <c r="BRI1" s="404"/>
      <c r="BRJ1" s="404"/>
      <c r="BRK1" s="404"/>
      <c r="BRL1" s="405"/>
      <c r="BRM1" s="408" t="s">
        <v>41</v>
      </c>
      <c r="BRN1" s="404"/>
      <c r="BRO1" s="404"/>
      <c r="BRP1" s="404"/>
      <c r="BRQ1" s="404"/>
      <c r="BRR1" s="404"/>
      <c r="BRS1" s="404"/>
      <c r="BRT1" s="405"/>
      <c r="BRU1" s="408" t="s">
        <v>41</v>
      </c>
      <c r="BRV1" s="404"/>
      <c r="BRW1" s="404"/>
      <c r="BRX1" s="404"/>
      <c r="BRY1" s="404"/>
      <c r="BRZ1" s="404"/>
      <c r="BSA1" s="404"/>
      <c r="BSB1" s="405"/>
      <c r="BSC1" s="408" t="s">
        <v>41</v>
      </c>
      <c r="BSD1" s="404"/>
      <c r="BSE1" s="404"/>
      <c r="BSF1" s="404"/>
      <c r="BSG1" s="404"/>
      <c r="BSH1" s="404"/>
      <c r="BSI1" s="404"/>
      <c r="BSJ1" s="405"/>
      <c r="BSK1" s="408" t="s">
        <v>41</v>
      </c>
      <c r="BSL1" s="404"/>
      <c r="BSM1" s="404"/>
      <c r="BSN1" s="404"/>
      <c r="BSO1" s="404"/>
      <c r="BSP1" s="404"/>
      <c r="BSQ1" s="404"/>
      <c r="BSR1" s="405"/>
      <c r="BSS1" s="408" t="s">
        <v>41</v>
      </c>
      <c r="BST1" s="404"/>
      <c r="BSU1" s="404"/>
      <c r="BSV1" s="404"/>
      <c r="BSW1" s="404"/>
      <c r="BSX1" s="404"/>
      <c r="BSY1" s="404"/>
      <c r="BSZ1" s="405"/>
      <c r="BTA1" s="408" t="s">
        <v>41</v>
      </c>
      <c r="BTB1" s="404"/>
      <c r="BTC1" s="404"/>
      <c r="BTD1" s="404"/>
      <c r="BTE1" s="404"/>
      <c r="BTF1" s="404"/>
      <c r="BTG1" s="404"/>
      <c r="BTH1" s="405"/>
      <c r="BTI1" s="408" t="s">
        <v>41</v>
      </c>
      <c r="BTJ1" s="404"/>
      <c r="BTK1" s="404"/>
      <c r="BTL1" s="404"/>
      <c r="BTM1" s="404"/>
      <c r="BTN1" s="404"/>
      <c r="BTO1" s="404"/>
      <c r="BTP1" s="405"/>
      <c r="BTQ1" s="408" t="s">
        <v>41</v>
      </c>
      <c r="BTR1" s="404"/>
      <c r="BTS1" s="404"/>
      <c r="BTT1" s="404"/>
      <c r="BTU1" s="404"/>
      <c r="BTV1" s="404"/>
      <c r="BTW1" s="404"/>
      <c r="BTX1" s="405"/>
      <c r="BTY1" s="408" t="s">
        <v>41</v>
      </c>
      <c r="BTZ1" s="404"/>
      <c r="BUA1" s="404"/>
      <c r="BUB1" s="404"/>
      <c r="BUC1" s="404"/>
      <c r="BUD1" s="404"/>
      <c r="BUE1" s="404"/>
      <c r="BUF1" s="405"/>
      <c r="BUG1" s="408" t="s">
        <v>41</v>
      </c>
      <c r="BUH1" s="404"/>
      <c r="BUI1" s="404"/>
      <c r="BUJ1" s="404"/>
      <c r="BUK1" s="404"/>
      <c r="BUL1" s="404"/>
      <c r="BUM1" s="404"/>
      <c r="BUN1" s="405"/>
      <c r="BUO1" s="408" t="s">
        <v>41</v>
      </c>
      <c r="BUP1" s="404"/>
      <c r="BUQ1" s="404"/>
      <c r="BUR1" s="404"/>
      <c r="BUS1" s="404"/>
      <c r="BUT1" s="404"/>
      <c r="BUU1" s="404"/>
      <c r="BUV1" s="405"/>
      <c r="BUW1" s="408" t="s">
        <v>41</v>
      </c>
      <c r="BUX1" s="404"/>
      <c r="BUY1" s="404"/>
      <c r="BUZ1" s="404"/>
      <c r="BVA1" s="404"/>
      <c r="BVB1" s="404"/>
      <c r="BVC1" s="404"/>
      <c r="BVD1" s="405"/>
      <c r="BVE1" s="408" t="s">
        <v>41</v>
      </c>
      <c r="BVF1" s="404"/>
      <c r="BVG1" s="404"/>
      <c r="BVH1" s="404"/>
      <c r="BVI1" s="404"/>
      <c r="BVJ1" s="404"/>
      <c r="BVK1" s="404"/>
      <c r="BVL1" s="405"/>
      <c r="BVM1" s="408" t="s">
        <v>41</v>
      </c>
      <c r="BVN1" s="404"/>
      <c r="BVO1" s="404"/>
      <c r="BVP1" s="404"/>
      <c r="BVQ1" s="404"/>
      <c r="BVR1" s="404"/>
      <c r="BVS1" s="404"/>
      <c r="BVT1" s="405"/>
      <c r="BVU1" s="408" t="s">
        <v>41</v>
      </c>
      <c r="BVV1" s="404"/>
      <c r="BVW1" s="404"/>
      <c r="BVX1" s="404"/>
      <c r="BVY1" s="404"/>
      <c r="BVZ1" s="404"/>
      <c r="BWA1" s="404"/>
      <c r="BWB1" s="405"/>
      <c r="BWC1" s="408" t="s">
        <v>41</v>
      </c>
      <c r="BWD1" s="404"/>
      <c r="BWE1" s="404"/>
      <c r="BWF1" s="404"/>
      <c r="BWG1" s="404"/>
      <c r="BWH1" s="404"/>
      <c r="BWI1" s="404"/>
      <c r="BWJ1" s="405"/>
      <c r="BWK1" s="408" t="s">
        <v>41</v>
      </c>
      <c r="BWL1" s="404"/>
      <c r="BWM1" s="404"/>
      <c r="BWN1" s="404"/>
      <c r="BWO1" s="404"/>
      <c r="BWP1" s="404"/>
      <c r="BWQ1" s="404"/>
      <c r="BWR1" s="405"/>
      <c r="BWS1" s="408" t="s">
        <v>41</v>
      </c>
      <c r="BWT1" s="404"/>
      <c r="BWU1" s="404"/>
      <c r="BWV1" s="404"/>
      <c r="BWW1" s="404"/>
      <c r="BWX1" s="404"/>
      <c r="BWY1" s="404"/>
      <c r="BWZ1" s="405"/>
      <c r="BXA1" s="408" t="s">
        <v>41</v>
      </c>
      <c r="BXB1" s="404"/>
      <c r="BXC1" s="404"/>
      <c r="BXD1" s="404"/>
      <c r="BXE1" s="404"/>
      <c r="BXF1" s="404"/>
      <c r="BXG1" s="404"/>
      <c r="BXH1" s="405"/>
      <c r="BXI1" s="408" t="s">
        <v>41</v>
      </c>
      <c r="BXJ1" s="404"/>
      <c r="BXK1" s="404"/>
      <c r="BXL1" s="404"/>
      <c r="BXM1" s="404"/>
      <c r="BXN1" s="404"/>
      <c r="BXO1" s="404"/>
      <c r="BXP1" s="405"/>
      <c r="BXQ1" s="408" t="s">
        <v>41</v>
      </c>
      <c r="BXR1" s="404"/>
      <c r="BXS1" s="404"/>
      <c r="BXT1" s="404"/>
      <c r="BXU1" s="404"/>
      <c r="BXV1" s="404"/>
      <c r="BXW1" s="404"/>
      <c r="BXX1" s="405"/>
      <c r="BXY1" s="408" t="s">
        <v>41</v>
      </c>
      <c r="BXZ1" s="404"/>
      <c r="BYA1" s="404"/>
      <c r="BYB1" s="404"/>
      <c r="BYC1" s="404"/>
      <c r="BYD1" s="404"/>
      <c r="BYE1" s="404"/>
      <c r="BYF1" s="405"/>
      <c r="BYG1" s="408" t="s">
        <v>41</v>
      </c>
      <c r="BYH1" s="404"/>
      <c r="BYI1" s="404"/>
      <c r="BYJ1" s="404"/>
      <c r="BYK1" s="404"/>
      <c r="BYL1" s="404"/>
      <c r="BYM1" s="404"/>
      <c r="BYN1" s="405"/>
      <c r="BYO1" s="408" t="s">
        <v>41</v>
      </c>
      <c r="BYP1" s="404"/>
      <c r="BYQ1" s="404"/>
      <c r="BYR1" s="404"/>
      <c r="BYS1" s="404"/>
      <c r="BYT1" s="404"/>
      <c r="BYU1" s="404"/>
      <c r="BYV1" s="405"/>
      <c r="BYW1" s="408" t="s">
        <v>41</v>
      </c>
      <c r="BYX1" s="404"/>
      <c r="BYY1" s="404"/>
      <c r="BYZ1" s="404"/>
      <c r="BZA1" s="404"/>
      <c r="BZB1" s="404"/>
      <c r="BZC1" s="404"/>
      <c r="BZD1" s="405"/>
      <c r="BZE1" s="408" t="s">
        <v>41</v>
      </c>
      <c r="BZF1" s="404"/>
      <c r="BZG1" s="404"/>
      <c r="BZH1" s="404"/>
      <c r="BZI1" s="404"/>
      <c r="BZJ1" s="404"/>
      <c r="BZK1" s="404"/>
      <c r="BZL1" s="405"/>
      <c r="BZM1" s="408" t="s">
        <v>41</v>
      </c>
      <c r="BZN1" s="404"/>
      <c r="BZO1" s="404"/>
      <c r="BZP1" s="404"/>
      <c r="BZQ1" s="404"/>
      <c r="BZR1" s="404"/>
      <c r="BZS1" s="404"/>
      <c r="BZT1" s="405"/>
      <c r="BZU1" s="408" t="s">
        <v>41</v>
      </c>
      <c r="BZV1" s="404"/>
      <c r="BZW1" s="404"/>
      <c r="BZX1" s="404"/>
      <c r="BZY1" s="404"/>
      <c r="BZZ1" s="404"/>
      <c r="CAA1" s="404"/>
      <c r="CAB1" s="405"/>
      <c r="CAC1" s="408" t="s">
        <v>41</v>
      </c>
      <c r="CAD1" s="404"/>
      <c r="CAE1" s="404"/>
      <c r="CAF1" s="404"/>
      <c r="CAG1" s="404"/>
      <c r="CAH1" s="404"/>
      <c r="CAI1" s="404"/>
      <c r="CAJ1" s="405"/>
      <c r="CAK1" s="408" t="s">
        <v>41</v>
      </c>
      <c r="CAL1" s="404"/>
      <c r="CAM1" s="404"/>
      <c r="CAN1" s="404"/>
      <c r="CAO1" s="404"/>
      <c r="CAP1" s="404"/>
      <c r="CAQ1" s="404"/>
      <c r="CAR1" s="405"/>
      <c r="CAS1" s="408" t="s">
        <v>41</v>
      </c>
      <c r="CAT1" s="404"/>
      <c r="CAU1" s="404"/>
      <c r="CAV1" s="404"/>
      <c r="CAW1" s="404"/>
      <c r="CAX1" s="404"/>
      <c r="CAY1" s="404"/>
      <c r="CAZ1" s="405"/>
      <c r="CBA1" s="408" t="s">
        <v>41</v>
      </c>
      <c r="CBB1" s="404"/>
      <c r="CBC1" s="404"/>
      <c r="CBD1" s="404"/>
      <c r="CBE1" s="404"/>
      <c r="CBF1" s="404"/>
      <c r="CBG1" s="404"/>
      <c r="CBH1" s="405"/>
      <c r="CBI1" s="408" t="s">
        <v>41</v>
      </c>
      <c r="CBJ1" s="404"/>
      <c r="CBK1" s="404"/>
      <c r="CBL1" s="404"/>
      <c r="CBM1" s="404"/>
      <c r="CBN1" s="404"/>
      <c r="CBO1" s="404"/>
      <c r="CBP1" s="405"/>
      <c r="CBQ1" s="408" t="s">
        <v>41</v>
      </c>
      <c r="CBR1" s="404"/>
      <c r="CBS1" s="404"/>
      <c r="CBT1" s="404"/>
      <c r="CBU1" s="404"/>
      <c r="CBV1" s="404"/>
      <c r="CBW1" s="404"/>
      <c r="CBX1" s="405"/>
      <c r="CBY1" s="408" t="s">
        <v>41</v>
      </c>
      <c r="CBZ1" s="404"/>
      <c r="CCA1" s="404"/>
      <c r="CCB1" s="404"/>
      <c r="CCC1" s="404"/>
      <c r="CCD1" s="404"/>
      <c r="CCE1" s="404"/>
      <c r="CCF1" s="405"/>
      <c r="CCG1" s="408" t="s">
        <v>41</v>
      </c>
      <c r="CCH1" s="404"/>
      <c r="CCI1" s="404"/>
      <c r="CCJ1" s="404"/>
      <c r="CCK1" s="404"/>
      <c r="CCL1" s="404"/>
      <c r="CCM1" s="404"/>
      <c r="CCN1" s="405"/>
      <c r="CCO1" s="408" t="s">
        <v>41</v>
      </c>
      <c r="CCP1" s="404"/>
      <c r="CCQ1" s="404"/>
      <c r="CCR1" s="404"/>
      <c r="CCS1" s="404"/>
      <c r="CCT1" s="404"/>
      <c r="CCU1" s="404"/>
      <c r="CCV1" s="405"/>
      <c r="CCW1" s="408" t="s">
        <v>41</v>
      </c>
      <c r="CCX1" s="404"/>
      <c r="CCY1" s="404"/>
      <c r="CCZ1" s="404"/>
      <c r="CDA1" s="404"/>
      <c r="CDB1" s="404"/>
      <c r="CDC1" s="404"/>
      <c r="CDD1" s="405"/>
      <c r="CDE1" s="408" t="s">
        <v>41</v>
      </c>
      <c r="CDF1" s="404"/>
      <c r="CDG1" s="404"/>
      <c r="CDH1" s="404"/>
      <c r="CDI1" s="404"/>
      <c r="CDJ1" s="404"/>
      <c r="CDK1" s="404"/>
      <c r="CDL1" s="405"/>
      <c r="CDM1" s="408" t="s">
        <v>41</v>
      </c>
      <c r="CDN1" s="404"/>
      <c r="CDO1" s="404"/>
      <c r="CDP1" s="404"/>
      <c r="CDQ1" s="404"/>
      <c r="CDR1" s="404"/>
      <c r="CDS1" s="404"/>
      <c r="CDT1" s="405"/>
      <c r="CDU1" s="408" t="s">
        <v>41</v>
      </c>
      <c r="CDV1" s="404"/>
      <c r="CDW1" s="404"/>
      <c r="CDX1" s="404"/>
      <c r="CDY1" s="404"/>
      <c r="CDZ1" s="404"/>
      <c r="CEA1" s="404"/>
      <c r="CEB1" s="405"/>
      <c r="CEC1" s="408" t="s">
        <v>41</v>
      </c>
      <c r="CED1" s="404"/>
      <c r="CEE1" s="404"/>
      <c r="CEF1" s="404"/>
      <c r="CEG1" s="404"/>
      <c r="CEH1" s="404"/>
      <c r="CEI1" s="404"/>
      <c r="CEJ1" s="405"/>
      <c r="CEK1" s="408" t="s">
        <v>41</v>
      </c>
      <c r="CEL1" s="404"/>
      <c r="CEM1" s="404"/>
      <c r="CEN1" s="404"/>
      <c r="CEO1" s="404"/>
      <c r="CEP1" s="404"/>
      <c r="CEQ1" s="404"/>
      <c r="CER1" s="405"/>
      <c r="CES1" s="408" t="s">
        <v>41</v>
      </c>
      <c r="CET1" s="404"/>
      <c r="CEU1" s="404"/>
      <c r="CEV1" s="404"/>
      <c r="CEW1" s="404"/>
      <c r="CEX1" s="404"/>
      <c r="CEY1" s="404"/>
      <c r="CEZ1" s="405"/>
      <c r="CFA1" s="408" t="s">
        <v>41</v>
      </c>
      <c r="CFB1" s="404"/>
      <c r="CFC1" s="404"/>
      <c r="CFD1" s="404"/>
      <c r="CFE1" s="404"/>
      <c r="CFF1" s="404"/>
      <c r="CFG1" s="404"/>
      <c r="CFH1" s="405"/>
      <c r="CFI1" s="408" t="s">
        <v>41</v>
      </c>
      <c r="CFJ1" s="404"/>
      <c r="CFK1" s="404"/>
      <c r="CFL1" s="404"/>
      <c r="CFM1" s="404"/>
      <c r="CFN1" s="404"/>
      <c r="CFO1" s="404"/>
      <c r="CFP1" s="405"/>
      <c r="CFQ1" s="408" t="s">
        <v>41</v>
      </c>
      <c r="CFR1" s="404"/>
      <c r="CFS1" s="404"/>
      <c r="CFT1" s="404"/>
      <c r="CFU1" s="404"/>
      <c r="CFV1" s="404"/>
      <c r="CFW1" s="404"/>
      <c r="CFX1" s="405"/>
      <c r="CFY1" s="408" t="s">
        <v>41</v>
      </c>
      <c r="CFZ1" s="404"/>
      <c r="CGA1" s="404"/>
      <c r="CGB1" s="404"/>
      <c r="CGC1" s="404"/>
      <c r="CGD1" s="404"/>
      <c r="CGE1" s="404"/>
      <c r="CGF1" s="405"/>
      <c r="CGG1" s="408" t="s">
        <v>41</v>
      </c>
      <c r="CGH1" s="404"/>
      <c r="CGI1" s="404"/>
      <c r="CGJ1" s="404"/>
      <c r="CGK1" s="404"/>
      <c r="CGL1" s="404"/>
      <c r="CGM1" s="404"/>
      <c r="CGN1" s="405"/>
      <c r="CGO1" s="408" t="s">
        <v>41</v>
      </c>
      <c r="CGP1" s="404"/>
      <c r="CGQ1" s="404"/>
      <c r="CGR1" s="404"/>
      <c r="CGS1" s="404"/>
      <c r="CGT1" s="404"/>
      <c r="CGU1" s="404"/>
      <c r="CGV1" s="405"/>
      <c r="CGW1" s="408" t="s">
        <v>41</v>
      </c>
      <c r="CGX1" s="404"/>
      <c r="CGY1" s="404"/>
      <c r="CGZ1" s="404"/>
      <c r="CHA1" s="404"/>
      <c r="CHB1" s="404"/>
      <c r="CHC1" s="404"/>
      <c r="CHD1" s="405"/>
      <c r="CHE1" s="408" t="s">
        <v>41</v>
      </c>
      <c r="CHF1" s="404"/>
      <c r="CHG1" s="404"/>
      <c r="CHH1" s="404"/>
      <c r="CHI1" s="404"/>
      <c r="CHJ1" s="404"/>
      <c r="CHK1" s="404"/>
      <c r="CHL1" s="405"/>
      <c r="CHM1" s="408" t="s">
        <v>41</v>
      </c>
      <c r="CHN1" s="404"/>
      <c r="CHO1" s="404"/>
      <c r="CHP1" s="404"/>
      <c r="CHQ1" s="404"/>
      <c r="CHR1" s="404"/>
      <c r="CHS1" s="404"/>
      <c r="CHT1" s="405"/>
      <c r="CHU1" s="408" t="s">
        <v>41</v>
      </c>
      <c r="CHV1" s="404"/>
      <c r="CHW1" s="404"/>
      <c r="CHX1" s="404"/>
      <c r="CHY1" s="404"/>
      <c r="CHZ1" s="404"/>
      <c r="CIA1" s="404"/>
      <c r="CIB1" s="405"/>
      <c r="CIC1" s="408" t="s">
        <v>41</v>
      </c>
      <c r="CID1" s="404"/>
      <c r="CIE1" s="404"/>
      <c r="CIF1" s="404"/>
      <c r="CIG1" s="404"/>
      <c r="CIH1" s="404"/>
      <c r="CII1" s="404"/>
      <c r="CIJ1" s="405"/>
      <c r="CIK1" s="408" t="s">
        <v>41</v>
      </c>
      <c r="CIL1" s="404"/>
      <c r="CIM1" s="404"/>
      <c r="CIN1" s="404"/>
      <c r="CIO1" s="404"/>
      <c r="CIP1" s="404"/>
      <c r="CIQ1" s="404"/>
      <c r="CIR1" s="405"/>
      <c r="CIS1" s="408" t="s">
        <v>41</v>
      </c>
      <c r="CIT1" s="404"/>
      <c r="CIU1" s="404"/>
      <c r="CIV1" s="404"/>
      <c r="CIW1" s="404"/>
      <c r="CIX1" s="404"/>
      <c r="CIY1" s="404"/>
      <c r="CIZ1" s="405"/>
      <c r="CJA1" s="408" t="s">
        <v>41</v>
      </c>
      <c r="CJB1" s="404"/>
      <c r="CJC1" s="404"/>
      <c r="CJD1" s="404"/>
      <c r="CJE1" s="404"/>
      <c r="CJF1" s="404"/>
      <c r="CJG1" s="404"/>
      <c r="CJH1" s="405"/>
      <c r="CJI1" s="408" t="s">
        <v>41</v>
      </c>
      <c r="CJJ1" s="404"/>
      <c r="CJK1" s="404"/>
      <c r="CJL1" s="404"/>
      <c r="CJM1" s="404"/>
      <c r="CJN1" s="404"/>
      <c r="CJO1" s="404"/>
      <c r="CJP1" s="405"/>
      <c r="CJQ1" s="408" t="s">
        <v>41</v>
      </c>
      <c r="CJR1" s="404"/>
      <c r="CJS1" s="404"/>
      <c r="CJT1" s="404"/>
      <c r="CJU1" s="404"/>
      <c r="CJV1" s="404"/>
      <c r="CJW1" s="404"/>
      <c r="CJX1" s="405"/>
      <c r="CJY1" s="408" t="s">
        <v>41</v>
      </c>
      <c r="CJZ1" s="404"/>
      <c r="CKA1" s="404"/>
      <c r="CKB1" s="404"/>
      <c r="CKC1" s="404"/>
      <c r="CKD1" s="404"/>
      <c r="CKE1" s="404"/>
      <c r="CKF1" s="405"/>
      <c r="CKG1" s="408" t="s">
        <v>41</v>
      </c>
      <c r="CKH1" s="404"/>
      <c r="CKI1" s="404"/>
      <c r="CKJ1" s="404"/>
      <c r="CKK1" s="404"/>
      <c r="CKL1" s="404"/>
      <c r="CKM1" s="404"/>
      <c r="CKN1" s="405"/>
      <c r="CKO1" s="408" t="s">
        <v>41</v>
      </c>
      <c r="CKP1" s="404"/>
      <c r="CKQ1" s="404"/>
      <c r="CKR1" s="404"/>
      <c r="CKS1" s="404"/>
      <c r="CKT1" s="404"/>
      <c r="CKU1" s="404"/>
      <c r="CKV1" s="405"/>
      <c r="CKW1" s="408" t="s">
        <v>41</v>
      </c>
      <c r="CKX1" s="404"/>
      <c r="CKY1" s="404"/>
      <c r="CKZ1" s="404"/>
      <c r="CLA1" s="404"/>
      <c r="CLB1" s="404"/>
      <c r="CLC1" s="404"/>
      <c r="CLD1" s="405"/>
      <c r="CLE1" s="408" t="s">
        <v>41</v>
      </c>
      <c r="CLF1" s="404"/>
      <c r="CLG1" s="404"/>
      <c r="CLH1" s="404"/>
      <c r="CLI1" s="404"/>
      <c r="CLJ1" s="404"/>
      <c r="CLK1" s="404"/>
      <c r="CLL1" s="405"/>
      <c r="CLM1" s="408" t="s">
        <v>41</v>
      </c>
      <c r="CLN1" s="404"/>
      <c r="CLO1" s="404"/>
      <c r="CLP1" s="404"/>
      <c r="CLQ1" s="404"/>
      <c r="CLR1" s="404"/>
      <c r="CLS1" s="404"/>
      <c r="CLT1" s="405"/>
      <c r="CLU1" s="408" t="s">
        <v>41</v>
      </c>
      <c r="CLV1" s="404"/>
      <c r="CLW1" s="404"/>
      <c r="CLX1" s="404"/>
      <c r="CLY1" s="404"/>
      <c r="CLZ1" s="404"/>
      <c r="CMA1" s="404"/>
      <c r="CMB1" s="405"/>
      <c r="CMC1" s="408" t="s">
        <v>41</v>
      </c>
      <c r="CMD1" s="404"/>
      <c r="CME1" s="404"/>
      <c r="CMF1" s="404"/>
      <c r="CMG1" s="404"/>
      <c r="CMH1" s="404"/>
      <c r="CMI1" s="404"/>
      <c r="CMJ1" s="405"/>
      <c r="CMK1" s="408" t="s">
        <v>41</v>
      </c>
      <c r="CML1" s="404"/>
      <c r="CMM1" s="404"/>
      <c r="CMN1" s="404"/>
      <c r="CMO1" s="404"/>
      <c r="CMP1" s="404"/>
      <c r="CMQ1" s="404"/>
      <c r="CMR1" s="405"/>
      <c r="CMS1" s="408" t="s">
        <v>41</v>
      </c>
      <c r="CMT1" s="404"/>
      <c r="CMU1" s="404"/>
      <c r="CMV1" s="404"/>
      <c r="CMW1" s="404"/>
      <c r="CMX1" s="404"/>
      <c r="CMY1" s="404"/>
      <c r="CMZ1" s="405"/>
      <c r="CNA1" s="408" t="s">
        <v>41</v>
      </c>
      <c r="CNB1" s="404"/>
      <c r="CNC1" s="404"/>
      <c r="CND1" s="404"/>
      <c r="CNE1" s="404"/>
      <c r="CNF1" s="404"/>
      <c r="CNG1" s="404"/>
      <c r="CNH1" s="405"/>
      <c r="CNI1" s="408" t="s">
        <v>41</v>
      </c>
      <c r="CNJ1" s="404"/>
      <c r="CNK1" s="404"/>
      <c r="CNL1" s="404"/>
      <c r="CNM1" s="404"/>
      <c r="CNN1" s="404"/>
      <c r="CNO1" s="404"/>
      <c r="CNP1" s="405"/>
      <c r="CNQ1" s="408" t="s">
        <v>41</v>
      </c>
      <c r="CNR1" s="404"/>
      <c r="CNS1" s="404"/>
      <c r="CNT1" s="404"/>
      <c r="CNU1" s="404"/>
      <c r="CNV1" s="404"/>
      <c r="CNW1" s="404"/>
      <c r="CNX1" s="405"/>
      <c r="CNY1" s="408" t="s">
        <v>41</v>
      </c>
      <c r="CNZ1" s="404"/>
      <c r="COA1" s="404"/>
      <c r="COB1" s="404"/>
      <c r="COC1" s="404"/>
      <c r="COD1" s="404"/>
      <c r="COE1" s="404"/>
      <c r="COF1" s="405"/>
      <c r="COG1" s="408" t="s">
        <v>41</v>
      </c>
      <c r="COH1" s="404"/>
      <c r="COI1" s="404"/>
      <c r="COJ1" s="404"/>
      <c r="COK1" s="404"/>
      <c r="COL1" s="404"/>
      <c r="COM1" s="404"/>
      <c r="CON1" s="405"/>
      <c r="COO1" s="408" t="s">
        <v>41</v>
      </c>
      <c r="COP1" s="404"/>
      <c r="COQ1" s="404"/>
      <c r="COR1" s="404"/>
      <c r="COS1" s="404"/>
      <c r="COT1" s="404"/>
      <c r="COU1" s="404"/>
      <c r="COV1" s="405"/>
      <c r="COW1" s="408" t="s">
        <v>41</v>
      </c>
      <c r="COX1" s="404"/>
      <c r="COY1" s="404"/>
      <c r="COZ1" s="404"/>
      <c r="CPA1" s="404"/>
      <c r="CPB1" s="404"/>
      <c r="CPC1" s="404"/>
      <c r="CPD1" s="405"/>
      <c r="CPE1" s="408" t="s">
        <v>41</v>
      </c>
      <c r="CPF1" s="404"/>
      <c r="CPG1" s="404"/>
      <c r="CPH1" s="404"/>
      <c r="CPI1" s="404"/>
      <c r="CPJ1" s="404"/>
      <c r="CPK1" s="404"/>
      <c r="CPL1" s="405"/>
      <c r="CPM1" s="408" t="s">
        <v>41</v>
      </c>
      <c r="CPN1" s="404"/>
      <c r="CPO1" s="404"/>
      <c r="CPP1" s="404"/>
      <c r="CPQ1" s="404"/>
      <c r="CPR1" s="404"/>
      <c r="CPS1" s="404"/>
      <c r="CPT1" s="405"/>
      <c r="CPU1" s="408" t="s">
        <v>41</v>
      </c>
      <c r="CPV1" s="404"/>
      <c r="CPW1" s="404"/>
      <c r="CPX1" s="404"/>
      <c r="CPY1" s="404"/>
      <c r="CPZ1" s="404"/>
      <c r="CQA1" s="404"/>
      <c r="CQB1" s="405"/>
      <c r="CQC1" s="408" t="s">
        <v>41</v>
      </c>
      <c r="CQD1" s="404"/>
      <c r="CQE1" s="404"/>
      <c r="CQF1" s="404"/>
      <c r="CQG1" s="404"/>
      <c r="CQH1" s="404"/>
      <c r="CQI1" s="404"/>
      <c r="CQJ1" s="405"/>
      <c r="CQK1" s="408" t="s">
        <v>41</v>
      </c>
      <c r="CQL1" s="404"/>
      <c r="CQM1" s="404"/>
      <c r="CQN1" s="404"/>
      <c r="CQO1" s="404"/>
      <c r="CQP1" s="404"/>
      <c r="CQQ1" s="404"/>
      <c r="CQR1" s="405"/>
      <c r="CQS1" s="408" t="s">
        <v>41</v>
      </c>
      <c r="CQT1" s="404"/>
      <c r="CQU1" s="404"/>
      <c r="CQV1" s="404"/>
      <c r="CQW1" s="404"/>
      <c r="CQX1" s="404"/>
      <c r="CQY1" s="404"/>
      <c r="CQZ1" s="405"/>
      <c r="CRA1" s="408" t="s">
        <v>41</v>
      </c>
      <c r="CRB1" s="404"/>
      <c r="CRC1" s="404"/>
      <c r="CRD1" s="404"/>
      <c r="CRE1" s="404"/>
      <c r="CRF1" s="404"/>
      <c r="CRG1" s="404"/>
      <c r="CRH1" s="405"/>
      <c r="CRI1" s="408" t="s">
        <v>41</v>
      </c>
      <c r="CRJ1" s="404"/>
      <c r="CRK1" s="404"/>
      <c r="CRL1" s="404"/>
      <c r="CRM1" s="404"/>
      <c r="CRN1" s="404"/>
      <c r="CRO1" s="404"/>
      <c r="CRP1" s="405"/>
      <c r="CRQ1" s="408" t="s">
        <v>41</v>
      </c>
      <c r="CRR1" s="404"/>
      <c r="CRS1" s="404"/>
      <c r="CRT1" s="404"/>
      <c r="CRU1" s="404"/>
      <c r="CRV1" s="404"/>
      <c r="CRW1" s="404"/>
      <c r="CRX1" s="405"/>
      <c r="CRY1" s="408" t="s">
        <v>41</v>
      </c>
      <c r="CRZ1" s="404"/>
      <c r="CSA1" s="404"/>
      <c r="CSB1" s="404"/>
      <c r="CSC1" s="404"/>
      <c r="CSD1" s="404"/>
      <c r="CSE1" s="404"/>
      <c r="CSF1" s="405"/>
      <c r="CSG1" s="408" t="s">
        <v>41</v>
      </c>
      <c r="CSH1" s="404"/>
      <c r="CSI1" s="404"/>
      <c r="CSJ1" s="404"/>
      <c r="CSK1" s="404"/>
      <c r="CSL1" s="404"/>
      <c r="CSM1" s="404"/>
      <c r="CSN1" s="405"/>
      <c r="CSO1" s="408" t="s">
        <v>41</v>
      </c>
      <c r="CSP1" s="404"/>
      <c r="CSQ1" s="404"/>
      <c r="CSR1" s="404"/>
      <c r="CSS1" s="404"/>
      <c r="CST1" s="404"/>
      <c r="CSU1" s="404"/>
      <c r="CSV1" s="405"/>
      <c r="CSW1" s="408" t="s">
        <v>41</v>
      </c>
      <c r="CSX1" s="404"/>
      <c r="CSY1" s="404"/>
      <c r="CSZ1" s="404"/>
      <c r="CTA1" s="404"/>
      <c r="CTB1" s="404"/>
      <c r="CTC1" s="404"/>
      <c r="CTD1" s="405"/>
      <c r="CTE1" s="408" t="s">
        <v>41</v>
      </c>
      <c r="CTF1" s="404"/>
      <c r="CTG1" s="404"/>
      <c r="CTH1" s="404"/>
      <c r="CTI1" s="404"/>
      <c r="CTJ1" s="404"/>
      <c r="CTK1" s="404"/>
      <c r="CTL1" s="405"/>
      <c r="CTM1" s="408" t="s">
        <v>41</v>
      </c>
      <c r="CTN1" s="404"/>
      <c r="CTO1" s="404"/>
      <c r="CTP1" s="404"/>
      <c r="CTQ1" s="404"/>
      <c r="CTR1" s="404"/>
      <c r="CTS1" s="404"/>
      <c r="CTT1" s="405"/>
      <c r="CTU1" s="408" t="s">
        <v>41</v>
      </c>
      <c r="CTV1" s="404"/>
      <c r="CTW1" s="404"/>
      <c r="CTX1" s="404"/>
      <c r="CTY1" s="404"/>
      <c r="CTZ1" s="404"/>
      <c r="CUA1" s="404"/>
      <c r="CUB1" s="405"/>
      <c r="CUC1" s="408" t="s">
        <v>41</v>
      </c>
      <c r="CUD1" s="404"/>
      <c r="CUE1" s="404"/>
      <c r="CUF1" s="404"/>
      <c r="CUG1" s="404"/>
      <c r="CUH1" s="404"/>
      <c r="CUI1" s="404"/>
      <c r="CUJ1" s="405"/>
      <c r="CUK1" s="408" t="s">
        <v>41</v>
      </c>
      <c r="CUL1" s="404"/>
      <c r="CUM1" s="404"/>
      <c r="CUN1" s="404"/>
      <c r="CUO1" s="404"/>
      <c r="CUP1" s="404"/>
      <c r="CUQ1" s="404"/>
      <c r="CUR1" s="405"/>
      <c r="CUS1" s="408" t="s">
        <v>41</v>
      </c>
      <c r="CUT1" s="404"/>
      <c r="CUU1" s="404"/>
      <c r="CUV1" s="404"/>
      <c r="CUW1" s="404"/>
      <c r="CUX1" s="404"/>
      <c r="CUY1" s="404"/>
      <c r="CUZ1" s="405"/>
      <c r="CVA1" s="408" t="s">
        <v>41</v>
      </c>
      <c r="CVB1" s="404"/>
      <c r="CVC1" s="404"/>
      <c r="CVD1" s="404"/>
      <c r="CVE1" s="404"/>
      <c r="CVF1" s="404"/>
      <c r="CVG1" s="404"/>
      <c r="CVH1" s="405"/>
      <c r="CVI1" s="408" t="s">
        <v>41</v>
      </c>
      <c r="CVJ1" s="404"/>
      <c r="CVK1" s="404"/>
      <c r="CVL1" s="404"/>
      <c r="CVM1" s="404"/>
      <c r="CVN1" s="404"/>
      <c r="CVO1" s="404"/>
      <c r="CVP1" s="405"/>
      <c r="CVQ1" s="408" t="s">
        <v>41</v>
      </c>
      <c r="CVR1" s="404"/>
      <c r="CVS1" s="404"/>
      <c r="CVT1" s="404"/>
      <c r="CVU1" s="404"/>
      <c r="CVV1" s="404"/>
      <c r="CVW1" s="404"/>
      <c r="CVX1" s="405"/>
      <c r="CVY1" s="408" t="s">
        <v>41</v>
      </c>
      <c r="CVZ1" s="404"/>
      <c r="CWA1" s="404"/>
      <c r="CWB1" s="404"/>
      <c r="CWC1" s="404"/>
      <c r="CWD1" s="404"/>
      <c r="CWE1" s="404"/>
      <c r="CWF1" s="405"/>
      <c r="CWG1" s="408" t="s">
        <v>41</v>
      </c>
      <c r="CWH1" s="404"/>
      <c r="CWI1" s="404"/>
      <c r="CWJ1" s="404"/>
      <c r="CWK1" s="404"/>
      <c r="CWL1" s="404"/>
      <c r="CWM1" s="404"/>
      <c r="CWN1" s="405"/>
      <c r="CWO1" s="408" t="s">
        <v>41</v>
      </c>
      <c r="CWP1" s="404"/>
      <c r="CWQ1" s="404"/>
      <c r="CWR1" s="404"/>
      <c r="CWS1" s="404"/>
      <c r="CWT1" s="404"/>
      <c r="CWU1" s="404"/>
      <c r="CWV1" s="405"/>
      <c r="CWW1" s="408" t="s">
        <v>41</v>
      </c>
      <c r="CWX1" s="404"/>
      <c r="CWY1" s="404"/>
      <c r="CWZ1" s="404"/>
      <c r="CXA1" s="404"/>
      <c r="CXB1" s="404"/>
      <c r="CXC1" s="404"/>
      <c r="CXD1" s="405"/>
      <c r="CXE1" s="408" t="s">
        <v>41</v>
      </c>
      <c r="CXF1" s="404"/>
      <c r="CXG1" s="404"/>
      <c r="CXH1" s="404"/>
      <c r="CXI1" s="404"/>
      <c r="CXJ1" s="404"/>
      <c r="CXK1" s="404"/>
      <c r="CXL1" s="405"/>
      <c r="CXM1" s="408" t="s">
        <v>41</v>
      </c>
      <c r="CXN1" s="404"/>
      <c r="CXO1" s="404"/>
      <c r="CXP1" s="404"/>
      <c r="CXQ1" s="404"/>
      <c r="CXR1" s="404"/>
      <c r="CXS1" s="404"/>
      <c r="CXT1" s="405"/>
      <c r="CXU1" s="408" t="s">
        <v>41</v>
      </c>
      <c r="CXV1" s="404"/>
      <c r="CXW1" s="404"/>
      <c r="CXX1" s="404"/>
      <c r="CXY1" s="404"/>
      <c r="CXZ1" s="404"/>
      <c r="CYA1" s="404"/>
      <c r="CYB1" s="405"/>
      <c r="CYC1" s="408" t="s">
        <v>41</v>
      </c>
      <c r="CYD1" s="404"/>
      <c r="CYE1" s="404"/>
      <c r="CYF1" s="404"/>
      <c r="CYG1" s="404"/>
      <c r="CYH1" s="404"/>
      <c r="CYI1" s="404"/>
      <c r="CYJ1" s="405"/>
      <c r="CYK1" s="408" t="s">
        <v>41</v>
      </c>
      <c r="CYL1" s="404"/>
      <c r="CYM1" s="404"/>
      <c r="CYN1" s="404"/>
      <c r="CYO1" s="404"/>
      <c r="CYP1" s="404"/>
      <c r="CYQ1" s="404"/>
      <c r="CYR1" s="405"/>
      <c r="CYS1" s="408" t="s">
        <v>41</v>
      </c>
      <c r="CYT1" s="404"/>
      <c r="CYU1" s="404"/>
      <c r="CYV1" s="404"/>
      <c r="CYW1" s="404"/>
      <c r="CYX1" s="404"/>
      <c r="CYY1" s="404"/>
      <c r="CYZ1" s="405"/>
      <c r="CZA1" s="408" t="s">
        <v>41</v>
      </c>
      <c r="CZB1" s="404"/>
      <c r="CZC1" s="404"/>
      <c r="CZD1" s="404"/>
      <c r="CZE1" s="404"/>
      <c r="CZF1" s="404"/>
      <c r="CZG1" s="404"/>
      <c r="CZH1" s="405"/>
      <c r="CZI1" s="408" t="s">
        <v>41</v>
      </c>
      <c r="CZJ1" s="404"/>
      <c r="CZK1" s="404"/>
      <c r="CZL1" s="404"/>
      <c r="CZM1" s="404"/>
      <c r="CZN1" s="404"/>
      <c r="CZO1" s="404"/>
      <c r="CZP1" s="405"/>
      <c r="CZQ1" s="408" t="s">
        <v>41</v>
      </c>
      <c r="CZR1" s="404"/>
      <c r="CZS1" s="404"/>
      <c r="CZT1" s="404"/>
      <c r="CZU1" s="404"/>
      <c r="CZV1" s="404"/>
      <c r="CZW1" s="404"/>
      <c r="CZX1" s="405"/>
      <c r="CZY1" s="408" t="s">
        <v>41</v>
      </c>
      <c r="CZZ1" s="404"/>
      <c r="DAA1" s="404"/>
      <c r="DAB1" s="404"/>
      <c r="DAC1" s="404"/>
      <c r="DAD1" s="404"/>
      <c r="DAE1" s="404"/>
      <c r="DAF1" s="405"/>
      <c r="DAG1" s="408" t="s">
        <v>41</v>
      </c>
      <c r="DAH1" s="404"/>
      <c r="DAI1" s="404"/>
      <c r="DAJ1" s="404"/>
      <c r="DAK1" s="404"/>
      <c r="DAL1" s="404"/>
      <c r="DAM1" s="404"/>
      <c r="DAN1" s="405"/>
      <c r="DAO1" s="408" t="s">
        <v>41</v>
      </c>
      <c r="DAP1" s="404"/>
      <c r="DAQ1" s="404"/>
      <c r="DAR1" s="404"/>
      <c r="DAS1" s="404"/>
      <c r="DAT1" s="404"/>
      <c r="DAU1" s="404"/>
      <c r="DAV1" s="405"/>
      <c r="DAW1" s="408" t="s">
        <v>41</v>
      </c>
      <c r="DAX1" s="404"/>
      <c r="DAY1" s="404"/>
      <c r="DAZ1" s="404"/>
      <c r="DBA1" s="404"/>
      <c r="DBB1" s="404"/>
      <c r="DBC1" s="404"/>
      <c r="DBD1" s="405"/>
      <c r="DBE1" s="408" t="s">
        <v>41</v>
      </c>
      <c r="DBF1" s="404"/>
      <c r="DBG1" s="404"/>
      <c r="DBH1" s="404"/>
      <c r="DBI1" s="404"/>
      <c r="DBJ1" s="404"/>
      <c r="DBK1" s="404"/>
      <c r="DBL1" s="405"/>
      <c r="DBM1" s="408" t="s">
        <v>41</v>
      </c>
      <c r="DBN1" s="404"/>
      <c r="DBO1" s="404"/>
      <c r="DBP1" s="404"/>
      <c r="DBQ1" s="404"/>
      <c r="DBR1" s="404"/>
      <c r="DBS1" s="404"/>
      <c r="DBT1" s="405"/>
      <c r="DBU1" s="408" t="s">
        <v>41</v>
      </c>
      <c r="DBV1" s="404"/>
      <c r="DBW1" s="404"/>
      <c r="DBX1" s="404"/>
      <c r="DBY1" s="404"/>
      <c r="DBZ1" s="404"/>
      <c r="DCA1" s="404"/>
      <c r="DCB1" s="405"/>
      <c r="DCC1" s="408" t="s">
        <v>41</v>
      </c>
      <c r="DCD1" s="404"/>
      <c r="DCE1" s="404"/>
      <c r="DCF1" s="404"/>
      <c r="DCG1" s="404"/>
      <c r="DCH1" s="404"/>
      <c r="DCI1" s="404"/>
      <c r="DCJ1" s="405"/>
      <c r="DCK1" s="408" t="s">
        <v>41</v>
      </c>
      <c r="DCL1" s="404"/>
      <c r="DCM1" s="404"/>
      <c r="DCN1" s="404"/>
      <c r="DCO1" s="404"/>
      <c r="DCP1" s="404"/>
      <c r="DCQ1" s="404"/>
      <c r="DCR1" s="405"/>
      <c r="DCS1" s="408" t="s">
        <v>41</v>
      </c>
      <c r="DCT1" s="404"/>
      <c r="DCU1" s="404"/>
      <c r="DCV1" s="404"/>
      <c r="DCW1" s="404"/>
      <c r="DCX1" s="404"/>
      <c r="DCY1" s="404"/>
      <c r="DCZ1" s="405"/>
      <c r="DDA1" s="408" t="s">
        <v>41</v>
      </c>
      <c r="DDB1" s="404"/>
      <c r="DDC1" s="404"/>
      <c r="DDD1" s="404"/>
      <c r="DDE1" s="404"/>
      <c r="DDF1" s="404"/>
      <c r="DDG1" s="404"/>
      <c r="DDH1" s="405"/>
      <c r="DDI1" s="408" t="s">
        <v>41</v>
      </c>
      <c r="DDJ1" s="404"/>
      <c r="DDK1" s="404"/>
      <c r="DDL1" s="404"/>
      <c r="DDM1" s="404"/>
      <c r="DDN1" s="404"/>
      <c r="DDO1" s="404"/>
      <c r="DDP1" s="405"/>
      <c r="DDQ1" s="408" t="s">
        <v>41</v>
      </c>
      <c r="DDR1" s="404"/>
      <c r="DDS1" s="404"/>
      <c r="DDT1" s="404"/>
      <c r="DDU1" s="404"/>
      <c r="DDV1" s="404"/>
      <c r="DDW1" s="404"/>
      <c r="DDX1" s="405"/>
      <c r="DDY1" s="408" t="s">
        <v>41</v>
      </c>
      <c r="DDZ1" s="404"/>
      <c r="DEA1" s="404"/>
      <c r="DEB1" s="404"/>
      <c r="DEC1" s="404"/>
      <c r="DED1" s="404"/>
      <c r="DEE1" s="404"/>
      <c r="DEF1" s="405"/>
      <c r="DEG1" s="408" t="s">
        <v>41</v>
      </c>
      <c r="DEH1" s="404"/>
      <c r="DEI1" s="404"/>
      <c r="DEJ1" s="404"/>
      <c r="DEK1" s="404"/>
      <c r="DEL1" s="404"/>
      <c r="DEM1" s="404"/>
      <c r="DEN1" s="405"/>
      <c r="DEO1" s="408" t="s">
        <v>41</v>
      </c>
      <c r="DEP1" s="404"/>
      <c r="DEQ1" s="404"/>
      <c r="DER1" s="404"/>
      <c r="DES1" s="404"/>
      <c r="DET1" s="404"/>
      <c r="DEU1" s="404"/>
      <c r="DEV1" s="405"/>
      <c r="DEW1" s="408" t="s">
        <v>41</v>
      </c>
      <c r="DEX1" s="404"/>
      <c r="DEY1" s="404"/>
      <c r="DEZ1" s="404"/>
      <c r="DFA1" s="404"/>
      <c r="DFB1" s="404"/>
      <c r="DFC1" s="404"/>
      <c r="DFD1" s="405"/>
      <c r="DFE1" s="408" t="s">
        <v>41</v>
      </c>
      <c r="DFF1" s="404"/>
      <c r="DFG1" s="404"/>
      <c r="DFH1" s="404"/>
      <c r="DFI1" s="404"/>
      <c r="DFJ1" s="404"/>
      <c r="DFK1" s="404"/>
      <c r="DFL1" s="405"/>
      <c r="DFM1" s="408" t="s">
        <v>41</v>
      </c>
      <c r="DFN1" s="404"/>
      <c r="DFO1" s="404"/>
      <c r="DFP1" s="404"/>
      <c r="DFQ1" s="404"/>
      <c r="DFR1" s="404"/>
      <c r="DFS1" s="404"/>
      <c r="DFT1" s="405"/>
      <c r="DFU1" s="408" t="s">
        <v>41</v>
      </c>
      <c r="DFV1" s="404"/>
      <c r="DFW1" s="404"/>
      <c r="DFX1" s="404"/>
      <c r="DFY1" s="404"/>
      <c r="DFZ1" s="404"/>
      <c r="DGA1" s="404"/>
      <c r="DGB1" s="405"/>
      <c r="DGC1" s="408" t="s">
        <v>41</v>
      </c>
      <c r="DGD1" s="404"/>
      <c r="DGE1" s="404"/>
      <c r="DGF1" s="404"/>
      <c r="DGG1" s="404"/>
      <c r="DGH1" s="404"/>
      <c r="DGI1" s="404"/>
      <c r="DGJ1" s="405"/>
      <c r="DGK1" s="408" t="s">
        <v>41</v>
      </c>
      <c r="DGL1" s="404"/>
      <c r="DGM1" s="404"/>
      <c r="DGN1" s="404"/>
      <c r="DGO1" s="404"/>
      <c r="DGP1" s="404"/>
      <c r="DGQ1" s="404"/>
      <c r="DGR1" s="405"/>
      <c r="DGS1" s="408" t="s">
        <v>41</v>
      </c>
      <c r="DGT1" s="404"/>
      <c r="DGU1" s="404"/>
      <c r="DGV1" s="404"/>
      <c r="DGW1" s="404"/>
      <c r="DGX1" s="404"/>
      <c r="DGY1" s="404"/>
      <c r="DGZ1" s="405"/>
      <c r="DHA1" s="408" t="s">
        <v>41</v>
      </c>
      <c r="DHB1" s="404"/>
      <c r="DHC1" s="404"/>
      <c r="DHD1" s="404"/>
      <c r="DHE1" s="404"/>
      <c r="DHF1" s="404"/>
      <c r="DHG1" s="404"/>
      <c r="DHH1" s="405"/>
      <c r="DHI1" s="408" t="s">
        <v>41</v>
      </c>
      <c r="DHJ1" s="404"/>
      <c r="DHK1" s="404"/>
      <c r="DHL1" s="404"/>
      <c r="DHM1" s="404"/>
      <c r="DHN1" s="404"/>
      <c r="DHO1" s="404"/>
      <c r="DHP1" s="405"/>
      <c r="DHQ1" s="408" t="s">
        <v>41</v>
      </c>
      <c r="DHR1" s="404"/>
      <c r="DHS1" s="404"/>
      <c r="DHT1" s="404"/>
      <c r="DHU1" s="404"/>
      <c r="DHV1" s="404"/>
      <c r="DHW1" s="404"/>
      <c r="DHX1" s="405"/>
      <c r="DHY1" s="408" t="s">
        <v>41</v>
      </c>
      <c r="DHZ1" s="404"/>
      <c r="DIA1" s="404"/>
      <c r="DIB1" s="404"/>
      <c r="DIC1" s="404"/>
      <c r="DID1" s="404"/>
      <c r="DIE1" s="404"/>
      <c r="DIF1" s="405"/>
      <c r="DIG1" s="408" t="s">
        <v>41</v>
      </c>
      <c r="DIH1" s="404"/>
      <c r="DII1" s="404"/>
      <c r="DIJ1" s="404"/>
      <c r="DIK1" s="404"/>
      <c r="DIL1" s="404"/>
      <c r="DIM1" s="404"/>
      <c r="DIN1" s="405"/>
      <c r="DIO1" s="408" t="s">
        <v>41</v>
      </c>
      <c r="DIP1" s="404"/>
      <c r="DIQ1" s="404"/>
      <c r="DIR1" s="404"/>
      <c r="DIS1" s="404"/>
      <c r="DIT1" s="404"/>
      <c r="DIU1" s="404"/>
      <c r="DIV1" s="405"/>
      <c r="DIW1" s="408" t="s">
        <v>41</v>
      </c>
      <c r="DIX1" s="404"/>
      <c r="DIY1" s="404"/>
      <c r="DIZ1" s="404"/>
      <c r="DJA1" s="404"/>
      <c r="DJB1" s="404"/>
      <c r="DJC1" s="404"/>
      <c r="DJD1" s="405"/>
      <c r="DJE1" s="408" t="s">
        <v>41</v>
      </c>
      <c r="DJF1" s="404"/>
      <c r="DJG1" s="404"/>
      <c r="DJH1" s="404"/>
      <c r="DJI1" s="404"/>
      <c r="DJJ1" s="404"/>
      <c r="DJK1" s="404"/>
      <c r="DJL1" s="405"/>
      <c r="DJM1" s="408" t="s">
        <v>41</v>
      </c>
      <c r="DJN1" s="404"/>
      <c r="DJO1" s="404"/>
      <c r="DJP1" s="404"/>
      <c r="DJQ1" s="404"/>
      <c r="DJR1" s="404"/>
      <c r="DJS1" s="404"/>
      <c r="DJT1" s="405"/>
      <c r="DJU1" s="408" t="s">
        <v>41</v>
      </c>
      <c r="DJV1" s="404"/>
      <c r="DJW1" s="404"/>
      <c r="DJX1" s="404"/>
      <c r="DJY1" s="404"/>
      <c r="DJZ1" s="404"/>
      <c r="DKA1" s="404"/>
      <c r="DKB1" s="405"/>
      <c r="DKC1" s="408" t="s">
        <v>41</v>
      </c>
      <c r="DKD1" s="404"/>
      <c r="DKE1" s="404"/>
      <c r="DKF1" s="404"/>
      <c r="DKG1" s="404"/>
      <c r="DKH1" s="404"/>
      <c r="DKI1" s="404"/>
      <c r="DKJ1" s="405"/>
      <c r="DKK1" s="408" t="s">
        <v>41</v>
      </c>
      <c r="DKL1" s="404"/>
      <c r="DKM1" s="404"/>
      <c r="DKN1" s="404"/>
      <c r="DKO1" s="404"/>
      <c r="DKP1" s="404"/>
      <c r="DKQ1" s="404"/>
      <c r="DKR1" s="405"/>
      <c r="DKS1" s="408" t="s">
        <v>41</v>
      </c>
      <c r="DKT1" s="404"/>
      <c r="DKU1" s="404"/>
      <c r="DKV1" s="404"/>
      <c r="DKW1" s="404"/>
      <c r="DKX1" s="404"/>
      <c r="DKY1" s="404"/>
      <c r="DKZ1" s="405"/>
      <c r="DLA1" s="408" t="s">
        <v>41</v>
      </c>
      <c r="DLB1" s="404"/>
      <c r="DLC1" s="404"/>
      <c r="DLD1" s="404"/>
      <c r="DLE1" s="404"/>
      <c r="DLF1" s="404"/>
      <c r="DLG1" s="404"/>
      <c r="DLH1" s="405"/>
      <c r="DLI1" s="408" t="s">
        <v>41</v>
      </c>
      <c r="DLJ1" s="404"/>
      <c r="DLK1" s="404"/>
      <c r="DLL1" s="404"/>
      <c r="DLM1" s="404"/>
      <c r="DLN1" s="404"/>
      <c r="DLO1" s="404"/>
      <c r="DLP1" s="405"/>
      <c r="DLQ1" s="408" t="s">
        <v>41</v>
      </c>
      <c r="DLR1" s="404"/>
      <c r="DLS1" s="404"/>
      <c r="DLT1" s="404"/>
      <c r="DLU1" s="404"/>
      <c r="DLV1" s="404"/>
      <c r="DLW1" s="404"/>
      <c r="DLX1" s="405"/>
      <c r="DLY1" s="408" t="s">
        <v>41</v>
      </c>
      <c r="DLZ1" s="404"/>
      <c r="DMA1" s="404"/>
      <c r="DMB1" s="404"/>
      <c r="DMC1" s="404"/>
      <c r="DMD1" s="404"/>
      <c r="DME1" s="404"/>
      <c r="DMF1" s="405"/>
      <c r="DMG1" s="408" t="s">
        <v>41</v>
      </c>
      <c r="DMH1" s="404"/>
      <c r="DMI1" s="404"/>
      <c r="DMJ1" s="404"/>
      <c r="DMK1" s="404"/>
      <c r="DML1" s="404"/>
      <c r="DMM1" s="404"/>
      <c r="DMN1" s="405"/>
      <c r="DMO1" s="408" t="s">
        <v>41</v>
      </c>
      <c r="DMP1" s="404"/>
      <c r="DMQ1" s="404"/>
      <c r="DMR1" s="404"/>
      <c r="DMS1" s="404"/>
      <c r="DMT1" s="404"/>
      <c r="DMU1" s="404"/>
      <c r="DMV1" s="405"/>
      <c r="DMW1" s="408" t="s">
        <v>41</v>
      </c>
      <c r="DMX1" s="404"/>
      <c r="DMY1" s="404"/>
      <c r="DMZ1" s="404"/>
      <c r="DNA1" s="404"/>
      <c r="DNB1" s="404"/>
      <c r="DNC1" s="404"/>
      <c r="DND1" s="405"/>
      <c r="DNE1" s="408" t="s">
        <v>41</v>
      </c>
      <c r="DNF1" s="404"/>
      <c r="DNG1" s="404"/>
      <c r="DNH1" s="404"/>
      <c r="DNI1" s="404"/>
      <c r="DNJ1" s="404"/>
      <c r="DNK1" s="404"/>
      <c r="DNL1" s="405"/>
      <c r="DNM1" s="408" t="s">
        <v>41</v>
      </c>
      <c r="DNN1" s="404"/>
      <c r="DNO1" s="404"/>
      <c r="DNP1" s="404"/>
      <c r="DNQ1" s="404"/>
      <c r="DNR1" s="404"/>
      <c r="DNS1" s="404"/>
      <c r="DNT1" s="405"/>
      <c r="DNU1" s="408" t="s">
        <v>41</v>
      </c>
      <c r="DNV1" s="404"/>
      <c r="DNW1" s="404"/>
      <c r="DNX1" s="404"/>
      <c r="DNY1" s="404"/>
      <c r="DNZ1" s="404"/>
      <c r="DOA1" s="404"/>
      <c r="DOB1" s="405"/>
      <c r="DOC1" s="408" t="s">
        <v>41</v>
      </c>
      <c r="DOD1" s="404"/>
      <c r="DOE1" s="404"/>
      <c r="DOF1" s="404"/>
      <c r="DOG1" s="404"/>
      <c r="DOH1" s="404"/>
      <c r="DOI1" s="404"/>
      <c r="DOJ1" s="405"/>
      <c r="DOK1" s="408" t="s">
        <v>41</v>
      </c>
      <c r="DOL1" s="404"/>
      <c r="DOM1" s="404"/>
      <c r="DON1" s="404"/>
      <c r="DOO1" s="404"/>
      <c r="DOP1" s="404"/>
      <c r="DOQ1" s="404"/>
      <c r="DOR1" s="405"/>
      <c r="DOS1" s="408" t="s">
        <v>41</v>
      </c>
      <c r="DOT1" s="404"/>
      <c r="DOU1" s="404"/>
      <c r="DOV1" s="404"/>
      <c r="DOW1" s="404"/>
      <c r="DOX1" s="404"/>
      <c r="DOY1" s="404"/>
      <c r="DOZ1" s="405"/>
      <c r="DPA1" s="408" t="s">
        <v>41</v>
      </c>
      <c r="DPB1" s="404"/>
      <c r="DPC1" s="404"/>
      <c r="DPD1" s="404"/>
      <c r="DPE1" s="404"/>
      <c r="DPF1" s="404"/>
      <c r="DPG1" s="404"/>
      <c r="DPH1" s="405"/>
      <c r="DPI1" s="408" t="s">
        <v>41</v>
      </c>
      <c r="DPJ1" s="404"/>
      <c r="DPK1" s="404"/>
      <c r="DPL1" s="404"/>
      <c r="DPM1" s="404"/>
      <c r="DPN1" s="404"/>
      <c r="DPO1" s="404"/>
      <c r="DPP1" s="405"/>
      <c r="DPQ1" s="408" t="s">
        <v>41</v>
      </c>
      <c r="DPR1" s="404"/>
      <c r="DPS1" s="404"/>
      <c r="DPT1" s="404"/>
      <c r="DPU1" s="404"/>
      <c r="DPV1" s="404"/>
      <c r="DPW1" s="404"/>
      <c r="DPX1" s="405"/>
      <c r="DPY1" s="408" t="s">
        <v>41</v>
      </c>
      <c r="DPZ1" s="404"/>
      <c r="DQA1" s="404"/>
      <c r="DQB1" s="404"/>
      <c r="DQC1" s="404"/>
      <c r="DQD1" s="404"/>
      <c r="DQE1" s="404"/>
      <c r="DQF1" s="405"/>
      <c r="DQG1" s="408" t="s">
        <v>41</v>
      </c>
      <c r="DQH1" s="404"/>
      <c r="DQI1" s="404"/>
      <c r="DQJ1" s="404"/>
      <c r="DQK1" s="404"/>
      <c r="DQL1" s="404"/>
      <c r="DQM1" s="404"/>
      <c r="DQN1" s="405"/>
      <c r="DQO1" s="408" t="s">
        <v>41</v>
      </c>
      <c r="DQP1" s="404"/>
      <c r="DQQ1" s="404"/>
      <c r="DQR1" s="404"/>
      <c r="DQS1" s="404"/>
      <c r="DQT1" s="404"/>
      <c r="DQU1" s="404"/>
      <c r="DQV1" s="405"/>
      <c r="DQW1" s="408" t="s">
        <v>41</v>
      </c>
      <c r="DQX1" s="404"/>
      <c r="DQY1" s="404"/>
      <c r="DQZ1" s="404"/>
      <c r="DRA1" s="404"/>
      <c r="DRB1" s="404"/>
      <c r="DRC1" s="404"/>
      <c r="DRD1" s="405"/>
      <c r="DRE1" s="408" t="s">
        <v>41</v>
      </c>
      <c r="DRF1" s="404"/>
      <c r="DRG1" s="404"/>
      <c r="DRH1" s="404"/>
      <c r="DRI1" s="404"/>
      <c r="DRJ1" s="404"/>
      <c r="DRK1" s="404"/>
      <c r="DRL1" s="405"/>
      <c r="DRM1" s="408" t="s">
        <v>41</v>
      </c>
      <c r="DRN1" s="404"/>
      <c r="DRO1" s="404"/>
      <c r="DRP1" s="404"/>
      <c r="DRQ1" s="404"/>
      <c r="DRR1" s="404"/>
      <c r="DRS1" s="404"/>
      <c r="DRT1" s="405"/>
      <c r="DRU1" s="408" t="s">
        <v>41</v>
      </c>
      <c r="DRV1" s="404"/>
      <c r="DRW1" s="404"/>
      <c r="DRX1" s="404"/>
      <c r="DRY1" s="404"/>
      <c r="DRZ1" s="404"/>
      <c r="DSA1" s="404"/>
      <c r="DSB1" s="405"/>
      <c r="DSC1" s="408" t="s">
        <v>41</v>
      </c>
      <c r="DSD1" s="404"/>
      <c r="DSE1" s="404"/>
      <c r="DSF1" s="404"/>
      <c r="DSG1" s="404"/>
      <c r="DSH1" s="404"/>
      <c r="DSI1" s="404"/>
      <c r="DSJ1" s="405"/>
      <c r="DSK1" s="408" t="s">
        <v>41</v>
      </c>
      <c r="DSL1" s="404"/>
      <c r="DSM1" s="404"/>
      <c r="DSN1" s="404"/>
      <c r="DSO1" s="404"/>
      <c r="DSP1" s="404"/>
      <c r="DSQ1" s="404"/>
      <c r="DSR1" s="405"/>
      <c r="DSS1" s="408" t="s">
        <v>41</v>
      </c>
      <c r="DST1" s="404"/>
      <c r="DSU1" s="404"/>
      <c r="DSV1" s="404"/>
      <c r="DSW1" s="404"/>
      <c r="DSX1" s="404"/>
      <c r="DSY1" s="404"/>
      <c r="DSZ1" s="405"/>
      <c r="DTA1" s="408" t="s">
        <v>41</v>
      </c>
      <c r="DTB1" s="404"/>
      <c r="DTC1" s="404"/>
      <c r="DTD1" s="404"/>
      <c r="DTE1" s="404"/>
      <c r="DTF1" s="404"/>
      <c r="DTG1" s="404"/>
      <c r="DTH1" s="405"/>
      <c r="DTI1" s="408" t="s">
        <v>41</v>
      </c>
      <c r="DTJ1" s="404"/>
      <c r="DTK1" s="404"/>
      <c r="DTL1" s="404"/>
      <c r="DTM1" s="404"/>
      <c r="DTN1" s="404"/>
      <c r="DTO1" s="404"/>
      <c r="DTP1" s="405"/>
      <c r="DTQ1" s="408" t="s">
        <v>41</v>
      </c>
      <c r="DTR1" s="404"/>
      <c r="DTS1" s="404"/>
      <c r="DTT1" s="404"/>
      <c r="DTU1" s="404"/>
      <c r="DTV1" s="404"/>
      <c r="DTW1" s="404"/>
      <c r="DTX1" s="405"/>
      <c r="DTY1" s="408" t="s">
        <v>41</v>
      </c>
      <c r="DTZ1" s="404"/>
      <c r="DUA1" s="404"/>
      <c r="DUB1" s="404"/>
      <c r="DUC1" s="404"/>
      <c r="DUD1" s="404"/>
      <c r="DUE1" s="404"/>
      <c r="DUF1" s="405"/>
      <c r="DUG1" s="408" t="s">
        <v>41</v>
      </c>
      <c r="DUH1" s="404"/>
      <c r="DUI1" s="404"/>
      <c r="DUJ1" s="404"/>
      <c r="DUK1" s="404"/>
      <c r="DUL1" s="404"/>
      <c r="DUM1" s="404"/>
      <c r="DUN1" s="405"/>
      <c r="DUO1" s="408" t="s">
        <v>41</v>
      </c>
      <c r="DUP1" s="404"/>
      <c r="DUQ1" s="404"/>
      <c r="DUR1" s="404"/>
      <c r="DUS1" s="404"/>
      <c r="DUT1" s="404"/>
      <c r="DUU1" s="404"/>
      <c r="DUV1" s="405"/>
      <c r="DUW1" s="408" t="s">
        <v>41</v>
      </c>
      <c r="DUX1" s="404"/>
      <c r="DUY1" s="404"/>
      <c r="DUZ1" s="404"/>
      <c r="DVA1" s="404"/>
      <c r="DVB1" s="404"/>
      <c r="DVC1" s="404"/>
      <c r="DVD1" s="405"/>
      <c r="DVE1" s="408" t="s">
        <v>41</v>
      </c>
      <c r="DVF1" s="404"/>
      <c r="DVG1" s="404"/>
      <c r="DVH1" s="404"/>
      <c r="DVI1" s="404"/>
      <c r="DVJ1" s="404"/>
      <c r="DVK1" s="404"/>
      <c r="DVL1" s="405"/>
      <c r="DVM1" s="408" t="s">
        <v>41</v>
      </c>
      <c r="DVN1" s="404"/>
      <c r="DVO1" s="404"/>
      <c r="DVP1" s="404"/>
      <c r="DVQ1" s="404"/>
      <c r="DVR1" s="404"/>
      <c r="DVS1" s="404"/>
      <c r="DVT1" s="405"/>
      <c r="DVU1" s="408" t="s">
        <v>41</v>
      </c>
      <c r="DVV1" s="404"/>
      <c r="DVW1" s="404"/>
      <c r="DVX1" s="404"/>
      <c r="DVY1" s="404"/>
      <c r="DVZ1" s="404"/>
      <c r="DWA1" s="404"/>
      <c r="DWB1" s="405"/>
      <c r="DWC1" s="408" t="s">
        <v>41</v>
      </c>
      <c r="DWD1" s="404"/>
      <c r="DWE1" s="404"/>
      <c r="DWF1" s="404"/>
      <c r="DWG1" s="404"/>
      <c r="DWH1" s="404"/>
      <c r="DWI1" s="404"/>
      <c r="DWJ1" s="405"/>
      <c r="DWK1" s="408" t="s">
        <v>41</v>
      </c>
      <c r="DWL1" s="404"/>
      <c r="DWM1" s="404"/>
      <c r="DWN1" s="404"/>
      <c r="DWO1" s="404"/>
      <c r="DWP1" s="404"/>
      <c r="DWQ1" s="404"/>
      <c r="DWR1" s="405"/>
      <c r="DWS1" s="408" t="s">
        <v>41</v>
      </c>
      <c r="DWT1" s="404"/>
      <c r="DWU1" s="404"/>
      <c r="DWV1" s="404"/>
      <c r="DWW1" s="404"/>
      <c r="DWX1" s="404"/>
      <c r="DWY1" s="404"/>
      <c r="DWZ1" s="405"/>
      <c r="DXA1" s="408" t="s">
        <v>41</v>
      </c>
      <c r="DXB1" s="404"/>
      <c r="DXC1" s="404"/>
      <c r="DXD1" s="404"/>
      <c r="DXE1" s="404"/>
      <c r="DXF1" s="404"/>
      <c r="DXG1" s="404"/>
      <c r="DXH1" s="405"/>
      <c r="DXI1" s="408" t="s">
        <v>41</v>
      </c>
      <c r="DXJ1" s="404"/>
      <c r="DXK1" s="404"/>
      <c r="DXL1" s="404"/>
      <c r="DXM1" s="404"/>
      <c r="DXN1" s="404"/>
      <c r="DXO1" s="404"/>
      <c r="DXP1" s="405"/>
      <c r="DXQ1" s="408" t="s">
        <v>41</v>
      </c>
      <c r="DXR1" s="404"/>
      <c r="DXS1" s="404"/>
      <c r="DXT1" s="404"/>
      <c r="DXU1" s="404"/>
      <c r="DXV1" s="404"/>
      <c r="DXW1" s="404"/>
      <c r="DXX1" s="405"/>
      <c r="DXY1" s="408" t="s">
        <v>41</v>
      </c>
      <c r="DXZ1" s="404"/>
      <c r="DYA1" s="404"/>
      <c r="DYB1" s="404"/>
      <c r="DYC1" s="404"/>
      <c r="DYD1" s="404"/>
      <c r="DYE1" s="404"/>
      <c r="DYF1" s="405"/>
      <c r="DYG1" s="408" t="s">
        <v>41</v>
      </c>
      <c r="DYH1" s="404"/>
      <c r="DYI1" s="404"/>
      <c r="DYJ1" s="404"/>
      <c r="DYK1" s="404"/>
      <c r="DYL1" s="404"/>
      <c r="DYM1" s="404"/>
      <c r="DYN1" s="405"/>
      <c r="DYO1" s="408" t="s">
        <v>41</v>
      </c>
      <c r="DYP1" s="404"/>
      <c r="DYQ1" s="404"/>
      <c r="DYR1" s="404"/>
      <c r="DYS1" s="404"/>
      <c r="DYT1" s="404"/>
      <c r="DYU1" s="404"/>
      <c r="DYV1" s="405"/>
      <c r="DYW1" s="408" t="s">
        <v>41</v>
      </c>
      <c r="DYX1" s="404"/>
      <c r="DYY1" s="404"/>
      <c r="DYZ1" s="404"/>
      <c r="DZA1" s="404"/>
      <c r="DZB1" s="404"/>
      <c r="DZC1" s="404"/>
      <c r="DZD1" s="405"/>
      <c r="DZE1" s="408" t="s">
        <v>41</v>
      </c>
      <c r="DZF1" s="404"/>
      <c r="DZG1" s="404"/>
      <c r="DZH1" s="404"/>
      <c r="DZI1" s="404"/>
      <c r="DZJ1" s="404"/>
      <c r="DZK1" s="404"/>
      <c r="DZL1" s="405"/>
      <c r="DZM1" s="408" t="s">
        <v>41</v>
      </c>
      <c r="DZN1" s="404"/>
      <c r="DZO1" s="404"/>
      <c r="DZP1" s="404"/>
      <c r="DZQ1" s="404"/>
      <c r="DZR1" s="404"/>
      <c r="DZS1" s="404"/>
      <c r="DZT1" s="405"/>
      <c r="DZU1" s="408" t="s">
        <v>41</v>
      </c>
      <c r="DZV1" s="404"/>
      <c r="DZW1" s="404"/>
      <c r="DZX1" s="404"/>
      <c r="DZY1" s="404"/>
      <c r="DZZ1" s="404"/>
      <c r="EAA1" s="404"/>
      <c r="EAB1" s="405"/>
      <c r="EAC1" s="408" t="s">
        <v>41</v>
      </c>
      <c r="EAD1" s="404"/>
      <c r="EAE1" s="404"/>
      <c r="EAF1" s="404"/>
      <c r="EAG1" s="404"/>
      <c r="EAH1" s="404"/>
      <c r="EAI1" s="404"/>
      <c r="EAJ1" s="405"/>
      <c r="EAK1" s="408" t="s">
        <v>41</v>
      </c>
      <c r="EAL1" s="404"/>
      <c r="EAM1" s="404"/>
      <c r="EAN1" s="404"/>
      <c r="EAO1" s="404"/>
      <c r="EAP1" s="404"/>
      <c r="EAQ1" s="404"/>
      <c r="EAR1" s="405"/>
      <c r="EAS1" s="408" t="s">
        <v>41</v>
      </c>
      <c r="EAT1" s="404"/>
      <c r="EAU1" s="404"/>
      <c r="EAV1" s="404"/>
      <c r="EAW1" s="404"/>
      <c r="EAX1" s="404"/>
      <c r="EAY1" s="404"/>
      <c r="EAZ1" s="405"/>
      <c r="EBA1" s="408" t="s">
        <v>41</v>
      </c>
      <c r="EBB1" s="404"/>
      <c r="EBC1" s="404"/>
      <c r="EBD1" s="404"/>
      <c r="EBE1" s="404"/>
      <c r="EBF1" s="404"/>
      <c r="EBG1" s="404"/>
      <c r="EBH1" s="405"/>
      <c r="EBI1" s="408" t="s">
        <v>41</v>
      </c>
      <c r="EBJ1" s="404"/>
      <c r="EBK1" s="404"/>
      <c r="EBL1" s="404"/>
      <c r="EBM1" s="404"/>
      <c r="EBN1" s="404"/>
      <c r="EBO1" s="404"/>
      <c r="EBP1" s="405"/>
      <c r="EBQ1" s="408" t="s">
        <v>41</v>
      </c>
      <c r="EBR1" s="404"/>
      <c r="EBS1" s="404"/>
      <c r="EBT1" s="404"/>
      <c r="EBU1" s="404"/>
      <c r="EBV1" s="404"/>
      <c r="EBW1" s="404"/>
      <c r="EBX1" s="405"/>
      <c r="EBY1" s="408" t="s">
        <v>41</v>
      </c>
      <c r="EBZ1" s="404"/>
      <c r="ECA1" s="404"/>
      <c r="ECB1" s="404"/>
      <c r="ECC1" s="404"/>
      <c r="ECD1" s="404"/>
      <c r="ECE1" s="404"/>
      <c r="ECF1" s="405"/>
      <c r="ECG1" s="408" t="s">
        <v>41</v>
      </c>
      <c r="ECH1" s="404"/>
      <c r="ECI1" s="404"/>
      <c r="ECJ1" s="404"/>
      <c r="ECK1" s="404"/>
      <c r="ECL1" s="404"/>
      <c r="ECM1" s="404"/>
      <c r="ECN1" s="405"/>
      <c r="ECO1" s="408" t="s">
        <v>41</v>
      </c>
      <c r="ECP1" s="404"/>
      <c r="ECQ1" s="404"/>
      <c r="ECR1" s="404"/>
      <c r="ECS1" s="404"/>
      <c r="ECT1" s="404"/>
      <c r="ECU1" s="404"/>
      <c r="ECV1" s="405"/>
      <c r="ECW1" s="408" t="s">
        <v>41</v>
      </c>
      <c r="ECX1" s="404"/>
      <c r="ECY1" s="404"/>
      <c r="ECZ1" s="404"/>
      <c r="EDA1" s="404"/>
      <c r="EDB1" s="404"/>
      <c r="EDC1" s="404"/>
      <c r="EDD1" s="405"/>
      <c r="EDE1" s="408" t="s">
        <v>41</v>
      </c>
      <c r="EDF1" s="404"/>
      <c r="EDG1" s="404"/>
      <c r="EDH1" s="404"/>
      <c r="EDI1" s="404"/>
      <c r="EDJ1" s="404"/>
      <c r="EDK1" s="404"/>
      <c r="EDL1" s="405"/>
      <c r="EDM1" s="408" t="s">
        <v>41</v>
      </c>
      <c r="EDN1" s="404"/>
      <c r="EDO1" s="404"/>
      <c r="EDP1" s="404"/>
      <c r="EDQ1" s="404"/>
      <c r="EDR1" s="404"/>
      <c r="EDS1" s="404"/>
      <c r="EDT1" s="405"/>
      <c r="EDU1" s="408" t="s">
        <v>41</v>
      </c>
      <c r="EDV1" s="404"/>
      <c r="EDW1" s="404"/>
      <c r="EDX1" s="404"/>
      <c r="EDY1" s="404"/>
      <c r="EDZ1" s="404"/>
      <c r="EEA1" s="404"/>
      <c r="EEB1" s="405"/>
      <c r="EEC1" s="408" t="s">
        <v>41</v>
      </c>
      <c r="EED1" s="404"/>
      <c r="EEE1" s="404"/>
      <c r="EEF1" s="404"/>
      <c r="EEG1" s="404"/>
      <c r="EEH1" s="404"/>
      <c r="EEI1" s="404"/>
      <c r="EEJ1" s="405"/>
      <c r="EEK1" s="408" t="s">
        <v>41</v>
      </c>
      <c r="EEL1" s="404"/>
      <c r="EEM1" s="404"/>
      <c r="EEN1" s="404"/>
      <c r="EEO1" s="404"/>
      <c r="EEP1" s="404"/>
      <c r="EEQ1" s="404"/>
      <c r="EER1" s="405"/>
      <c r="EES1" s="408" t="s">
        <v>41</v>
      </c>
      <c r="EET1" s="404"/>
      <c r="EEU1" s="404"/>
      <c r="EEV1" s="404"/>
      <c r="EEW1" s="404"/>
      <c r="EEX1" s="404"/>
      <c r="EEY1" s="404"/>
      <c r="EEZ1" s="405"/>
      <c r="EFA1" s="408" t="s">
        <v>41</v>
      </c>
      <c r="EFB1" s="404"/>
      <c r="EFC1" s="404"/>
      <c r="EFD1" s="404"/>
      <c r="EFE1" s="404"/>
      <c r="EFF1" s="404"/>
      <c r="EFG1" s="404"/>
      <c r="EFH1" s="405"/>
      <c r="EFI1" s="408" t="s">
        <v>41</v>
      </c>
      <c r="EFJ1" s="404"/>
      <c r="EFK1" s="404"/>
      <c r="EFL1" s="404"/>
      <c r="EFM1" s="404"/>
      <c r="EFN1" s="404"/>
      <c r="EFO1" s="404"/>
      <c r="EFP1" s="405"/>
      <c r="EFQ1" s="408" t="s">
        <v>41</v>
      </c>
      <c r="EFR1" s="404"/>
      <c r="EFS1" s="404"/>
      <c r="EFT1" s="404"/>
      <c r="EFU1" s="404"/>
      <c r="EFV1" s="404"/>
      <c r="EFW1" s="404"/>
      <c r="EFX1" s="405"/>
      <c r="EFY1" s="408" t="s">
        <v>41</v>
      </c>
      <c r="EFZ1" s="404"/>
      <c r="EGA1" s="404"/>
      <c r="EGB1" s="404"/>
      <c r="EGC1" s="404"/>
      <c r="EGD1" s="404"/>
      <c r="EGE1" s="404"/>
      <c r="EGF1" s="405"/>
      <c r="EGG1" s="408" t="s">
        <v>41</v>
      </c>
      <c r="EGH1" s="404"/>
      <c r="EGI1" s="404"/>
      <c r="EGJ1" s="404"/>
      <c r="EGK1" s="404"/>
      <c r="EGL1" s="404"/>
      <c r="EGM1" s="404"/>
      <c r="EGN1" s="405"/>
      <c r="EGO1" s="408" t="s">
        <v>41</v>
      </c>
      <c r="EGP1" s="404"/>
      <c r="EGQ1" s="404"/>
      <c r="EGR1" s="404"/>
      <c r="EGS1" s="404"/>
      <c r="EGT1" s="404"/>
      <c r="EGU1" s="404"/>
      <c r="EGV1" s="405"/>
      <c r="EGW1" s="408" t="s">
        <v>41</v>
      </c>
      <c r="EGX1" s="404"/>
      <c r="EGY1" s="404"/>
      <c r="EGZ1" s="404"/>
      <c r="EHA1" s="404"/>
      <c r="EHB1" s="404"/>
      <c r="EHC1" s="404"/>
      <c r="EHD1" s="405"/>
      <c r="EHE1" s="408" t="s">
        <v>41</v>
      </c>
      <c r="EHF1" s="404"/>
      <c r="EHG1" s="404"/>
      <c r="EHH1" s="404"/>
      <c r="EHI1" s="404"/>
      <c r="EHJ1" s="404"/>
      <c r="EHK1" s="404"/>
      <c r="EHL1" s="405"/>
      <c r="EHM1" s="408" t="s">
        <v>41</v>
      </c>
      <c r="EHN1" s="404"/>
      <c r="EHO1" s="404"/>
      <c r="EHP1" s="404"/>
      <c r="EHQ1" s="404"/>
      <c r="EHR1" s="404"/>
      <c r="EHS1" s="404"/>
      <c r="EHT1" s="405"/>
      <c r="EHU1" s="408" t="s">
        <v>41</v>
      </c>
      <c r="EHV1" s="404"/>
      <c r="EHW1" s="404"/>
      <c r="EHX1" s="404"/>
      <c r="EHY1" s="404"/>
      <c r="EHZ1" s="404"/>
      <c r="EIA1" s="404"/>
      <c r="EIB1" s="405"/>
      <c r="EIC1" s="408" t="s">
        <v>41</v>
      </c>
      <c r="EID1" s="404"/>
      <c r="EIE1" s="404"/>
      <c r="EIF1" s="404"/>
      <c r="EIG1" s="404"/>
      <c r="EIH1" s="404"/>
      <c r="EII1" s="404"/>
      <c r="EIJ1" s="405"/>
      <c r="EIK1" s="408" t="s">
        <v>41</v>
      </c>
      <c r="EIL1" s="404"/>
      <c r="EIM1" s="404"/>
      <c r="EIN1" s="404"/>
      <c r="EIO1" s="404"/>
      <c r="EIP1" s="404"/>
      <c r="EIQ1" s="404"/>
      <c r="EIR1" s="405"/>
      <c r="EIS1" s="408" t="s">
        <v>41</v>
      </c>
      <c r="EIT1" s="404"/>
      <c r="EIU1" s="404"/>
      <c r="EIV1" s="404"/>
      <c r="EIW1" s="404"/>
      <c r="EIX1" s="404"/>
      <c r="EIY1" s="404"/>
      <c r="EIZ1" s="405"/>
      <c r="EJA1" s="408" t="s">
        <v>41</v>
      </c>
      <c r="EJB1" s="404"/>
      <c r="EJC1" s="404"/>
      <c r="EJD1" s="404"/>
      <c r="EJE1" s="404"/>
      <c r="EJF1" s="404"/>
      <c r="EJG1" s="404"/>
      <c r="EJH1" s="405"/>
      <c r="EJI1" s="408" t="s">
        <v>41</v>
      </c>
      <c r="EJJ1" s="404"/>
      <c r="EJK1" s="404"/>
      <c r="EJL1" s="404"/>
      <c r="EJM1" s="404"/>
      <c r="EJN1" s="404"/>
      <c r="EJO1" s="404"/>
      <c r="EJP1" s="405"/>
      <c r="EJQ1" s="408" t="s">
        <v>41</v>
      </c>
      <c r="EJR1" s="404"/>
      <c r="EJS1" s="404"/>
      <c r="EJT1" s="404"/>
      <c r="EJU1" s="404"/>
      <c r="EJV1" s="404"/>
      <c r="EJW1" s="404"/>
      <c r="EJX1" s="405"/>
      <c r="EJY1" s="408" t="s">
        <v>41</v>
      </c>
      <c r="EJZ1" s="404"/>
      <c r="EKA1" s="404"/>
      <c r="EKB1" s="404"/>
      <c r="EKC1" s="404"/>
      <c r="EKD1" s="404"/>
      <c r="EKE1" s="404"/>
      <c r="EKF1" s="405"/>
      <c r="EKG1" s="408" t="s">
        <v>41</v>
      </c>
      <c r="EKH1" s="404"/>
      <c r="EKI1" s="404"/>
      <c r="EKJ1" s="404"/>
      <c r="EKK1" s="404"/>
      <c r="EKL1" s="404"/>
      <c r="EKM1" s="404"/>
      <c r="EKN1" s="405"/>
      <c r="EKO1" s="408" t="s">
        <v>41</v>
      </c>
      <c r="EKP1" s="404"/>
      <c r="EKQ1" s="404"/>
      <c r="EKR1" s="404"/>
      <c r="EKS1" s="404"/>
      <c r="EKT1" s="404"/>
      <c r="EKU1" s="404"/>
      <c r="EKV1" s="405"/>
      <c r="EKW1" s="408" t="s">
        <v>41</v>
      </c>
      <c r="EKX1" s="404"/>
      <c r="EKY1" s="404"/>
      <c r="EKZ1" s="404"/>
      <c r="ELA1" s="404"/>
      <c r="ELB1" s="404"/>
      <c r="ELC1" s="404"/>
      <c r="ELD1" s="405"/>
      <c r="ELE1" s="408" t="s">
        <v>41</v>
      </c>
      <c r="ELF1" s="404"/>
      <c r="ELG1" s="404"/>
      <c r="ELH1" s="404"/>
      <c r="ELI1" s="404"/>
      <c r="ELJ1" s="404"/>
      <c r="ELK1" s="404"/>
      <c r="ELL1" s="405"/>
      <c r="ELM1" s="408" t="s">
        <v>41</v>
      </c>
      <c r="ELN1" s="404"/>
      <c r="ELO1" s="404"/>
      <c r="ELP1" s="404"/>
      <c r="ELQ1" s="404"/>
      <c r="ELR1" s="404"/>
      <c r="ELS1" s="404"/>
      <c r="ELT1" s="405"/>
      <c r="ELU1" s="408" t="s">
        <v>41</v>
      </c>
      <c r="ELV1" s="404"/>
      <c r="ELW1" s="404"/>
      <c r="ELX1" s="404"/>
      <c r="ELY1" s="404"/>
      <c r="ELZ1" s="404"/>
      <c r="EMA1" s="404"/>
      <c r="EMB1" s="405"/>
      <c r="EMC1" s="408" t="s">
        <v>41</v>
      </c>
      <c r="EMD1" s="404"/>
      <c r="EME1" s="404"/>
      <c r="EMF1" s="404"/>
      <c r="EMG1" s="404"/>
      <c r="EMH1" s="404"/>
      <c r="EMI1" s="404"/>
      <c r="EMJ1" s="405"/>
      <c r="EMK1" s="408" t="s">
        <v>41</v>
      </c>
      <c r="EML1" s="404"/>
      <c r="EMM1" s="404"/>
      <c r="EMN1" s="404"/>
      <c r="EMO1" s="404"/>
      <c r="EMP1" s="404"/>
      <c r="EMQ1" s="404"/>
      <c r="EMR1" s="405"/>
      <c r="EMS1" s="408" t="s">
        <v>41</v>
      </c>
      <c r="EMT1" s="404"/>
      <c r="EMU1" s="404"/>
      <c r="EMV1" s="404"/>
      <c r="EMW1" s="404"/>
      <c r="EMX1" s="404"/>
      <c r="EMY1" s="404"/>
      <c r="EMZ1" s="405"/>
      <c r="ENA1" s="408" t="s">
        <v>41</v>
      </c>
      <c r="ENB1" s="404"/>
      <c r="ENC1" s="404"/>
      <c r="END1" s="404"/>
      <c r="ENE1" s="404"/>
      <c r="ENF1" s="404"/>
      <c r="ENG1" s="404"/>
      <c r="ENH1" s="405"/>
      <c r="ENI1" s="408" t="s">
        <v>41</v>
      </c>
      <c r="ENJ1" s="404"/>
      <c r="ENK1" s="404"/>
      <c r="ENL1" s="404"/>
      <c r="ENM1" s="404"/>
      <c r="ENN1" s="404"/>
      <c r="ENO1" s="404"/>
      <c r="ENP1" s="405"/>
      <c r="ENQ1" s="408" t="s">
        <v>41</v>
      </c>
      <c r="ENR1" s="404"/>
      <c r="ENS1" s="404"/>
      <c r="ENT1" s="404"/>
      <c r="ENU1" s="404"/>
      <c r="ENV1" s="404"/>
      <c r="ENW1" s="404"/>
      <c r="ENX1" s="405"/>
      <c r="ENY1" s="408" t="s">
        <v>41</v>
      </c>
      <c r="ENZ1" s="404"/>
      <c r="EOA1" s="404"/>
      <c r="EOB1" s="404"/>
      <c r="EOC1" s="404"/>
      <c r="EOD1" s="404"/>
      <c r="EOE1" s="404"/>
      <c r="EOF1" s="405"/>
      <c r="EOG1" s="408" t="s">
        <v>41</v>
      </c>
      <c r="EOH1" s="404"/>
      <c r="EOI1" s="404"/>
      <c r="EOJ1" s="404"/>
      <c r="EOK1" s="404"/>
      <c r="EOL1" s="404"/>
      <c r="EOM1" s="404"/>
      <c r="EON1" s="405"/>
      <c r="EOO1" s="408" t="s">
        <v>41</v>
      </c>
      <c r="EOP1" s="404"/>
      <c r="EOQ1" s="404"/>
      <c r="EOR1" s="404"/>
      <c r="EOS1" s="404"/>
      <c r="EOT1" s="404"/>
      <c r="EOU1" s="404"/>
      <c r="EOV1" s="405"/>
      <c r="EOW1" s="408" t="s">
        <v>41</v>
      </c>
      <c r="EOX1" s="404"/>
      <c r="EOY1" s="404"/>
      <c r="EOZ1" s="404"/>
      <c r="EPA1" s="404"/>
      <c r="EPB1" s="404"/>
      <c r="EPC1" s="404"/>
      <c r="EPD1" s="405"/>
      <c r="EPE1" s="408" t="s">
        <v>41</v>
      </c>
      <c r="EPF1" s="404"/>
      <c r="EPG1" s="404"/>
      <c r="EPH1" s="404"/>
      <c r="EPI1" s="404"/>
      <c r="EPJ1" s="404"/>
      <c r="EPK1" s="404"/>
      <c r="EPL1" s="405"/>
      <c r="EPM1" s="408" t="s">
        <v>41</v>
      </c>
      <c r="EPN1" s="404"/>
      <c r="EPO1" s="404"/>
      <c r="EPP1" s="404"/>
      <c r="EPQ1" s="404"/>
      <c r="EPR1" s="404"/>
      <c r="EPS1" s="404"/>
      <c r="EPT1" s="405"/>
      <c r="EPU1" s="408" t="s">
        <v>41</v>
      </c>
      <c r="EPV1" s="404"/>
      <c r="EPW1" s="404"/>
      <c r="EPX1" s="404"/>
      <c r="EPY1" s="404"/>
      <c r="EPZ1" s="404"/>
      <c r="EQA1" s="404"/>
      <c r="EQB1" s="405"/>
      <c r="EQC1" s="408" t="s">
        <v>41</v>
      </c>
      <c r="EQD1" s="404"/>
      <c r="EQE1" s="404"/>
      <c r="EQF1" s="404"/>
      <c r="EQG1" s="404"/>
      <c r="EQH1" s="404"/>
      <c r="EQI1" s="404"/>
      <c r="EQJ1" s="405"/>
      <c r="EQK1" s="408" t="s">
        <v>41</v>
      </c>
      <c r="EQL1" s="404"/>
      <c r="EQM1" s="404"/>
      <c r="EQN1" s="404"/>
      <c r="EQO1" s="404"/>
      <c r="EQP1" s="404"/>
      <c r="EQQ1" s="404"/>
      <c r="EQR1" s="405"/>
      <c r="EQS1" s="408" t="s">
        <v>41</v>
      </c>
      <c r="EQT1" s="404"/>
      <c r="EQU1" s="404"/>
      <c r="EQV1" s="404"/>
      <c r="EQW1" s="404"/>
      <c r="EQX1" s="404"/>
      <c r="EQY1" s="404"/>
      <c r="EQZ1" s="405"/>
      <c r="ERA1" s="408" t="s">
        <v>41</v>
      </c>
      <c r="ERB1" s="404"/>
      <c r="ERC1" s="404"/>
      <c r="ERD1" s="404"/>
      <c r="ERE1" s="404"/>
      <c r="ERF1" s="404"/>
      <c r="ERG1" s="404"/>
      <c r="ERH1" s="405"/>
      <c r="ERI1" s="408" t="s">
        <v>41</v>
      </c>
      <c r="ERJ1" s="404"/>
      <c r="ERK1" s="404"/>
      <c r="ERL1" s="404"/>
      <c r="ERM1" s="404"/>
      <c r="ERN1" s="404"/>
      <c r="ERO1" s="404"/>
      <c r="ERP1" s="405"/>
      <c r="ERQ1" s="408" t="s">
        <v>41</v>
      </c>
      <c r="ERR1" s="404"/>
      <c r="ERS1" s="404"/>
      <c r="ERT1" s="404"/>
      <c r="ERU1" s="404"/>
      <c r="ERV1" s="404"/>
      <c r="ERW1" s="404"/>
      <c r="ERX1" s="405"/>
      <c r="ERY1" s="408" t="s">
        <v>41</v>
      </c>
      <c r="ERZ1" s="404"/>
      <c r="ESA1" s="404"/>
      <c r="ESB1" s="404"/>
      <c r="ESC1" s="404"/>
      <c r="ESD1" s="404"/>
      <c r="ESE1" s="404"/>
      <c r="ESF1" s="405"/>
      <c r="ESG1" s="408" t="s">
        <v>41</v>
      </c>
      <c r="ESH1" s="404"/>
      <c r="ESI1" s="404"/>
      <c r="ESJ1" s="404"/>
      <c r="ESK1" s="404"/>
      <c r="ESL1" s="404"/>
      <c r="ESM1" s="404"/>
      <c r="ESN1" s="405"/>
      <c r="ESO1" s="408" t="s">
        <v>41</v>
      </c>
      <c r="ESP1" s="404"/>
      <c r="ESQ1" s="404"/>
      <c r="ESR1" s="404"/>
      <c r="ESS1" s="404"/>
      <c r="EST1" s="404"/>
      <c r="ESU1" s="404"/>
      <c r="ESV1" s="405"/>
      <c r="ESW1" s="408" t="s">
        <v>41</v>
      </c>
      <c r="ESX1" s="404"/>
      <c r="ESY1" s="404"/>
      <c r="ESZ1" s="404"/>
      <c r="ETA1" s="404"/>
      <c r="ETB1" s="404"/>
      <c r="ETC1" s="404"/>
      <c r="ETD1" s="405"/>
      <c r="ETE1" s="408" t="s">
        <v>41</v>
      </c>
      <c r="ETF1" s="404"/>
      <c r="ETG1" s="404"/>
      <c r="ETH1" s="404"/>
      <c r="ETI1" s="404"/>
      <c r="ETJ1" s="404"/>
      <c r="ETK1" s="404"/>
      <c r="ETL1" s="405"/>
      <c r="ETM1" s="408" t="s">
        <v>41</v>
      </c>
      <c r="ETN1" s="404"/>
      <c r="ETO1" s="404"/>
      <c r="ETP1" s="404"/>
      <c r="ETQ1" s="404"/>
      <c r="ETR1" s="404"/>
      <c r="ETS1" s="404"/>
      <c r="ETT1" s="405"/>
      <c r="ETU1" s="408" t="s">
        <v>41</v>
      </c>
      <c r="ETV1" s="404"/>
      <c r="ETW1" s="404"/>
      <c r="ETX1" s="404"/>
      <c r="ETY1" s="404"/>
      <c r="ETZ1" s="404"/>
      <c r="EUA1" s="404"/>
      <c r="EUB1" s="405"/>
      <c r="EUC1" s="408" t="s">
        <v>41</v>
      </c>
      <c r="EUD1" s="404"/>
      <c r="EUE1" s="404"/>
      <c r="EUF1" s="404"/>
      <c r="EUG1" s="404"/>
      <c r="EUH1" s="404"/>
      <c r="EUI1" s="404"/>
      <c r="EUJ1" s="405"/>
      <c r="EUK1" s="408" t="s">
        <v>41</v>
      </c>
      <c r="EUL1" s="404"/>
      <c r="EUM1" s="404"/>
      <c r="EUN1" s="404"/>
      <c r="EUO1" s="404"/>
      <c r="EUP1" s="404"/>
      <c r="EUQ1" s="404"/>
      <c r="EUR1" s="405"/>
      <c r="EUS1" s="408" t="s">
        <v>41</v>
      </c>
      <c r="EUT1" s="404"/>
      <c r="EUU1" s="404"/>
      <c r="EUV1" s="404"/>
      <c r="EUW1" s="404"/>
      <c r="EUX1" s="404"/>
      <c r="EUY1" s="404"/>
      <c r="EUZ1" s="405"/>
      <c r="EVA1" s="408" t="s">
        <v>41</v>
      </c>
      <c r="EVB1" s="404"/>
      <c r="EVC1" s="404"/>
      <c r="EVD1" s="404"/>
      <c r="EVE1" s="404"/>
      <c r="EVF1" s="404"/>
      <c r="EVG1" s="404"/>
      <c r="EVH1" s="405"/>
      <c r="EVI1" s="408" t="s">
        <v>41</v>
      </c>
      <c r="EVJ1" s="404"/>
      <c r="EVK1" s="404"/>
      <c r="EVL1" s="404"/>
      <c r="EVM1" s="404"/>
      <c r="EVN1" s="404"/>
      <c r="EVO1" s="404"/>
      <c r="EVP1" s="405"/>
      <c r="EVQ1" s="408" t="s">
        <v>41</v>
      </c>
      <c r="EVR1" s="404"/>
      <c r="EVS1" s="404"/>
      <c r="EVT1" s="404"/>
      <c r="EVU1" s="404"/>
      <c r="EVV1" s="404"/>
      <c r="EVW1" s="404"/>
      <c r="EVX1" s="405"/>
      <c r="EVY1" s="408" t="s">
        <v>41</v>
      </c>
      <c r="EVZ1" s="404"/>
      <c r="EWA1" s="404"/>
      <c r="EWB1" s="404"/>
      <c r="EWC1" s="404"/>
      <c r="EWD1" s="404"/>
      <c r="EWE1" s="404"/>
      <c r="EWF1" s="405"/>
      <c r="EWG1" s="408" t="s">
        <v>41</v>
      </c>
      <c r="EWH1" s="404"/>
      <c r="EWI1" s="404"/>
      <c r="EWJ1" s="404"/>
      <c r="EWK1" s="404"/>
      <c r="EWL1" s="404"/>
      <c r="EWM1" s="404"/>
      <c r="EWN1" s="405"/>
      <c r="EWO1" s="408" t="s">
        <v>41</v>
      </c>
      <c r="EWP1" s="404"/>
      <c r="EWQ1" s="404"/>
      <c r="EWR1" s="404"/>
      <c r="EWS1" s="404"/>
      <c r="EWT1" s="404"/>
      <c r="EWU1" s="404"/>
      <c r="EWV1" s="405"/>
      <c r="EWW1" s="408" t="s">
        <v>41</v>
      </c>
      <c r="EWX1" s="404"/>
      <c r="EWY1" s="404"/>
      <c r="EWZ1" s="404"/>
      <c r="EXA1" s="404"/>
      <c r="EXB1" s="404"/>
      <c r="EXC1" s="404"/>
      <c r="EXD1" s="405"/>
      <c r="EXE1" s="408" t="s">
        <v>41</v>
      </c>
      <c r="EXF1" s="404"/>
      <c r="EXG1" s="404"/>
      <c r="EXH1" s="404"/>
      <c r="EXI1" s="404"/>
      <c r="EXJ1" s="404"/>
      <c r="EXK1" s="404"/>
      <c r="EXL1" s="405"/>
      <c r="EXM1" s="408" t="s">
        <v>41</v>
      </c>
      <c r="EXN1" s="404"/>
      <c r="EXO1" s="404"/>
      <c r="EXP1" s="404"/>
      <c r="EXQ1" s="404"/>
      <c r="EXR1" s="404"/>
      <c r="EXS1" s="404"/>
      <c r="EXT1" s="405"/>
      <c r="EXU1" s="408" t="s">
        <v>41</v>
      </c>
      <c r="EXV1" s="404"/>
      <c r="EXW1" s="404"/>
      <c r="EXX1" s="404"/>
      <c r="EXY1" s="404"/>
      <c r="EXZ1" s="404"/>
      <c r="EYA1" s="404"/>
      <c r="EYB1" s="405"/>
      <c r="EYC1" s="408" t="s">
        <v>41</v>
      </c>
      <c r="EYD1" s="404"/>
      <c r="EYE1" s="404"/>
      <c r="EYF1" s="404"/>
      <c r="EYG1" s="404"/>
      <c r="EYH1" s="404"/>
      <c r="EYI1" s="404"/>
      <c r="EYJ1" s="405"/>
      <c r="EYK1" s="408" t="s">
        <v>41</v>
      </c>
      <c r="EYL1" s="404"/>
      <c r="EYM1" s="404"/>
      <c r="EYN1" s="404"/>
      <c r="EYO1" s="404"/>
      <c r="EYP1" s="404"/>
      <c r="EYQ1" s="404"/>
      <c r="EYR1" s="405"/>
      <c r="EYS1" s="408" t="s">
        <v>41</v>
      </c>
      <c r="EYT1" s="404"/>
      <c r="EYU1" s="404"/>
      <c r="EYV1" s="404"/>
      <c r="EYW1" s="404"/>
      <c r="EYX1" s="404"/>
      <c r="EYY1" s="404"/>
      <c r="EYZ1" s="405"/>
      <c r="EZA1" s="408" t="s">
        <v>41</v>
      </c>
      <c r="EZB1" s="404"/>
      <c r="EZC1" s="404"/>
      <c r="EZD1" s="404"/>
      <c r="EZE1" s="404"/>
      <c r="EZF1" s="404"/>
      <c r="EZG1" s="404"/>
      <c r="EZH1" s="405"/>
      <c r="EZI1" s="408" t="s">
        <v>41</v>
      </c>
      <c r="EZJ1" s="404"/>
      <c r="EZK1" s="404"/>
      <c r="EZL1" s="404"/>
      <c r="EZM1" s="404"/>
      <c r="EZN1" s="404"/>
      <c r="EZO1" s="404"/>
      <c r="EZP1" s="405"/>
      <c r="EZQ1" s="408" t="s">
        <v>41</v>
      </c>
      <c r="EZR1" s="404"/>
      <c r="EZS1" s="404"/>
      <c r="EZT1" s="404"/>
      <c r="EZU1" s="404"/>
      <c r="EZV1" s="404"/>
      <c r="EZW1" s="404"/>
      <c r="EZX1" s="405"/>
      <c r="EZY1" s="408" t="s">
        <v>41</v>
      </c>
      <c r="EZZ1" s="404"/>
      <c r="FAA1" s="404"/>
      <c r="FAB1" s="404"/>
      <c r="FAC1" s="404"/>
      <c r="FAD1" s="404"/>
      <c r="FAE1" s="404"/>
      <c r="FAF1" s="405"/>
      <c r="FAG1" s="408" t="s">
        <v>41</v>
      </c>
      <c r="FAH1" s="404"/>
      <c r="FAI1" s="404"/>
      <c r="FAJ1" s="404"/>
      <c r="FAK1" s="404"/>
      <c r="FAL1" s="404"/>
      <c r="FAM1" s="404"/>
      <c r="FAN1" s="405"/>
      <c r="FAO1" s="408" t="s">
        <v>41</v>
      </c>
      <c r="FAP1" s="404"/>
      <c r="FAQ1" s="404"/>
      <c r="FAR1" s="404"/>
      <c r="FAS1" s="404"/>
      <c r="FAT1" s="404"/>
      <c r="FAU1" s="404"/>
      <c r="FAV1" s="405"/>
      <c r="FAW1" s="408" t="s">
        <v>41</v>
      </c>
      <c r="FAX1" s="404"/>
      <c r="FAY1" s="404"/>
      <c r="FAZ1" s="404"/>
      <c r="FBA1" s="404"/>
      <c r="FBB1" s="404"/>
      <c r="FBC1" s="404"/>
      <c r="FBD1" s="405"/>
      <c r="FBE1" s="408" t="s">
        <v>41</v>
      </c>
      <c r="FBF1" s="404"/>
      <c r="FBG1" s="404"/>
      <c r="FBH1" s="404"/>
      <c r="FBI1" s="404"/>
      <c r="FBJ1" s="404"/>
      <c r="FBK1" s="404"/>
      <c r="FBL1" s="405"/>
      <c r="FBM1" s="408" t="s">
        <v>41</v>
      </c>
      <c r="FBN1" s="404"/>
      <c r="FBO1" s="404"/>
      <c r="FBP1" s="404"/>
      <c r="FBQ1" s="404"/>
      <c r="FBR1" s="404"/>
      <c r="FBS1" s="404"/>
      <c r="FBT1" s="405"/>
      <c r="FBU1" s="408" t="s">
        <v>41</v>
      </c>
      <c r="FBV1" s="404"/>
      <c r="FBW1" s="404"/>
      <c r="FBX1" s="404"/>
      <c r="FBY1" s="404"/>
      <c r="FBZ1" s="404"/>
      <c r="FCA1" s="404"/>
      <c r="FCB1" s="405"/>
      <c r="FCC1" s="408" t="s">
        <v>41</v>
      </c>
      <c r="FCD1" s="404"/>
      <c r="FCE1" s="404"/>
      <c r="FCF1" s="404"/>
      <c r="FCG1" s="404"/>
      <c r="FCH1" s="404"/>
      <c r="FCI1" s="404"/>
      <c r="FCJ1" s="405"/>
      <c r="FCK1" s="408" t="s">
        <v>41</v>
      </c>
      <c r="FCL1" s="404"/>
      <c r="FCM1" s="404"/>
      <c r="FCN1" s="404"/>
      <c r="FCO1" s="404"/>
      <c r="FCP1" s="404"/>
      <c r="FCQ1" s="404"/>
      <c r="FCR1" s="405"/>
      <c r="FCS1" s="408" t="s">
        <v>41</v>
      </c>
      <c r="FCT1" s="404"/>
      <c r="FCU1" s="404"/>
      <c r="FCV1" s="404"/>
      <c r="FCW1" s="404"/>
      <c r="FCX1" s="404"/>
      <c r="FCY1" s="404"/>
      <c r="FCZ1" s="405"/>
      <c r="FDA1" s="408" t="s">
        <v>41</v>
      </c>
      <c r="FDB1" s="404"/>
      <c r="FDC1" s="404"/>
      <c r="FDD1" s="404"/>
      <c r="FDE1" s="404"/>
      <c r="FDF1" s="404"/>
      <c r="FDG1" s="404"/>
      <c r="FDH1" s="405"/>
      <c r="FDI1" s="408" t="s">
        <v>41</v>
      </c>
      <c r="FDJ1" s="404"/>
      <c r="FDK1" s="404"/>
      <c r="FDL1" s="404"/>
      <c r="FDM1" s="404"/>
      <c r="FDN1" s="404"/>
      <c r="FDO1" s="404"/>
      <c r="FDP1" s="405"/>
      <c r="FDQ1" s="408" t="s">
        <v>41</v>
      </c>
      <c r="FDR1" s="404"/>
      <c r="FDS1" s="404"/>
      <c r="FDT1" s="404"/>
      <c r="FDU1" s="404"/>
      <c r="FDV1" s="404"/>
      <c r="FDW1" s="404"/>
      <c r="FDX1" s="405"/>
      <c r="FDY1" s="408" t="s">
        <v>41</v>
      </c>
      <c r="FDZ1" s="404"/>
      <c r="FEA1" s="404"/>
      <c r="FEB1" s="404"/>
      <c r="FEC1" s="404"/>
      <c r="FED1" s="404"/>
      <c r="FEE1" s="404"/>
      <c r="FEF1" s="405"/>
      <c r="FEG1" s="408" t="s">
        <v>41</v>
      </c>
      <c r="FEH1" s="404"/>
      <c r="FEI1" s="404"/>
      <c r="FEJ1" s="404"/>
      <c r="FEK1" s="404"/>
      <c r="FEL1" s="404"/>
      <c r="FEM1" s="404"/>
      <c r="FEN1" s="405"/>
      <c r="FEO1" s="408" t="s">
        <v>41</v>
      </c>
      <c r="FEP1" s="404"/>
      <c r="FEQ1" s="404"/>
      <c r="FER1" s="404"/>
      <c r="FES1" s="404"/>
      <c r="FET1" s="404"/>
      <c r="FEU1" s="404"/>
      <c r="FEV1" s="405"/>
      <c r="FEW1" s="408" t="s">
        <v>41</v>
      </c>
      <c r="FEX1" s="404"/>
      <c r="FEY1" s="404"/>
      <c r="FEZ1" s="404"/>
      <c r="FFA1" s="404"/>
      <c r="FFB1" s="404"/>
      <c r="FFC1" s="404"/>
      <c r="FFD1" s="405"/>
      <c r="FFE1" s="408" t="s">
        <v>41</v>
      </c>
      <c r="FFF1" s="404"/>
      <c r="FFG1" s="404"/>
      <c r="FFH1" s="404"/>
      <c r="FFI1" s="404"/>
      <c r="FFJ1" s="404"/>
      <c r="FFK1" s="404"/>
      <c r="FFL1" s="405"/>
      <c r="FFM1" s="408" t="s">
        <v>41</v>
      </c>
      <c r="FFN1" s="404"/>
      <c r="FFO1" s="404"/>
      <c r="FFP1" s="404"/>
      <c r="FFQ1" s="404"/>
      <c r="FFR1" s="404"/>
      <c r="FFS1" s="404"/>
      <c r="FFT1" s="405"/>
      <c r="FFU1" s="408" t="s">
        <v>41</v>
      </c>
      <c r="FFV1" s="404"/>
      <c r="FFW1" s="404"/>
      <c r="FFX1" s="404"/>
      <c r="FFY1" s="404"/>
      <c r="FFZ1" s="404"/>
      <c r="FGA1" s="404"/>
      <c r="FGB1" s="405"/>
      <c r="FGC1" s="408" t="s">
        <v>41</v>
      </c>
      <c r="FGD1" s="404"/>
      <c r="FGE1" s="404"/>
      <c r="FGF1" s="404"/>
      <c r="FGG1" s="404"/>
      <c r="FGH1" s="404"/>
      <c r="FGI1" s="404"/>
      <c r="FGJ1" s="405"/>
      <c r="FGK1" s="408" t="s">
        <v>41</v>
      </c>
      <c r="FGL1" s="404"/>
      <c r="FGM1" s="404"/>
      <c r="FGN1" s="404"/>
      <c r="FGO1" s="404"/>
      <c r="FGP1" s="404"/>
      <c r="FGQ1" s="404"/>
      <c r="FGR1" s="405"/>
      <c r="FGS1" s="408" t="s">
        <v>41</v>
      </c>
      <c r="FGT1" s="404"/>
      <c r="FGU1" s="404"/>
      <c r="FGV1" s="404"/>
      <c r="FGW1" s="404"/>
      <c r="FGX1" s="404"/>
      <c r="FGY1" s="404"/>
      <c r="FGZ1" s="405"/>
      <c r="FHA1" s="408" t="s">
        <v>41</v>
      </c>
      <c r="FHB1" s="404"/>
      <c r="FHC1" s="404"/>
      <c r="FHD1" s="404"/>
      <c r="FHE1" s="404"/>
      <c r="FHF1" s="404"/>
      <c r="FHG1" s="404"/>
      <c r="FHH1" s="405"/>
      <c r="FHI1" s="408" t="s">
        <v>41</v>
      </c>
      <c r="FHJ1" s="404"/>
      <c r="FHK1" s="404"/>
      <c r="FHL1" s="404"/>
      <c r="FHM1" s="404"/>
      <c r="FHN1" s="404"/>
      <c r="FHO1" s="404"/>
      <c r="FHP1" s="405"/>
      <c r="FHQ1" s="408" t="s">
        <v>41</v>
      </c>
      <c r="FHR1" s="404"/>
      <c r="FHS1" s="404"/>
      <c r="FHT1" s="404"/>
      <c r="FHU1" s="404"/>
      <c r="FHV1" s="404"/>
      <c r="FHW1" s="404"/>
      <c r="FHX1" s="405"/>
      <c r="FHY1" s="408" t="s">
        <v>41</v>
      </c>
      <c r="FHZ1" s="404"/>
      <c r="FIA1" s="404"/>
      <c r="FIB1" s="404"/>
      <c r="FIC1" s="404"/>
      <c r="FID1" s="404"/>
      <c r="FIE1" s="404"/>
      <c r="FIF1" s="405"/>
      <c r="FIG1" s="408" t="s">
        <v>41</v>
      </c>
      <c r="FIH1" s="404"/>
      <c r="FII1" s="404"/>
      <c r="FIJ1" s="404"/>
      <c r="FIK1" s="404"/>
      <c r="FIL1" s="404"/>
      <c r="FIM1" s="404"/>
      <c r="FIN1" s="405"/>
      <c r="FIO1" s="408" t="s">
        <v>41</v>
      </c>
      <c r="FIP1" s="404"/>
      <c r="FIQ1" s="404"/>
      <c r="FIR1" s="404"/>
      <c r="FIS1" s="404"/>
      <c r="FIT1" s="404"/>
      <c r="FIU1" s="404"/>
      <c r="FIV1" s="405"/>
      <c r="FIW1" s="408" t="s">
        <v>41</v>
      </c>
      <c r="FIX1" s="404"/>
      <c r="FIY1" s="404"/>
      <c r="FIZ1" s="404"/>
      <c r="FJA1" s="404"/>
      <c r="FJB1" s="404"/>
      <c r="FJC1" s="404"/>
      <c r="FJD1" s="405"/>
      <c r="FJE1" s="408" t="s">
        <v>41</v>
      </c>
      <c r="FJF1" s="404"/>
      <c r="FJG1" s="404"/>
      <c r="FJH1" s="404"/>
      <c r="FJI1" s="404"/>
      <c r="FJJ1" s="404"/>
      <c r="FJK1" s="404"/>
      <c r="FJL1" s="405"/>
      <c r="FJM1" s="408" t="s">
        <v>41</v>
      </c>
      <c r="FJN1" s="404"/>
      <c r="FJO1" s="404"/>
      <c r="FJP1" s="404"/>
      <c r="FJQ1" s="404"/>
      <c r="FJR1" s="404"/>
      <c r="FJS1" s="404"/>
      <c r="FJT1" s="405"/>
      <c r="FJU1" s="408" t="s">
        <v>41</v>
      </c>
      <c r="FJV1" s="404"/>
      <c r="FJW1" s="404"/>
      <c r="FJX1" s="404"/>
      <c r="FJY1" s="404"/>
      <c r="FJZ1" s="404"/>
      <c r="FKA1" s="404"/>
      <c r="FKB1" s="405"/>
      <c r="FKC1" s="408" t="s">
        <v>41</v>
      </c>
      <c r="FKD1" s="404"/>
      <c r="FKE1" s="404"/>
      <c r="FKF1" s="404"/>
      <c r="FKG1" s="404"/>
      <c r="FKH1" s="404"/>
      <c r="FKI1" s="404"/>
      <c r="FKJ1" s="405"/>
      <c r="FKK1" s="408" t="s">
        <v>41</v>
      </c>
      <c r="FKL1" s="404"/>
      <c r="FKM1" s="404"/>
      <c r="FKN1" s="404"/>
      <c r="FKO1" s="404"/>
      <c r="FKP1" s="404"/>
      <c r="FKQ1" s="404"/>
      <c r="FKR1" s="405"/>
      <c r="FKS1" s="408" t="s">
        <v>41</v>
      </c>
      <c r="FKT1" s="404"/>
      <c r="FKU1" s="404"/>
      <c r="FKV1" s="404"/>
      <c r="FKW1" s="404"/>
      <c r="FKX1" s="404"/>
      <c r="FKY1" s="404"/>
      <c r="FKZ1" s="405"/>
      <c r="FLA1" s="408" t="s">
        <v>41</v>
      </c>
      <c r="FLB1" s="404"/>
      <c r="FLC1" s="404"/>
      <c r="FLD1" s="404"/>
      <c r="FLE1" s="404"/>
      <c r="FLF1" s="404"/>
      <c r="FLG1" s="404"/>
      <c r="FLH1" s="405"/>
      <c r="FLI1" s="408" t="s">
        <v>41</v>
      </c>
      <c r="FLJ1" s="404"/>
      <c r="FLK1" s="404"/>
      <c r="FLL1" s="404"/>
      <c r="FLM1" s="404"/>
      <c r="FLN1" s="404"/>
      <c r="FLO1" s="404"/>
      <c r="FLP1" s="405"/>
      <c r="FLQ1" s="408" t="s">
        <v>41</v>
      </c>
      <c r="FLR1" s="404"/>
      <c r="FLS1" s="404"/>
      <c r="FLT1" s="404"/>
      <c r="FLU1" s="404"/>
      <c r="FLV1" s="404"/>
      <c r="FLW1" s="404"/>
      <c r="FLX1" s="405"/>
      <c r="FLY1" s="408" t="s">
        <v>41</v>
      </c>
      <c r="FLZ1" s="404"/>
      <c r="FMA1" s="404"/>
      <c r="FMB1" s="404"/>
      <c r="FMC1" s="404"/>
      <c r="FMD1" s="404"/>
      <c r="FME1" s="404"/>
      <c r="FMF1" s="405"/>
      <c r="FMG1" s="408" t="s">
        <v>41</v>
      </c>
      <c r="FMH1" s="404"/>
      <c r="FMI1" s="404"/>
      <c r="FMJ1" s="404"/>
      <c r="FMK1" s="404"/>
      <c r="FML1" s="404"/>
      <c r="FMM1" s="404"/>
      <c r="FMN1" s="405"/>
      <c r="FMO1" s="408" t="s">
        <v>41</v>
      </c>
      <c r="FMP1" s="404"/>
      <c r="FMQ1" s="404"/>
      <c r="FMR1" s="404"/>
      <c r="FMS1" s="404"/>
      <c r="FMT1" s="404"/>
      <c r="FMU1" s="404"/>
      <c r="FMV1" s="405"/>
      <c r="FMW1" s="408" t="s">
        <v>41</v>
      </c>
      <c r="FMX1" s="404"/>
      <c r="FMY1" s="404"/>
      <c r="FMZ1" s="404"/>
      <c r="FNA1" s="404"/>
      <c r="FNB1" s="404"/>
      <c r="FNC1" s="404"/>
      <c r="FND1" s="405"/>
      <c r="FNE1" s="408" t="s">
        <v>41</v>
      </c>
      <c r="FNF1" s="404"/>
      <c r="FNG1" s="404"/>
      <c r="FNH1" s="404"/>
      <c r="FNI1" s="404"/>
      <c r="FNJ1" s="404"/>
      <c r="FNK1" s="404"/>
      <c r="FNL1" s="405"/>
      <c r="FNM1" s="408" t="s">
        <v>41</v>
      </c>
      <c r="FNN1" s="404"/>
      <c r="FNO1" s="404"/>
      <c r="FNP1" s="404"/>
      <c r="FNQ1" s="404"/>
      <c r="FNR1" s="404"/>
      <c r="FNS1" s="404"/>
      <c r="FNT1" s="405"/>
      <c r="FNU1" s="408" t="s">
        <v>41</v>
      </c>
      <c r="FNV1" s="404"/>
      <c r="FNW1" s="404"/>
      <c r="FNX1" s="404"/>
      <c r="FNY1" s="404"/>
      <c r="FNZ1" s="404"/>
      <c r="FOA1" s="404"/>
      <c r="FOB1" s="405"/>
      <c r="FOC1" s="408" t="s">
        <v>41</v>
      </c>
      <c r="FOD1" s="404"/>
      <c r="FOE1" s="404"/>
      <c r="FOF1" s="404"/>
      <c r="FOG1" s="404"/>
      <c r="FOH1" s="404"/>
      <c r="FOI1" s="404"/>
      <c r="FOJ1" s="405"/>
      <c r="FOK1" s="408" t="s">
        <v>41</v>
      </c>
      <c r="FOL1" s="404"/>
      <c r="FOM1" s="404"/>
      <c r="FON1" s="404"/>
      <c r="FOO1" s="404"/>
      <c r="FOP1" s="404"/>
      <c r="FOQ1" s="404"/>
      <c r="FOR1" s="405"/>
      <c r="FOS1" s="408" t="s">
        <v>41</v>
      </c>
      <c r="FOT1" s="404"/>
      <c r="FOU1" s="404"/>
      <c r="FOV1" s="404"/>
      <c r="FOW1" s="404"/>
      <c r="FOX1" s="404"/>
      <c r="FOY1" s="404"/>
      <c r="FOZ1" s="405"/>
      <c r="FPA1" s="408" t="s">
        <v>41</v>
      </c>
      <c r="FPB1" s="404"/>
      <c r="FPC1" s="404"/>
      <c r="FPD1" s="404"/>
      <c r="FPE1" s="404"/>
      <c r="FPF1" s="404"/>
      <c r="FPG1" s="404"/>
      <c r="FPH1" s="405"/>
      <c r="FPI1" s="408" t="s">
        <v>41</v>
      </c>
      <c r="FPJ1" s="404"/>
      <c r="FPK1" s="404"/>
      <c r="FPL1" s="404"/>
      <c r="FPM1" s="404"/>
      <c r="FPN1" s="404"/>
      <c r="FPO1" s="404"/>
      <c r="FPP1" s="405"/>
      <c r="FPQ1" s="408" t="s">
        <v>41</v>
      </c>
      <c r="FPR1" s="404"/>
      <c r="FPS1" s="404"/>
      <c r="FPT1" s="404"/>
      <c r="FPU1" s="404"/>
      <c r="FPV1" s="404"/>
      <c r="FPW1" s="404"/>
      <c r="FPX1" s="405"/>
      <c r="FPY1" s="408" t="s">
        <v>41</v>
      </c>
      <c r="FPZ1" s="404"/>
      <c r="FQA1" s="404"/>
      <c r="FQB1" s="404"/>
      <c r="FQC1" s="404"/>
      <c r="FQD1" s="404"/>
      <c r="FQE1" s="404"/>
      <c r="FQF1" s="405"/>
      <c r="FQG1" s="408" t="s">
        <v>41</v>
      </c>
      <c r="FQH1" s="404"/>
      <c r="FQI1" s="404"/>
      <c r="FQJ1" s="404"/>
      <c r="FQK1" s="404"/>
      <c r="FQL1" s="404"/>
      <c r="FQM1" s="404"/>
      <c r="FQN1" s="405"/>
      <c r="FQO1" s="408" t="s">
        <v>41</v>
      </c>
      <c r="FQP1" s="404"/>
      <c r="FQQ1" s="404"/>
      <c r="FQR1" s="404"/>
      <c r="FQS1" s="404"/>
      <c r="FQT1" s="404"/>
      <c r="FQU1" s="404"/>
      <c r="FQV1" s="405"/>
      <c r="FQW1" s="408" t="s">
        <v>41</v>
      </c>
      <c r="FQX1" s="404"/>
      <c r="FQY1" s="404"/>
      <c r="FQZ1" s="404"/>
      <c r="FRA1" s="404"/>
      <c r="FRB1" s="404"/>
      <c r="FRC1" s="404"/>
      <c r="FRD1" s="405"/>
      <c r="FRE1" s="408" t="s">
        <v>41</v>
      </c>
      <c r="FRF1" s="404"/>
      <c r="FRG1" s="404"/>
      <c r="FRH1" s="404"/>
      <c r="FRI1" s="404"/>
      <c r="FRJ1" s="404"/>
      <c r="FRK1" s="404"/>
      <c r="FRL1" s="405"/>
      <c r="FRM1" s="408" t="s">
        <v>41</v>
      </c>
      <c r="FRN1" s="404"/>
      <c r="FRO1" s="404"/>
      <c r="FRP1" s="404"/>
      <c r="FRQ1" s="404"/>
      <c r="FRR1" s="404"/>
      <c r="FRS1" s="404"/>
      <c r="FRT1" s="405"/>
      <c r="FRU1" s="408" t="s">
        <v>41</v>
      </c>
      <c r="FRV1" s="404"/>
      <c r="FRW1" s="404"/>
      <c r="FRX1" s="404"/>
      <c r="FRY1" s="404"/>
      <c r="FRZ1" s="404"/>
      <c r="FSA1" s="404"/>
      <c r="FSB1" s="405"/>
      <c r="FSC1" s="408" t="s">
        <v>41</v>
      </c>
      <c r="FSD1" s="404"/>
      <c r="FSE1" s="404"/>
      <c r="FSF1" s="404"/>
      <c r="FSG1" s="404"/>
      <c r="FSH1" s="404"/>
      <c r="FSI1" s="404"/>
      <c r="FSJ1" s="405"/>
      <c r="FSK1" s="408" t="s">
        <v>41</v>
      </c>
      <c r="FSL1" s="404"/>
      <c r="FSM1" s="404"/>
      <c r="FSN1" s="404"/>
      <c r="FSO1" s="404"/>
      <c r="FSP1" s="404"/>
      <c r="FSQ1" s="404"/>
      <c r="FSR1" s="405"/>
      <c r="FSS1" s="408" t="s">
        <v>41</v>
      </c>
      <c r="FST1" s="404"/>
      <c r="FSU1" s="404"/>
      <c r="FSV1" s="404"/>
      <c r="FSW1" s="404"/>
      <c r="FSX1" s="404"/>
      <c r="FSY1" s="404"/>
      <c r="FSZ1" s="405"/>
      <c r="FTA1" s="408" t="s">
        <v>41</v>
      </c>
      <c r="FTB1" s="404"/>
      <c r="FTC1" s="404"/>
      <c r="FTD1" s="404"/>
      <c r="FTE1" s="404"/>
      <c r="FTF1" s="404"/>
      <c r="FTG1" s="404"/>
      <c r="FTH1" s="405"/>
      <c r="FTI1" s="408" t="s">
        <v>41</v>
      </c>
      <c r="FTJ1" s="404"/>
      <c r="FTK1" s="404"/>
      <c r="FTL1" s="404"/>
      <c r="FTM1" s="404"/>
      <c r="FTN1" s="404"/>
      <c r="FTO1" s="404"/>
      <c r="FTP1" s="405"/>
      <c r="FTQ1" s="408" t="s">
        <v>41</v>
      </c>
      <c r="FTR1" s="404"/>
      <c r="FTS1" s="404"/>
      <c r="FTT1" s="404"/>
      <c r="FTU1" s="404"/>
      <c r="FTV1" s="404"/>
      <c r="FTW1" s="404"/>
      <c r="FTX1" s="405"/>
      <c r="FTY1" s="408" t="s">
        <v>41</v>
      </c>
      <c r="FTZ1" s="404"/>
      <c r="FUA1" s="404"/>
      <c r="FUB1" s="404"/>
      <c r="FUC1" s="404"/>
      <c r="FUD1" s="404"/>
      <c r="FUE1" s="404"/>
      <c r="FUF1" s="405"/>
      <c r="FUG1" s="408" t="s">
        <v>41</v>
      </c>
      <c r="FUH1" s="404"/>
      <c r="FUI1" s="404"/>
      <c r="FUJ1" s="404"/>
      <c r="FUK1" s="404"/>
      <c r="FUL1" s="404"/>
      <c r="FUM1" s="404"/>
      <c r="FUN1" s="405"/>
      <c r="FUO1" s="408" t="s">
        <v>41</v>
      </c>
      <c r="FUP1" s="404"/>
      <c r="FUQ1" s="404"/>
      <c r="FUR1" s="404"/>
      <c r="FUS1" s="404"/>
      <c r="FUT1" s="404"/>
      <c r="FUU1" s="404"/>
      <c r="FUV1" s="405"/>
      <c r="FUW1" s="408" t="s">
        <v>41</v>
      </c>
      <c r="FUX1" s="404"/>
      <c r="FUY1" s="404"/>
      <c r="FUZ1" s="404"/>
      <c r="FVA1" s="404"/>
      <c r="FVB1" s="404"/>
      <c r="FVC1" s="404"/>
      <c r="FVD1" s="405"/>
      <c r="FVE1" s="408" t="s">
        <v>41</v>
      </c>
      <c r="FVF1" s="404"/>
      <c r="FVG1" s="404"/>
      <c r="FVH1" s="404"/>
      <c r="FVI1" s="404"/>
      <c r="FVJ1" s="404"/>
      <c r="FVK1" s="404"/>
      <c r="FVL1" s="405"/>
      <c r="FVM1" s="408" t="s">
        <v>41</v>
      </c>
      <c r="FVN1" s="404"/>
      <c r="FVO1" s="404"/>
      <c r="FVP1" s="404"/>
      <c r="FVQ1" s="404"/>
      <c r="FVR1" s="404"/>
      <c r="FVS1" s="404"/>
      <c r="FVT1" s="405"/>
      <c r="FVU1" s="408" t="s">
        <v>41</v>
      </c>
      <c r="FVV1" s="404"/>
      <c r="FVW1" s="404"/>
      <c r="FVX1" s="404"/>
      <c r="FVY1" s="404"/>
      <c r="FVZ1" s="404"/>
      <c r="FWA1" s="404"/>
      <c r="FWB1" s="405"/>
      <c r="FWC1" s="408" t="s">
        <v>41</v>
      </c>
      <c r="FWD1" s="404"/>
      <c r="FWE1" s="404"/>
      <c r="FWF1" s="404"/>
      <c r="FWG1" s="404"/>
      <c r="FWH1" s="404"/>
      <c r="FWI1" s="404"/>
      <c r="FWJ1" s="405"/>
      <c r="FWK1" s="408" t="s">
        <v>41</v>
      </c>
      <c r="FWL1" s="404"/>
      <c r="FWM1" s="404"/>
      <c r="FWN1" s="404"/>
      <c r="FWO1" s="404"/>
      <c r="FWP1" s="404"/>
      <c r="FWQ1" s="404"/>
      <c r="FWR1" s="405"/>
      <c r="FWS1" s="408" t="s">
        <v>41</v>
      </c>
      <c r="FWT1" s="404"/>
      <c r="FWU1" s="404"/>
      <c r="FWV1" s="404"/>
      <c r="FWW1" s="404"/>
      <c r="FWX1" s="404"/>
      <c r="FWY1" s="404"/>
      <c r="FWZ1" s="405"/>
      <c r="FXA1" s="408" t="s">
        <v>41</v>
      </c>
      <c r="FXB1" s="404"/>
      <c r="FXC1" s="404"/>
      <c r="FXD1" s="404"/>
      <c r="FXE1" s="404"/>
      <c r="FXF1" s="404"/>
      <c r="FXG1" s="404"/>
      <c r="FXH1" s="405"/>
      <c r="FXI1" s="408" t="s">
        <v>41</v>
      </c>
      <c r="FXJ1" s="404"/>
      <c r="FXK1" s="404"/>
      <c r="FXL1" s="404"/>
      <c r="FXM1" s="404"/>
      <c r="FXN1" s="404"/>
      <c r="FXO1" s="404"/>
      <c r="FXP1" s="405"/>
      <c r="FXQ1" s="408" t="s">
        <v>41</v>
      </c>
      <c r="FXR1" s="404"/>
      <c r="FXS1" s="404"/>
      <c r="FXT1" s="404"/>
      <c r="FXU1" s="404"/>
      <c r="FXV1" s="404"/>
      <c r="FXW1" s="404"/>
      <c r="FXX1" s="405"/>
      <c r="FXY1" s="408" t="s">
        <v>41</v>
      </c>
      <c r="FXZ1" s="404"/>
      <c r="FYA1" s="404"/>
      <c r="FYB1" s="404"/>
      <c r="FYC1" s="404"/>
      <c r="FYD1" s="404"/>
      <c r="FYE1" s="404"/>
      <c r="FYF1" s="405"/>
      <c r="FYG1" s="408" t="s">
        <v>41</v>
      </c>
      <c r="FYH1" s="404"/>
      <c r="FYI1" s="404"/>
      <c r="FYJ1" s="404"/>
      <c r="FYK1" s="404"/>
      <c r="FYL1" s="404"/>
      <c r="FYM1" s="404"/>
      <c r="FYN1" s="405"/>
      <c r="FYO1" s="408" t="s">
        <v>41</v>
      </c>
      <c r="FYP1" s="404"/>
      <c r="FYQ1" s="404"/>
      <c r="FYR1" s="404"/>
      <c r="FYS1" s="404"/>
      <c r="FYT1" s="404"/>
      <c r="FYU1" s="404"/>
      <c r="FYV1" s="405"/>
      <c r="FYW1" s="408" t="s">
        <v>41</v>
      </c>
      <c r="FYX1" s="404"/>
      <c r="FYY1" s="404"/>
      <c r="FYZ1" s="404"/>
      <c r="FZA1" s="404"/>
      <c r="FZB1" s="404"/>
      <c r="FZC1" s="404"/>
      <c r="FZD1" s="405"/>
      <c r="FZE1" s="408" t="s">
        <v>41</v>
      </c>
      <c r="FZF1" s="404"/>
      <c r="FZG1" s="404"/>
      <c r="FZH1" s="404"/>
      <c r="FZI1" s="404"/>
      <c r="FZJ1" s="404"/>
      <c r="FZK1" s="404"/>
      <c r="FZL1" s="405"/>
      <c r="FZM1" s="408" t="s">
        <v>41</v>
      </c>
      <c r="FZN1" s="404"/>
      <c r="FZO1" s="404"/>
      <c r="FZP1" s="404"/>
      <c r="FZQ1" s="404"/>
      <c r="FZR1" s="404"/>
      <c r="FZS1" s="404"/>
      <c r="FZT1" s="405"/>
      <c r="FZU1" s="408" t="s">
        <v>41</v>
      </c>
      <c r="FZV1" s="404"/>
      <c r="FZW1" s="404"/>
      <c r="FZX1" s="404"/>
      <c r="FZY1" s="404"/>
      <c r="FZZ1" s="404"/>
      <c r="GAA1" s="404"/>
      <c r="GAB1" s="405"/>
      <c r="GAC1" s="408" t="s">
        <v>41</v>
      </c>
      <c r="GAD1" s="404"/>
      <c r="GAE1" s="404"/>
      <c r="GAF1" s="404"/>
      <c r="GAG1" s="404"/>
      <c r="GAH1" s="404"/>
      <c r="GAI1" s="404"/>
      <c r="GAJ1" s="405"/>
      <c r="GAK1" s="408" t="s">
        <v>41</v>
      </c>
      <c r="GAL1" s="404"/>
      <c r="GAM1" s="404"/>
      <c r="GAN1" s="404"/>
      <c r="GAO1" s="404"/>
      <c r="GAP1" s="404"/>
      <c r="GAQ1" s="404"/>
      <c r="GAR1" s="405"/>
      <c r="GAS1" s="408" t="s">
        <v>41</v>
      </c>
      <c r="GAT1" s="404"/>
      <c r="GAU1" s="404"/>
      <c r="GAV1" s="404"/>
      <c r="GAW1" s="404"/>
      <c r="GAX1" s="404"/>
      <c r="GAY1" s="404"/>
      <c r="GAZ1" s="405"/>
      <c r="GBA1" s="408" t="s">
        <v>41</v>
      </c>
      <c r="GBB1" s="404"/>
      <c r="GBC1" s="404"/>
      <c r="GBD1" s="404"/>
      <c r="GBE1" s="404"/>
      <c r="GBF1" s="404"/>
      <c r="GBG1" s="404"/>
      <c r="GBH1" s="405"/>
      <c r="GBI1" s="408" t="s">
        <v>41</v>
      </c>
      <c r="GBJ1" s="404"/>
      <c r="GBK1" s="404"/>
      <c r="GBL1" s="404"/>
      <c r="GBM1" s="404"/>
      <c r="GBN1" s="404"/>
      <c r="GBO1" s="404"/>
      <c r="GBP1" s="405"/>
      <c r="GBQ1" s="408" t="s">
        <v>41</v>
      </c>
      <c r="GBR1" s="404"/>
      <c r="GBS1" s="404"/>
      <c r="GBT1" s="404"/>
      <c r="GBU1" s="404"/>
      <c r="GBV1" s="404"/>
      <c r="GBW1" s="404"/>
      <c r="GBX1" s="405"/>
      <c r="GBY1" s="408" t="s">
        <v>41</v>
      </c>
      <c r="GBZ1" s="404"/>
      <c r="GCA1" s="404"/>
      <c r="GCB1" s="404"/>
      <c r="GCC1" s="404"/>
      <c r="GCD1" s="404"/>
      <c r="GCE1" s="404"/>
      <c r="GCF1" s="405"/>
      <c r="GCG1" s="408" t="s">
        <v>41</v>
      </c>
      <c r="GCH1" s="404"/>
      <c r="GCI1" s="404"/>
      <c r="GCJ1" s="404"/>
      <c r="GCK1" s="404"/>
      <c r="GCL1" s="404"/>
      <c r="GCM1" s="404"/>
      <c r="GCN1" s="405"/>
      <c r="GCO1" s="408" t="s">
        <v>41</v>
      </c>
      <c r="GCP1" s="404"/>
      <c r="GCQ1" s="404"/>
      <c r="GCR1" s="404"/>
      <c r="GCS1" s="404"/>
      <c r="GCT1" s="404"/>
      <c r="GCU1" s="404"/>
      <c r="GCV1" s="405"/>
      <c r="GCW1" s="408" t="s">
        <v>41</v>
      </c>
      <c r="GCX1" s="404"/>
      <c r="GCY1" s="404"/>
      <c r="GCZ1" s="404"/>
      <c r="GDA1" s="404"/>
      <c r="GDB1" s="404"/>
      <c r="GDC1" s="404"/>
      <c r="GDD1" s="405"/>
      <c r="GDE1" s="408" t="s">
        <v>41</v>
      </c>
      <c r="GDF1" s="404"/>
      <c r="GDG1" s="404"/>
      <c r="GDH1" s="404"/>
      <c r="GDI1" s="404"/>
      <c r="GDJ1" s="404"/>
      <c r="GDK1" s="404"/>
      <c r="GDL1" s="405"/>
      <c r="GDM1" s="408" t="s">
        <v>41</v>
      </c>
      <c r="GDN1" s="404"/>
      <c r="GDO1" s="404"/>
      <c r="GDP1" s="404"/>
      <c r="GDQ1" s="404"/>
      <c r="GDR1" s="404"/>
      <c r="GDS1" s="404"/>
      <c r="GDT1" s="405"/>
      <c r="GDU1" s="408" t="s">
        <v>41</v>
      </c>
      <c r="GDV1" s="404"/>
      <c r="GDW1" s="404"/>
      <c r="GDX1" s="404"/>
      <c r="GDY1" s="404"/>
      <c r="GDZ1" s="404"/>
      <c r="GEA1" s="404"/>
      <c r="GEB1" s="405"/>
      <c r="GEC1" s="408" t="s">
        <v>41</v>
      </c>
      <c r="GED1" s="404"/>
      <c r="GEE1" s="404"/>
      <c r="GEF1" s="404"/>
      <c r="GEG1" s="404"/>
      <c r="GEH1" s="404"/>
      <c r="GEI1" s="404"/>
      <c r="GEJ1" s="405"/>
      <c r="GEK1" s="408" t="s">
        <v>41</v>
      </c>
      <c r="GEL1" s="404"/>
      <c r="GEM1" s="404"/>
      <c r="GEN1" s="404"/>
      <c r="GEO1" s="404"/>
      <c r="GEP1" s="404"/>
      <c r="GEQ1" s="404"/>
      <c r="GER1" s="405"/>
      <c r="GES1" s="408" t="s">
        <v>41</v>
      </c>
      <c r="GET1" s="404"/>
      <c r="GEU1" s="404"/>
      <c r="GEV1" s="404"/>
      <c r="GEW1" s="404"/>
      <c r="GEX1" s="404"/>
      <c r="GEY1" s="404"/>
      <c r="GEZ1" s="405"/>
      <c r="GFA1" s="408" t="s">
        <v>41</v>
      </c>
      <c r="GFB1" s="404"/>
      <c r="GFC1" s="404"/>
      <c r="GFD1" s="404"/>
      <c r="GFE1" s="404"/>
      <c r="GFF1" s="404"/>
      <c r="GFG1" s="404"/>
      <c r="GFH1" s="405"/>
      <c r="GFI1" s="408" t="s">
        <v>41</v>
      </c>
      <c r="GFJ1" s="404"/>
      <c r="GFK1" s="404"/>
      <c r="GFL1" s="404"/>
      <c r="GFM1" s="404"/>
      <c r="GFN1" s="404"/>
      <c r="GFO1" s="404"/>
      <c r="GFP1" s="405"/>
      <c r="GFQ1" s="408" t="s">
        <v>41</v>
      </c>
      <c r="GFR1" s="404"/>
      <c r="GFS1" s="404"/>
      <c r="GFT1" s="404"/>
      <c r="GFU1" s="404"/>
      <c r="GFV1" s="404"/>
      <c r="GFW1" s="404"/>
      <c r="GFX1" s="405"/>
      <c r="GFY1" s="408" t="s">
        <v>41</v>
      </c>
      <c r="GFZ1" s="404"/>
      <c r="GGA1" s="404"/>
      <c r="GGB1" s="404"/>
      <c r="GGC1" s="404"/>
      <c r="GGD1" s="404"/>
      <c r="GGE1" s="404"/>
      <c r="GGF1" s="405"/>
      <c r="GGG1" s="408" t="s">
        <v>41</v>
      </c>
      <c r="GGH1" s="404"/>
      <c r="GGI1" s="404"/>
      <c r="GGJ1" s="404"/>
      <c r="GGK1" s="404"/>
      <c r="GGL1" s="404"/>
      <c r="GGM1" s="404"/>
      <c r="GGN1" s="405"/>
      <c r="GGO1" s="408" t="s">
        <v>41</v>
      </c>
      <c r="GGP1" s="404"/>
      <c r="GGQ1" s="404"/>
      <c r="GGR1" s="404"/>
      <c r="GGS1" s="404"/>
      <c r="GGT1" s="404"/>
      <c r="GGU1" s="404"/>
      <c r="GGV1" s="405"/>
      <c r="GGW1" s="408" t="s">
        <v>41</v>
      </c>
      <c r="GGX1" s="404"/>
      <c r="GGY1" s="404"/>
      <c r="GGZ1" s="404"/>
      <c r="GHA1" s="404"/>
      <c r="GHB1" s="404"/>
      <c r="GHC1" s="404"/>
      <c r="GHD1" s="405"/>
      <c r="GHE1" s="408" t="s">
        <v>41</v>
      </c>
      <c r="GHF1" s="404"/>
      <c r="GHG1" s="404"/>
      <c r="GHH1" s="404"/>
      <c r="GHI1" s="404"/>
      <c r="GHJ1" s="404"/>
      <c r="GHK1" s="404"/>
      <c r="GHL1" s="405"/>
      <c r="GHM1" s="408" t="s">
        <v>41</v>
      </c>
      <c r="GHN1" s="404"/>
      <c r="GHO1" s="404"/>
      <c r="GHP1" s="404"/>
      <c r="GHQ1" s="404"/>
      <c r="GHR1" s="404"/>
      <c r="GHS1" s="404"/>
      <c r="GHT1" s="405"/>
      <c r="GHU1" s="408" t="s">
        <v>41</v>
      </c>
      <c r="GHV1" s="404"/>
      <c r="GHW1" s="404"/>
      <c r="GHX1" s="404"/>
      <c r="GHY1" s="404"/>
      <c r="GHZ1" s="404"/>
      <c r="GIA1" s="404"/>
      <c r="GIB1" s="405"/>
      <c r="GIC1" s="408" t="s">
        <v>41</v>
      </c>
      <c r="GID1" s="404"/>
      <c r="GIE1" s="404"/>
      <c r="GIF1" s="404"/>
      <c r="GIG1" s="404"/>
      <c r="GIH1" s="404"/>
      <c r="GII1" s="404"/>
      <c r="GIJ1" s="405"/>
      <c r="GIK1" s="408" t="s">
        <v>41</v>
      </c>
      <c r="GIL1" s="404"/>
      <c r="GIM1" s="404"/>
      <c r="GIN1" s="404"/>
      <c r="GIO1" s="404"/>
      <c r="GIP1" s="404"/>
      <c r="GIQ1" s="404"/>
      <c r="GIR1" s="405"/>
      <c r="GIS1" s="408" t="s">
        <v>41</v>
      </c>
      <c r="GIT1" s="404"/>
      <c r="GIU1" s="404"/>
      <c r="GIV1" s="404"/>
      <c r="GIW1" s="404"/>
      <c r="GIX1" s="404"/>
      <c r="GIY1" s="404"/>
      <c r="GIZ1" s="405"/>
      <c r="GJA1" s="408" t="s">
        <v>41</v>
      </c>
      <c r="GJB1" s="404"/>
      <c r="GJC1" s="404"/>
      <c r="GJD1" s="404"/>
      <c r="GJE1" s="404"/>
      <c r="GJF1" s="404"/>
      <c r="GJG1" s="404"/>
      <c r="GJH1" s="405"/>
      <c r="GJI1" s="408" t="s">
        <v>41</v>
      </c>
      <c r="GJJ1" s="404"/>
      <c r="GJK1" s="404"/>
      <c r="GJL1" s="404"/>
      <c r="GJM1" s="404"/>
      <c r="GJN1" s="404"/>
      <c r="GJO1" s="404"/>
      <c r="GJP1" s="405"/>
      <c r="GJQ1" s="408" t="s">
        <v>41</v>
      </c>
      <c r="GJR1" s="404"/>
      <c r="GJS1" s="404"/>
      <c r="GJT1" s="404"/>
      <c r="GJU1" s="404"/>
      <c r="GJV1" s="404"/>
      <c r="GJW1" s="404"/>
      <c r="GJX1" s="405"/>
      <c r="GJY1" s="408" t="s">
        <v>41</v>
      </c>
      <c r="GJZ1" s="404"/>
      <c r="GKA1" s="404"/>
      <c r="GKB1" s="404"/>
      <c r="GKC1" s="404"/>
      <c r="GKD1" s="404"/>
      <c r="GKE1" s="404"/>
      <c r="GKF1" s="405"/>
      <c r="GKG1" s="408" t="s">
        <v>41</v>
      </c>
      <c r="GKH1" s="404"/>
      <c r="GKI1" s="404"/>
      <c r="GKJ1" s="404"/>
      <c r="GKK1" s="404"/>
      <c r="GKL1" s="404"/>
      <c r="GKM1" s="404"/>
      <c r="GKN1" s="405"/>
      <c r="GKO1" s="408" t="s">
        <v>41</v>
      </c>
      <c r="GKP1" s="404"/>
      <c r="GKQ1" s="404"/>
      <c r="GKR1" s="404"/>
      <c r="GKS1" s="404"/>
      <c r="GKT1" s="404"/>
      <c r="GKU1" s="404"/>
      <c r="GKV1" s="405"/>
      <c r="GKW1" s="408" t="s">
        <v>41</v>
      </c>
      <c r="GKX1" s="404"/>
      <c r="GKY1" s="404"/>
      <c r="GKZ1" s="404"/>
      <c r="GLA1" s="404"/>
      <c r="GLB1" s="404"/>
      <c r="GLC1" s="404"/>
      <c r="GLD1" s="405"/>
      <c r="GLE1" s="408" t="s">
        <v>41</v>
      </c>
      <c r="GLF1" s="404"/>
      <c r="GLG1" s="404"/>
      <c r="GLH1" s="404"/>
      <c r="GLI1" s="404"/>
      <c r="GLJ1" s="404"/>
      <c r="GLK1" s="404"/>
      <c r="GLL1" s="405"/>
      <c r="GLM1" s="408" t="s">
        <v>41</v>
      </c>
      <c r="GLN1" s="404"/>
      <c r="GLO1" s="404"/>
      <c r="GLP1" s="404"/>
      <c r="GLQ1" s="404"/>
      <c r="GLR1" s="404"/>
      <c r="GLS1" s="404"/>
      <c r="GLT1" s="405"/>
      <c r="GLU1" s="408" t="s">
        <v>41</v>
      </c>
      <c r="GLV1" s="404"/>
      <c r="GLW1" s="404"/>
      <c r="GLX1" s="404"/>
      <c r="GLY1" s="404"/>
      <c r="GLZ1" s="404"/>
      <c r="GMA1" s="404"/>
      <c r="GMB1" s="405"/>
      <c r="GMC1" s="408" t="s">
        <v>41</v>
      </c>
      <c r="GMD1" s="404"/>
      <c r="GME1" s="404"/>
      <c r="GMF1" s="404"/>
      <c r="GMG1" s="404"/>
      <c r="GMH1" s="404"/>
      <c r="GMI1" s="404"/>
      <c r="GMJ1" s="405"/>
      <c r="GMK1" s="408" t="s">
        <v>41</v>
      </c>
      <c r="GML1" s="404"/>
      <c r="GMM1" s="404"/>
      <c r="GMN1" s="404"/>
      <c r="GMO1" s="404"/>
      <c r="GMP1" s="404"/>
      <c r="GMQ1" s="404"/>
      <c r="GMR1" s="405"/>
      <c r="GMS1" s="408" t="s">
        <v>41</v>
      </c>
      <c r="GMT1" s="404"/>
      <c r="GMU1" s="404"/>
      <c r="GMV1" s="404"/>
      <c r="GMW1" s="404"/>
      <c r="GMX1" s="404"/>
      <c r="GMY1" s="404"/>
      <c r="GMZ1" s="405"/>
      <c r="GNA1" s="408" t="s">
        <v>41</v>
      </c>
      <c r="GNB1" s="404"/>
      <c r="GNC1" s="404"/>
      <c r="GND1" s="404"/>
      <c r="GNE1" s="404"/>
      <c r="GNF1" s="404"/>
      <c r="GNG1" s="404"/>
      <c r="GNH1" s="405"/>
      <c r="GNI1" s="408" t="s">
        <v>41</v>
      </c>
      <c r="GNJ1" s="404"/>
      <c r="GNK1" s="404"/>
      <c r="GNL1" s="404"/>
      <c r="GNM1" s="404"/>
      <c r="GNN1" s="404"/>
      <c r="GNO1" s="404"/>
      <c r="GNP1" s="405"/>
      <c r="GNQ1" s="408" t="s">
        <v>41</v>
      </c>
      <c r="GNR1" s="404"/>
      <c r="GNS1" s="404"/>
      <c r="GNT1" s="404"/>
      <c r="GNU1" s="404"/>
      <c r="GNV1" s="404"/>
      <c r="GNW1" s="404"/>
      <c r="GNX1" s="405"/>
      <c r="GNY1" s="408" t="s">
        <v>41</v>
      </c>
      <c r="GNZ1" s="404"/>
      <c r="GOA1" s="404"/>
      <c r="GOB1" s="404"/>
      <c r="GOC1" s="404"/>
      <c r="GOD1" s="404"/>
      <c r="GOE1" s="404"/>
      <c r="GOF1" s="405"/>
      <c r="GOG1" s="408" t="s">
        <v>41</v>
      </c>
      <c r="GOH1" s="404"/>
      <c r="GOI1" s="404"/>
      <c r="GOJ1" s="404"/>
      <c r="GOK1" s="404"/>
      <c r="GOL1" s="404"/>
      <c r="GOM1" s="404"/>
      <c r="GON1" s="405"/>
      <c r="GOO1" s="408" t="s">
        <v>41</v>
      </c>
      <c r="GOP1" s="404"/>
      <c r="GOQ1" s="404"/>
      <c r="GOR1" s="404"/>
      <c r="GOS1" s="404"/>
      <c r="GOT1" s="404"/>
      <c r="GOU1" s="404"/>
      <c r="GOV1" s="405"/>
      <c r="GOW1" s="408" t="s">
        <v>41</v>
      </c>
      <c r="GOX1" s="404"/>
      <c r="GOY1" s="404"/>
      <c r="GOZ1" s="404"/>
      <c r="GPA1" s="404"/>
      <c r="GPB1" s="404"/>
      <c r="GPC1" s="404"/>
      <c r="GPD1" s="405"/>
      <c r="GPE1" s="408" t="s">
        <v>41</v>
      </c>
      <c r="GPF1" s="404"/>
      <c r="GPG1" s="404"/>
      <c r="GPH1" s="404"/>
      <c r="GPI1" s="404"/>
      <c r="GPJ1" s="404"/>
      <c r="GPK1" s="404"/>
      <c r="GPL1" s="405"/>
      <c r="GPM1" s="408" t="s">
        <v>41</v>
      </c>
      <c r="GPN1" s="404"/>
      <c r="GPO1" s="404"/>
      <c r="GPP1" s="404"/>
      <c r="GPQ1" s="404"/>
      <c r="GPR1" s="404"/>
      <c r="GPS1" s="404"/>
      <c r="GPT1" s="405"/>
      <c r="GPU1" s="408" t="s">
        <v>41</v>
      </c>
      <c r="GPV1" s="404"/>
      <c r="GPW1" s="404"/>
      <c r="GPX1" s="404"/>
      <c r="GPY1" s="404"/>
      <c r="GPZ1" s="404"/>
      <c r="GQA1" s="404"/>
      <c r="GQB1" s="405"/>
      <c r="GQC1" s="408" t="s">
        <v>41</v>
      </c>
      <c r="GQD1" s="404"/>
      <c r="GQE1" s="404"/>
      <c r="GQF1" s="404"/>
      <c r="GQG1" s="404"/>
      <c r="GQH1" s="404"/>
      <c r="GQI1" s="404"/>
      <c r="GQJ1" s="405"/>
      <c r="GQK1" s="408" t="s">
        <v>41</v>
      </c>
      <c r="GQL1" s="404"/>
      <c r="GQM1" s="404"/>
      <c r="GQN1" s="404"/>
      <c r="GQO1" s="404"/>
      <c r="GQP1" s="404"/>
      <c r="GQQ1" s="404"/>
      <c r="GQR1" s="405"/>
      <c r="GQS1" s="408" t="s">
        <v>41</v>
      </c>
      <c r="GQT1" s="404"/>
      <c r="GQU1" s="404"/>
      <c r="GQV1" s="404"/>
      <c r="GQW1" s="404"/>
      <c r="GQX1" s="404"/>
      <c r="GQY1" s="404"/>
      <c r="GQZ1" s="405"/>
      <c r="GRA1" s="408" t="s">
        <v>41</v>
      </c>
      <c r="GRB1" s="404"/>
      <c r="GRC1" s="404"/>
      <c r="GRD1" s="404"/>
      <c r="GRE1" s="404"/>
      <c r="GRF1" s="404"/>
      <c r="GRG1" s="404"/>
      <c r="GRH1" s="405"/>
      <c r="GRI1" s="408" t="s">
        <v>41</v>
      </c>
      <c r="GRJ1" s="404"/>
      <c r="GRK1" s="404"/>
      <c r="GRL1" s="404"/>
      <c r="GRM1" s="404"/>
      <c r="GRN1" s="404"/>
      <c r="GRO1" s="404"/>
      <c r="GRP1" s="405"/>
      <c r="GRQ1" s="408" t="s">
        <v>41</v>
      </c>
      <c r="GRR1" s="404"/>
      <c r="GRS1" s="404"/>
      <c r="GRT1" s="404"/>
      <c r="GRU1" s="404"/>
      <c r="GRV1" s="404"/>
      <c r="GRW1" s="404"/>
      <c r="GRX1" s="405"/>
      <c r="GRY1" s="408" t="s">
        <v>41</v>
      </c>
      <c r="GRZ1" s="404"/>
      <c r="GSA1" s="404"/>
      <c r="GSB1" s="404"/>
      <c r="GSC1" s="404"/>
      <c r="GSD1" s="404"/>
      <c r="GSE1" s="404"/>
      <c r="GSF1" s="405"/>
      <c r="GSG1" s="408" t="s">
        <v>41</v>
      </c>
      <c r="GSH1" s="404"/>
      <c r="GSI1" s="404"/>
      <c r="GSJ1" s="404"/>
      <c r="GSK1" s="404"/>
      <c r="GSL1" s="404"/>
      <c r="GSM1" s="404"/>
      <c r="GSN1" s="405"/>
      <c r="GSO1" s="408" t="s">
        <v>41</v>
      </c>
      <c r="GSP1" s="404"/>
      <c r="GSQ1" s="404"/>
      <c r="GSR1" s="404"/>
      <c r="GSS1" s="404"/>
      <c r="GST1" s="404"/>
      <c r="GSU1" s="404"/>
      <c r="GSV1" s="405"/>
      <c r="GSW1" s="408" t="s">
        <v>41</v>
      </c>
      <c r="GSX1" s="404"/>
      <c r="GSY1" s="404"/>
      <c r="GSZ1" s="404"/>
      <c r="GTA1" s="404"/>
      <c r="GTB1" s="404"/>
      <c r="GTC1" s="404"/>
      <c r="GTD1" s="405"/>
      <c r="GTE1" s="408" t="s">
        <v>41</v>
      </c>
      <c r="GTF1" s="404"/>
      <c r="GTG1" s="404"/>
      <c r="GTH1" s="404"/>
      <c r="GTI1" s="404"/>
      <c r="GTJ1" s="404"/>
      <c r="GTK1" s="404"/>
      <c r="GTL1" s="405"/>
      <c r="GTM1" s="408" t="s">
        <v>41</v>
      </c>
      <c r="GTN1" s="404"/>
      <c r="GTO1" s="404"/>
      <c r="GTP1" s="404"/>
      <c r="GTQ1" s="404"/>
      <c r="GTR1" s="404"/>
      <c r="GTS1" s="404"/>
      <c r="GTT1" s="405"/>
      <c r="GTU1" s="408" t="s">
        <v>41</v>
      </c>
      <c r="GTV1" s="404"/>
      <c r="GTW1" s="404"/>
      <c r="GTX1" s="404"/>
      <c r="GTY1" s="404"/>
      <c r="GTZ1" s="404"/>
      <c r="GUA1" s="404"/>
      <c r="GUB1" s="405"/>
      <c r="GUC1" s="408" t="s">
        <v>41</v>
      </c>
      <c r="GUD1" s="404"/>
      <c r="GUE1" s="404"/>
      <c r="GUF1" s="404"/>
      <c r="GUG1" s="404"/>
      <c r="GUH1" s="404"/>
      <c r="GUI1" s="404"/>
      <c r="GUJ1" s="405"/>
      <c r="GUK1" s="408" t="s">
        <v>41</v>
      </c>
      <c r="GUL1" s="404"/>
      <c r="GUM1" s="404"/>
      <c r="GUN1" s="404"/>
      <c r="GUO1" s="404"/>
      <c r="GUP1" s="404"/>
      <c r="GUQ1" s="404"/>
      <c r="GUR1" s="405"/>
      <c r="GUS1" s="408" t="s">
        <v>41</v>
      </c>
      <c r="GUT1" s="404"/>
      <c r="GUU1" s="404"/>
      <c r="GUV1" s="404"/>
      <c r="GUW1" s="404"/>
      <c r="GUX1" s="404"/>
      <c r="GUY1" s="404"/>
      <c r="GUZ1" s="405"/>
      <c r="GVA1" s="408" t="s">
        <v>41</v>
      </c>
      <c r="GVB1" s="404"/>
      <c r="GVC1" s="404"/>
      <c r="GVD1" s="404"/>
      <c r="GVE1" s="404"/>
      <c r="GVF1" s="404"/>
      <c r="GVG1" s="404"/>
      <c r="GVH1" s="405"/>
      <c r="GVI1" s="408" t="s">
        <v>41</v>
      </c>
      <c r="GVJ1" s="404"/>
      <c r="GVK1" s="404"/>
      <c r="GVL1" s="404"/>
      <c r="GVM1" s="404"/>
      <c r="GVN1" s="404"/>
      <c r="GVO1" s="404"/>
      <c r="GVP1" s="405"/>
      <c r="GVQ1" s="408" t="s">
        <v>41</v>
      </c>
      <c r="GVR1" s="404"/>
      <c r="GVS1" s="404"/>
      <c r="GVT1" s="404"/>
      <c r="GVU1" s="404"/>
      <c r="GVV1" s="404"/>
      <c r="GVW1" s="404"/>
      <c r="GVX1" s="405"/>
      <c r="GVY1" s="408" t="s">
        <v>41</v>
      </c>
      <c r="GVZ1" s="404"/>
      <c r="GWA1" s="404"/>
      <c r="GWB1" s="404"/>
      <c r="GWC1" s="404"/>
      <c r="GWD1" s="404"/>
      <c r="GWE1" s="404"/>
      <c r="GWF1" s="405"/>
      <c r="GWG1" s="408" t="s">
        <v>41</v>
      </c>
      <c r="GWH1" s="404"/>
      <c r="GWI1" s="404"/>
      <c r="GWJ1" s="404"/>
      <c r="GWK1" s="404"/>
      <c r="GWL1" s="404"/>
      <c r="GWM1" s="404"/>
      <c r="GWN1" s="405"/>
      <c r="GWO1" s="408" t="s">
        <v>41</v>
      </c>
      <c r="GWP1" s="404"/>
      <c r="GWQ1" s="404"/>
      <c r="GWR1" s="404"/>
      <c r="GWS1" s="404"/>
      <c r="GWT1" s="404"/>
      <c r="GWU1" s="404"/>
      <c r="GWV1" s="405"/>
      <c r="GWW1" s="408" t="s">
        <v>41</v>
      </c>
      <c r="GWX1" s="404"/>
      <c r="GWY1" s="404"/>
      <c r="GWZ1" s="404"/>
      <c r="GXA1" s="404"/>
      <c r="GXB1" s="404"/>
      <c r="GXC1" s="404"/>
      <c r="GXD1" s="405"/>
      <c r="GXE1" s="408" t="s">
        <v>41</v>
      </c>
      <c r="GXF1" s="404"/>
      <c r="GXG1" s="404"/>
      <c r="GXH1" s="404"/>
      <c r="GXI1" s="404"/>
      <c r="GXJ1" s="404"/>
      <c r="GXK1" s="404"/>
      <c r="GXL1" s="405"/>
      <c r="GXM1" s="408" t="s">
        <v>41</v>
      </c>
      <c r="GXN1" s="404"/>
      <c r="GXO1" s="404"/>
      <c r="GXP1" s="404"/>
      <c r="GXQ1" s="404"/>
      <c r="GXR1" s="404"/>
      <c r="GXS1" s="404"/>
      <c r="GXT1" s="405"/>
      <c r="GXU1" s="408" t="s">
        <v>41</v>
      </c>
      <c r="GXV1" s="404"/>
      <c r="GXW1" s="404"/>
      <c r="GXX1" s="404"/>
      <c r="GXY1" s="404"/>
      <c r="GXZ1" s="404"/>
      <c r="GYA1" s="404"/>
      <c r="GYB1" s="405"/>
      <c r="GYC1" s="408" t="s">
        <v>41</v>
      </c>
      <c r="GYD1" s="404"/>
      <c r="GYE1" s="404"/>
      <c r="GYF1" s="404"/>
      <c r="GYG1" s="404"/>
      <c r="GYH1" s="404"/>
      <c r="GYI1" s="404"/>
      <c r="GYJ1" s="405"/>
      <c r="GYK1" s="408" t="s">
        <v>41</v>
      </c>
      <c r="GYL1" s="404"/>
      <c r="GYM1" s="404"/>
      <c r="GYN1" s="404"/>
      <c r="GYO1" s="404"/>
      <c r="GYP1" s="404"/>
      <c r="GYQ1" s="404"/>
      <c r="GYR1" s="405"/>
      <c r="GYS1" s="408" t="s">
        <v>41</v>
      </c>
      <c r="GYT1" s="404"/>
      <c r="GYU1" s="404"/>
      <c r="GYV1" s="404"/>
      <c r="GYW1" s="404"/>
      <c r="GYX1" s="404"/>
      <c r="GYY1" s="404"/>
      <c r="GYZ1" s="405"/>
      <c r="GZA1" s="408" t="s">
        <v>41</v>
      </c>
      <c r="GZB1" s="404"/>
      <c r="GZC1" s="404"/>
      <c r="GZD1" s="404"/>
      <c r="GZE1" s="404"/>
      <c r="GZF1" s="404"/>
      <c r="GZG1" s="404"/>
      <c r="GZH1" s="405"/>
      <c r="GZI1" s="408" t="s">
        <v>41</v>
      </c>
      <c r="GZJ1" s="404"/>
      <c r="GZK1" s="404"/>
      <c r="GZL1" s="404"/>
      <c r="GZM1" s="404"/>
      <c r="GZN1" s="404"/>
      <c r="GZO1" s="404"/>
      <c r="GZP1" s="405"/>
      <c r="GZQ1" s="408" t="s">
        <v>41</v>
      </c>
      <c r="GZR1" s="404"/>
      <c r="GZS1" s="404"/>
      <c r="GZT1" s="404"/>
      <c r="GZU1" s="404"/>
      <c r="GZV1" s="404"/>
      <c r="GZW1" s="404"/>
      <c r="GZX1" s="405"/>
      <c r="GZY1" s="408" t="s">
        <v>41</v>
      </c>
      <c r="GZZ1" s="404"/>
      <c r="HAA1" s="404"/>
      <c r="HAB1" s="404"/>
      <c r="HAC1" s="404"/>
      <c r="HAD1" s="404"/>
      <c r="HAE1" s="404"/>
      <c r="HAF1" s="405"/>
      <c r="HAG1" s="408" t="s">
        <v>41</v>
      </c>
      <c r="HAH1" s="404"/>
      <c r="HAI1" s="404"/>
      <c r="HAJ1" s="404"/>
      <c r="HAK1" s="404"/>
      <c r="HAL1" s="404"/>
      <c r="HAM1" s="404"/>
      <c r="HAN1" s="405"/>
      <c r="HAO1" s="408" t="s">
        <v>41</v>
      </c>
      <c r="HAP1" s="404"/>
      <c r="HAQ1" s="404"/>
      <c r="HAR1" s="404"/>
      <c r="HAS1" s="404"/>
      <c r="HAT1" s="404"/>
      <c r="HAU1" s="404"/>
      <c r="HAV1" s="405"/>
      <c r="HAW1" s="408" t="s">
        <v>41</v>
      </c>
      <c r="HAX1" s="404"/>
      <c r="HAY1" s="404"/>
      <c r="HAZ1" s="404"/>
      <c r="HBA1" s="404"/>
      <c r="HBB1" s="404"/>
      <c r="HBC1" s="404"/>
      <c r="HBD1" s="405"/>
      <c r="HBE1" s="408" t="s">
        <v>41</v>
      </c>
      <c r="HBF1" s="404"/>
      <c r="HBG1" s="404"/>
      <c r="HBH1" s="404"/>
      <c r="HBI1" s="404"/>
      <c r="HBJ1" s="404"/>
      <c r="HBK1" s="404"/>
      <c r="HBL1" s="405"/>
      <c r="HBM1" s="408" t="s">
        <v>41</v>
      </c>
      <c r="HBN1" s="404"/>
      <c r="HBO1" s="404"/>
      <c r="HBP1" s="404"/>
      <c r="HBQ1" s="404"/>
      <c r="HBR1" s="404"/>
      <c r="HBS1" s="404"/>
      <c r="HBT1" s="405"/>
      <c r="HBU1" s="408" t="s">
        <v>41</v>
      </c>
      <c r="HBV1" s="404"/>
      <c r="HBW1" s="404"/>
      <c r="HBX1" s="404"/>
      <c r="HBY1" s="404"/>
      <c r="HBZ1" s="404"/>
      <c r="HCA1" s="404"/>
      <c r="HCB1" s="405"/>
      <c r="HCC1" s="408" t="s">
        <v>41</v>
      </c>
      <c r="HCD1" s="404"/>
      <c r="HCE1" s="404"/>
      <c r="HCF1" s="404"/>
      <c r="HCG1" s="404"/>
      <c r="HCH1" s="404"/>
      <c r="HCI1" s="404"/>
      <c r="HCJ1" s="405"/>
      <c r="HCK1" s="408" t="s">
        <v>41</v>
      </c>
      <c r="HCL1" s="404"/>
      <c r="HCM1" s="404"/>
      <c r="HCN1" s="404"/>
      <c r="HCO1" s="404"/>
      <c r="HCP1" s="404"/>
      <c r="HCQ1" s="404"/>
      <c r="HCR1" s="405"/>
      <c r="HCS1" s="408" t="s">
        <v>41</v>
      </c>
      <c r="HCT1" s="404"/>
      <c r="HCU1" s="404"/>
      <c r="HCV1" s="404"/>
      <c r="HCW1" s="404"/>
      <c r="HCX1" s="404"/>
      <c r="HCY1" s="404"/>
      <c r="HCZ1" s="405"/>
      <c r="HDA1" s="408" t="s">
        <v>41</v>
      </c>
      <c r="HDB1" s="404"/>
      <c r="HDC1" s="404"/>
      <c r="HDD1" s="404"/>
      <c r="HDE1" s="404"/>
      <c r="HDF1" s="404"/>
      <c r="HDG1" s="404"/>
      <c r="HDH1" s="405"/>
      <c r="HDI1" s="408" t="s">
        <v>41</v>
      </c>
      <c r="HDJ1" s="404"/>
      <c r="HDK1" s="404"/>
      <c r="HDL1" s="404"/>
      <c r="HDM1" s="404"/>
      <c r="HDN1" s="404"/>
      <c r="HDO1" s="404"/>
      <c r="HDP1" s="405"/>
      <c r="HDQ1" s="408" t="s">
        <v>41</v>
      </c>
      <c r="HDR1" s="404"/>
      <c r="HDS1" s="404"/>
      <c r="HDT1" s="404"/>
      <c r="HDU1" s="404"/>
      <c r="HDV1" s="404"/>
      <c r="HDW1" s="404"/>
      <c r="HDX1" s="405"/>
      <c r="HDY1" s="408" t="s">
        <v>41</v>
      </c>
      <c r="HDZ1" s="404"/>
      <c r="HEA1" s="404"/>
      <c r="HEB1" s="404"/>
      <c r="HEC1" s="404"/>
      <c r="HED1" s="404"/>
      <c r="HEE1" s="404"/>
      <c r="HEF1" s="405"/>
      <c r="HEG1" s="408" t="s">
        <v>41</v>
      </c>
      <c r="HEH1" s="404"/>
      <c r="HEI1" s="404"/>
      <c r="HEJ1" s="404"/>
      <c r="HEK1" s="404"/>
      <c r="HEL1" s="404"/>
      <c r="HEM1" s="404"/>
      <c r="HEN1" s="405"/>
      <c r="HEO1" s="408" t="s">
        <v>41</v>
      </c>
      <c r="HEP1" s="404"/>
      <c r="HEQ1" s="404"/>
      <c r="HER1" s="404"/>
      <c r="HES1" s="404"/>
      <c r="HET1" s="404"/>
      <c r="HEU1" s="404"/>
      <c r="HEV1" s="405"/>
      <c r="HEW1" s="408" t="s">
        <v>41</v>
      </c>
      <c r="HEX1" s="404"/>
      <c r="HEY1" s="404"/>
      <c r="HEZ1" s="404"/>
      <c r="HFA1" s="404"/>
      <c r="HFB1" s="404"/>
      <c r="HFC1" s="404"/>
      <c r="HFD1" s="405"/>
      <c r="HFE1" s="408" t="s">
        <v>41</v>
      </c>
      <c r="HFF1" s="404"/>
      <c r="HFG1" s="404"/>
      <c r="HFH1" s="404"/>
      <c r="HFI1" s="404"/>
      <c r="HFJ1" s="404"/>
      <c r="HFK1" s="404"/>
      <c r="HFL1" s="405"/>
      <c r="HFM1" s="408" t="s">
        <v>41</v>
      </c>
      <c r="HFN1" s="404"/>
      <c r="HFO1" s="404"/>
      <c r="HFP1" s="404"/>
      <c r="HFQ1" s="404"/>
      <c r="HFR1" s="404"/>
      <c r="HFS1" s="404"/>
      <c r="HFT1" s="405"/>
      <c r="HFU1" s="408" t="s">
        <v>41</v>
      </c>
      <c r="HFV1" s="404"/>
      <c r="HFW1" s="404"/>
      <c r="HFX1" s="404"/>
      <c r="HFY1" s="404"/>
      <c r="HFZ1" s="404"/>
      <c r="HGA1" s="404"/>
      <c r="HGB1" s="405"/>
      <c r="HGC1" s="408" t="s">
        <v>41</v>
      </c>
      <c r="HGD1" s="404"/>
      <c r="HGE1" s="404"/>
      <c r="HGF1" s="404"/>
      <c r="HGG1" s="404"/>
      <c r="HGH1" s="404"/>
      <c r="HGI1" s="404"/>
      <c r="HGJ1" s="405"/>
      <c r="HGK1" s="408" t="s">
        <v>41</v>
      </c>
      <c r="HGL1" s="404"/>
      <c r="HGM1" s="404"/>
      <c r="HGN1" s="404"/>
      <c r="HGO1" s="404"/>
      <c r="HGP1" s="404"/>
      <c r="HGQ1" s="404"/>
      <c r="HGR1" s="405"/>
      <c r="HGS1" s="408" t="s">
        <v>41</v>
      </c>
      <c r="HGT1" s="404"/>
      <c r="HGU1" s="404"/>
      <c r="HGV1" s="404"/>
      <c r="HGW1" s="404"/>
      <c r="HGX1" s="404"/>
      <c r="HGY1" s="404"/>
      <c r="HGZ1" s="405"/>
      <c r="HHA1" s="408" t="s">
        <v>41</v>
      </c>
      <c r="HHB1" s="404"/>
      <c r="HHC1" s="404"/>
      <c r="HHD1" s="404"/>
      <c r="HHE1" s="404"/>
      <c r="HHF1" s="404"/>
      <c r="HHG1" s="404"/>
      <c r="HHH1" s="405"/>
      <c r="HHI1" s="408" t="s">
        <v>41</v>
      </c>
      <c r="HHJ1" s="404"/>
      <c r="HHK1" s="404"/>
      <c r="HHL1" s="404"/>
      <c r="HHM1" s="404"/>
      <c r="HHN1" s="404"/>
      <c r="HHO1" s="404"/>
      <c r="HHP1" s="405"/>
      <c r="HHQ1" s="408" t="s">
        <v>41</v>
      </c>
      <c r="HHR1" s="404"/>
      <c r="HHS1" s="404"/>
      <c r="HHT1" s="404"/>
      <c r="HHU1" s="404"/>
      <c r="HHV1" s="404"/>
      <c r="HHW1" s="404"/>
      <c r="HHX1" s="405"/>
      <c r="HHY1" s="408" t="s">
        <v>41</v>
      </c>
      <c r="HHZ1" s="404"/>
      <c r="HIA1" s="404"/>
      <c r="HIB1" s="404"/>
      <c r="HIC1" s="404"/>
      <c r="HID1" s="404"/>
      <c r="HIE1" s="404"/>
      <c r="HIF1" s="405"/>
      <c r="HIG1" s="408" t="s">
        <v>41</v>
      </c>
      <c r="HIH1" s="404"/>
      <c r="HII1" s="404"/>
      <c r="HIJ1" s="404"/>
      <c r="HIK1" s="404"/>
      <c r="HIL1" s="404"/>
      <c r="HIM1" s="404"/>
      <c r="HIN1" s="405"/>
      <c r="HIO1" s="408" t="s">
        <v>41</v>
      </c>
      <c r="HIP1" s="404"/>
      <c r="HIQ1" s="404"/>
      <c r="HIR1" s="404"/>
      <c r="HIS1" s="404"/>
      <c r="HIT1" s="404"/>
      <c r="HIU1" s="404"/>
      <c r="HIV1" s="405"/>
      <c r="HIW1" s="408" t="s">
        <v>41</v>
      </c>
      <c r="HIX1" s="404"/>
      <c r="HIY1" s="404"/>
      <c r="HIZ1" s="404"/>
      <c r="HJA1" s="404"/>
      <c r="HJB1" s="404"/>
      <c r="HJC1" s="404"/>
      <c r="HJD1" s="405"/>
      <c r="HJE1" s="408" t="s">
        <v>41</v>
      </c>
      <c r="HJF1" s="404"/>
      <c r="HJG1" s="404"/>
      <c r="HJH1" s="404"/>
      <c r="HJI1" s="404"/>
      <c r="HJJ1" s="404"/>
      <c r="HJK1" s="404"/>
      <c r="HJL1" s="405"/>
      <c r="HJM1" s="408" t="s">
        <v>41</v>
      </c>
      <c r="HJN1" s="404"/>
      <c r="HJO1" s="404"/>
      <c r="HJP1" s="404"/>
      <c r="HJQ1" s="404"/>
      <c r="HJR1" s="404"/>
      <c r="HJS1" s="404"/>
      <c r="HJT1" s="405"/>
      <c r="HJU1" s="408" t="s">
        <v>41</v>
      </c>
      <c r="HJV1" s="404"/>
      <c r="HJW1" s="404"/>
      <c r="HJX1" s="404"/>
      <c r="HJY1" s="404"/>
      <c r="HJZ1" s="404"/>
      <c r="HKA1" s="404"/>
      <c r="HKB1" s="405"/>
      <c r="HKC1" s="408" t="s">
        <v>41</v>
      </c>
      <c r="HKD1" s="404"/>
      <c r="HKE1" s="404"/>
      <c r="HKF1" s="404"/>
      <c r="HKG1" s="404"/>
      <c r="HKH1" s="404"/>
      <c r="HKI1" s="404"/>
      <c r="HKJ1" s="405"/>
      <c r="HKK1" s="408" t="s">
        <v>41</v>
      </c>
      <c r="HKL1" s="404"/>
      <c r="HKM1" s="404"/>
      <c r="HKN1" s="404"/>
      <c r="HKO1" s="404"/>
      <c r="HKP1" s="404"/>
      <c r="HKQ1" s="404"/>
      <c r="HKR1" s="405"/>
      <c r="HKS1" s="408" t="s">
        <v>41</v>
      </c>
      <c r="HKT1" s="404"/>
      <c r="HKU1" s="404"/>
      <c r="HKV1" s="404"/>
      <c r="HKW1" s="404"/>
      <c r="HKX1" s="404"/>
      <c r="HKY1" s="404"/>
      <c r="HKZ1" s="405"/>
      <c r="HLA1" s="408" t="s">
        <v>41</v>
      </c>
      <c r="HLB1" s="404"/>
      <c r="HLC1" s="404"/>
      <c r="HLD1" s="404"/>
      <c r="HLE1" s="404"/>
      <c r="HLF1" s="404"/>
      <c r="HLG1" s="404"/>
      <c r="HLH1" s="405"/>
      <c r="HLI1" s="408" t="s">
        <v>41</v>
      </c>
      <c r="HLJ1" s="404"/>
      <c r="HLK1" s="404"/>
      <c r="HLL1" s="404"/>
      <c r="HLM1" s="404"/>
      <c r="HLN1" s="404"/>
      <c r="HLO1" s="404"/>
      <c r="HLP1" s="405"/>
      <c r="HLQ1" s="408" t="s">
        <v>41</v>
      </c>
      <c r="HLR1" s="404"/>
      <c r="HLS1" s="404"/>
      <c r="HLT1" s="404"/>
      <c r="HLU1" s="404"/>
      <c r="HLV1" s="404"/>
      <c r="HLW1" s="404"/>
      <c r="HLX1" s="405"/>
      <c r="HLY1" s="408" t="s">
        <v>41</v>
      </c>
      <c r="HLZ1" s="404"/>
      <c r="HMA1" s="404"/>
      <c r="HMB1" s="404"/>
      <c r="HMC1" s="404"/>
      <c r="HMD1" s="404"/>
      <c r="HME1" s="404"/>
      <c r="HMF1" s="405"/>
      <c r="HMG1" s="408" t="s">
        <v>41</v>
      </c>
      <c r="HMH1" s="404"/>
      <c r="HMI1" s="404"/>
      <c r="HMJ1" s="404"/>
      <c r="HMK1" s="404"/>
      <c r="HML1" s="404"/>
      <c r="HMM1" s="404"/>
      <c r="HMN1" s="405"/>
      <c r="HMO1" s="408" t="s">
        <v>41</v>
      </c>
      <c r="HMP1" s="404"/>
      <c r="HMQ1" s="404"/>
      <c r="HMR1" s="404"/>
      <c r="HMS1" s="404"/>
      <c r="HMT1" s="404"/>
      <c r="HMU1" s="404"/>
      <c r="HMV1" s="405"/>
      <c r="HMW1" s="408" t="s">
        <v>41</v>
      </c>
      <c r="HMX1" s="404"/>
      <c r="HMY1" s="404"/>
      <c r="HMZ1" s="404"/>
      <c r="HNA1" s="404"/>
      <c r="HNB1" s="404"/>
      <c r="HNC1" s="404"/>
      <c r="HND1" s="405"/>
      <c r="HNE1" s="408" t="s">
        <v>41</v>
      </c>
      <c r="HNF1" s="404"/>
      <c r="HNG1" s="404"/>
      <c r="HNH1" s="404"/>
      <c r="HNI1" s="404"/>
      <c r="HNJ1" s="404"/>
      <c r="HNK1" s="404"/>
      <c r="HNL1" s="405"/>
      <c r="HNM1" s="408" t="s">
        <v>41</v>
      </c>
      <c r="HNN1" s="404"/>
      <c r="HNO1" s="404"/>
      <c r="HNP1" s="404"/>
      <c r="HNQ1" s="404"/>
      <c r="HNR1" s="404"/>
      <c r="HNS1" s="404"/>
      <c r="HNT1" s="405"/>
      <c r="HNU1" s="408" t="s">
        <v>41</v>
      </c>
      <c r="HNV1" s="404"/>
      <c r="HNW1" s="404"/>
      <c r="HNX1" s="404"/>
      <c r="HNY1" s="404"/>
      <c r="HNZ1" s="404"/>
      <c r="HOA1" s="404"/>
      <c r="HOB1" s="405"/>
      <c r="HOC1" s="408" t="s">
        <v>41</v>
      </c>
      <c r="HOD1" s="404"/>
      <c r="HOE1" s="404"/>
      <c r="HOF1" s="404"/>
      <c r="HOG1" s="404"/>
      <c r="HOH1" s="404"/>
      <c r="HOI1" s="404"/>
      <c r="HOJ1" s="405"/>
      <c r="HOK1" s="408" t="s">
        <v>41</v>
      </c>
      <c r="HOL1" s="404"/>
      <c r="HOM1" s="404"/>
      <c r="HON1" s="404"/>
      <c r="HOO1" s="404"/>
      <c r="HOP1" s="404"/>
      <c r="HOQ1" s="404"/>
      <c r="HOR1" s="405"/>
      <c r="HOS1" s="408" t="s">
        <v>41</v>
      </c>
      <c r="HOT1" s="404"/>
      <c r="HOU1" s="404"/>
      <c r="HOV1" s="404"/>
      <c r="HOW1" s="404"/>
      <c r="HOX1" s="404"/>
      <c r="HOY1" s="404"/>
      <c r="HOZ1" s="405"/>
      <c r="HPA1" s="408" t="s">
        <v>41</v>
      </c>
      <c r="HPB1" s="404"/>
      <c r="HPC1" s="404"/>
      <c r="HPD1" s="404"/>
      <c r="HPE1" s="404"/>
      <c r="HPF1" s="404"/>
      <c r="HPG1" s="404"/>
      <c r="HPH1" s="405"/>
      <c r="HPI1" s="408" t="s">
        <v>41</v>
      </c>
      <c r="HPJ1" s="404"/>
      <c r="HPK1" s="404"/>
      <c r="HPL1" s="404"/>
      <c r="HPM1" s="404"/>
      <c r="HPN1" s="404"/>
      <c r="HPO1" s="404"/>
      <c r="HPP1" s="405"/>
      <c r="HPQ1" s="408" t="s">
        <v>41</v>
      </c>
      <c r="HPR1" s="404"/>
      <c r="HPS1" s="404"/>
      <c r="HPT1" s="404"/>
      <c r="HPU1" s="404"/>
      <c r="HPV1" s="404"/>
      <c r="HPW1" s="404"/>
      <c r="HPX1" s="405"/>
      <c r="HPY1" s="408" t="s">
        <v>41</v>
      </c>
      <c r="HPZ1" s="404"/>
      <c r="HQA1" s="404"/>
      <c r="HQB1" s="404"/>
      <c r="HQC1" s="404"/>
      <c r="HQD1" s="404"/>
      <c r="HQE1" s="404"/>
      <c r="HQF1" s="405"/>
      <c r="HQG1" s="408" t="s">
        <v>41</v>
      </c>
      <c r="HQH1" s="404"/>
      <c r="HQI1" s="404"/>
      <c r="HQJ1" s="404"/>
      <c r="HQK1" s="404"/>
      <c r="HQL1" s="404"/>
      <c r="HQM1" s="404"/>
      <c r="HQN1" s="405"/>
      <c r="HQO1" s="408" t="s">
        <v>41</v>
      </c>
      <c r="HQP1" s="404"/>
      <c r="HQQ1" s="404"/>
      <c r="HQR1" s="404"/>
      <c r="HQS1" s="404"/>
      <c r="HQT1" s="404"/>
      <c r="HQU1" s="404"/>
      <c r="HQV1" s="405"/>
      <c r="HQW1" s="408" t="s">
        <v>41</v>
      </c>
      <c r="HQX1" s="404"/>
      <c r="HQY1" s="404"/>
      <c r="HQZ1" s="404"/>
      <c r="HRA1" s="404"/>
      <c r="HRB1" s="404"/>
      <c r="HRC1" s="404"/>
      <c r="HRD1" s="405"/>
      <c r="HRE1" s="408" t="s">
        <v>41</v>
      </c>
      <c r="HRF1" s="404"/>
      <c r="HRG1" s="404"/>
      <c r="HRH1" s="404"/>
      <c r="HRI1" s="404"/>
      <c r="HRJ1" s="404"/>
      <c r="HRK1" s="404"/>
      <c r="HRL1" s="405"/>
      <c r="HRM1" s="408" t="s">
        <v>41</v>
      </c>
      <c r="HRN1" s="404"/>
      <c r="HRO1" s="404"/>
      <c r="HRP1" s="404"/>
      <c r="HRQ1" s="404"/>
      <c r="HRR1" s="404"/>
      <c r="HRS1" s="404"/>
      <c r="HRT1" s="405"/>
      <c r="HRU1" s="408" t="s">
        <v>41</v>
      </c>
      <c r="HRV1" s="404"/>
      <c r="HRW1" s="404"/>
      <c r="HRX1" s="404"/>
      <c r="HRY1" s="404"/>
      <c r="HRZ1" s="404"/>
      <c r="HSA1" s="404"/>
      <c r="HSB1" s="405"/>
      <c r="HSC1" s="408" t="s">
        <v>41</v>
      </c>
      <c r="HSD1" s="404"/>
      <c r="HSE1" s="404"/>
      <c r="HSF1" s="404"/>
      <c r="HSG1" s="404"/>
      <c r="HSH1" s="404"/>
      <c r="HSI1" s="404"/>
      <c r="HSJ1" s="405"/>
      <c r="HSK1" s="408" t="s">
        <v>41</v>
      </c>
      <c r="HSL1" s="404"/>
      <c r="HSM1" s="404"/>
      <c r="HSN1" s="404"/>
      <c r="HSO1" s="404"/>
      <c r="HSP1" s="404"/>
      <c r="HSQ1" s="404"/>
      <c r="HSR1" s="405"/>
      <c r="HSS1" s="408" t="s">
        <v>41</v>
      </c>
      <c r="HST1" s="404"/>
      <c r="HSU1" s="404"/>
      <c r="HSV1" s="404"/>
      <c r="HSW1" s="404"/>
      <c r="HSX1" s="404"/>
      <c r="HSY1" s="404"/>
      <c r="HSZ1" s="405"/>
      <c r="HTA1" s="408" t="s">
        <v>41</v>
      </c>
      <c r="HTB1" s="404"/>
      <c r="HTC1" s="404"/>
      <c r="HTD1" s="404"/>
      <c r="HTE1" s="404"/>
      <c r="HTF1" s="404"/>
      <c r="HTG1" s="404"/>
      <c r="HTH1" s="405"/>
      <c r="HTI1" s="408" t="s">
        <v>41</v>
      </c>
      <c r="HTJ1" s="404"/>
      <c r="HTK1" s="404"/>
      <c r="HTL1" s="404"/>
      <c r="HTM1" s="404"/>
      <c r="HTN1" s="404"/>
      <c r="HTO1" s="404"/>
      <c r="HTP1" s="405"/>
      <c r="HTQ1" s="408" t="s">
        <v>41</v>
      </c>
      <c r="HTR1" s="404"/>
      <c r="HTS1" s="404"/>
      <c r="HTT1" s="404"/>
      <c r="HTU1" s="404"/>
      <c r="HTV1" s="404"/>
      <c r="HTW1" s="404"/>
      <c r="HTX1" s="405"/>
      <c r="HTY1" s="408" t="s">
        <v>41</v>
      </c>
      <c r="HTZ1" s="404"/>
      <c r="HUA1" s="404"/>
      <c r="HUB1" s="404"/>
      <c r="HUC1" s="404"/>
      <c r="HUD1" s="404"/>
      <c r="HUE1" s="404"/>
      <c r="HUF1" s="405"/>
      <c r="HUG1" s="408" t="s">
        <v>41</v>
      </c>
      <c r="HUH1" s="404"/>
      <c r="HUI1" s="404"/>
      <c r="HUJ1" s="404"/>
      <c r="HUK1" s="404"/>
      <c r="HUL1" s="404"/>
      <c r="HUM1" s="404"/>
      <c r="HUN1" s="405"/>
      <c r="HUO1" s="408" t="s">
        <v>41</v>
      </c>
      <c r="HUP1" s="404"/>
      <c r="HUQ1" s="404"/>
      <c r="HUR1" s="404"/>
      <c r="HUS1" s="404"/>
      <c r="HUT1" s="404"/>
      <c r="HUU1" s="404"/>
      <c r="HUV1" s="405"/>
      <c r="HUW1" s="408" t="s">
        <v>41</v>
      </c>
      <c r="HUX1" s="404"/>
      <c r="HUY1" s="404"/>
      <c r="HUZ1" s="404"/>
      <c r="HVA1" s="404"/>
      <c r="HVB1" s="404"/>
      <c r="HVC1" s="404"/>
      <c r="HVD1" s="405"/>
      <c r="HVE1" s="408" t="s">
        <v>41</v>
      </c>
      <c r="HVF1" s="404"/>
      <c r="HVG1" s="404"/>
      <c r="HVH1" s="404"/>
      <c r="HVI1" s="404"/>
      <c r="HVJ1" s="404"/>
      <c r="HVK1" s="404"/>
      <c r="HVL1" s="405"/>
      <c r="HVM1" s="408" t="s">
        <v>41</v>
      </c>
      <c r="HVN1" s="404"/>
      <c r="HVO1" s="404"/>
      <c r="HVP1" s="404"/>
      <c r="HVQ1" s="404"/>
      <c r="HVR1" s="404"/>
      <c r="HVS1" s="404"/>
      <c r="HVT1" s="405"/>
      <c r="HVU1" s="408" t="s">
        <v>41</v>
      </c>
      <c r="HVV1" s="404"/>
      <c r="HVW1" s="404"/>
      <c r="HVX1" s="404"/>
      <c r="HVY1" s="404"/>
      <c r="HVZ1" s="404"/>
      <c r="HWA1" s="404"/>
      <c r="HWB1" s="405"/>
      <c r="HWC1" s="408" t="s">
        <v>41</v>
      </c>
      <c r="HWD1" s="404"/>
      <c r="HWE1" s="404"/>
      <c r="HWF1" s="404"/>
      <c r="HWG1" s="404"/>
      <c r="HWH1" s="404"/>
      <c r="HWI1" s="404"/>
      <c r="HWJ1" s="405"/>
      <c r="HWK1" s="408" t="s">
        <v>41</v>
      </c>
      <c r="HWL1" s="404"/>
      <c r="HWM1" s="404"/>
      <c r="HWN1" s="404"/>
      <c r="HWO1" s="404"/>
      <c r="HWP1" s="404"/>
      <c r="HWQ1" s="404"/>
      <c r="HWR1" s="405"/>
      <c r="HWS1" s="408" t="s">
        <v>41</v>
      </c>
      <c r="HWT1" s="404"/>
      <c r="HWU1" s="404"/>
      <c r="HWV1" s="404"/>
      <c r="HWW1" s="404"/>
      <c r="HWX1" s="404"/>
      <c r="HWY1" s="404"/>
      <c r="HWZ1" s="405"/>
      <c r="HXA1" s="408" t="s">
        <v>41</v>
      </c>
      <c r="HXB1" s="404"/>
      <c r="HXC1" s="404"/>
      <c r="HXD1" s="404"/>
      <c r="HXE1" s="404"/>
      <c r="HXF1" s="404"/>
      <c r="HXG1" s="404"/>
      <c r="HXH1" s="405"/>
      <c r="HXI1" s="408" t="s">
        <v>41</v>
      </c>
      <c r="HXJ1" s="404"/>
      <c r="HXK1" s="404"/>
      <c r="HXL1" s="404"/>
      <c r="HXM1" s="404"/>
      <c r="HXN1" s="404"/>
      <c r="HXO1" s="404"/>
      <c r="HXP1" s="405"/>
      <c r="HXQ1" s="408" t="s">
        <v>41</v>
      </c>
      <c r="HXR1" s="404"/>
      <c r="HXS1" s="404"/>
      <c r="HXT1" s="404"/>
      <c r="HXU1" s="404"/>
      <c r="HXV1" s="404"/>
      <c r="HXW1" s="404"/>
      <c r="HXX1" s="405"/>
      <c r="HXY1" s="408" t="s">
        <v>41</v>
      </c>
      <c r="HXZ1" s="404"/>
      <c r="HYA1" s="404"/>
      <c r="HYB1" s="404"/>
      <c r="HYC1" s="404"/>
      <c r="HYD1" s="404"/>
      <c r="HYE1" s="404"/>
      <c r="HYF1" s="405"/>
      <c r="HYG1" s="408" t="s">
        <v>41</v>
      </c>
      <c r="HYH1" s="404"/>
      <c r="HYI1" s="404"/>
      <c r="HYJ1" s="404"/>
      <c r="HYK1" s="404"/>
      <c r="HYL1" s="404"/>
      <c r="HYM1" s="404"/>
      <c r="HYN1" s="405"/>
      <c r="HYO1" s="408" t="s">
        <v>41</v>
      </c>
      <c r="HYP1" s="404"/>
      <c r="HYQ1" s="404"/>
      <c r="HYR1" s="404"/>
      <c r="HYS1" s="404"/>
      <c r="HYT1" s="404"/>
      <c r="HYU1" s="404"/>
      <c r="HYV1" s="405"/>
      <c r="HYW1" s="408" t="s">
        <v>41</v>
      </c>
      <c r="HYX1" s="404"/>
      <c r="HYY1" s="404"/>
      <c r="HYZ1" s="404"/>
      <c r="HZA1" s="404"/>
      <c r="HZB1" s="404"/>
      <c r="HZC1" s="404"/>
      <c r="HZD1" s="405"/>
      <c r="HZE1" s="408" t="s">
        <v>41</v>
      </c>
      <c r="HZF1" s="404"/>
      <c r="HZG1" s="404"/>
      <c r="HZH1" s="404"/>
      <c r="HZI1" s="404"/>
      <c r="HZJ1" s="404"/>
      <c r="HZK1" s="404"/>
      <c r="HZL1" s="405"/>
      <c r="HZM1" s="408" t="s">
        <v>41</v>
      </c>
      <c r="HZN1" s="404"/>
      <c r="HZO1" s="404"/>
      <c r="HZP1" s="404"/>
      <c r="HZQ1" s="404"/>
      <c r="HZR1" s="404"/>
      <c r="HZS1" s="404"/>
      <c r="HZT1" s="405"/>
      <c r="HZU1" s="408" t="s">
        <v>41</v>
      </c>
      <c r="HZV1" s="404"/>
      <c r="HZW1" s="404"/>
      <c r="HZX1" s="404"/>
      <c r="HZY1" s="404"/>
      <c r="HZZ1" s="404"/>
      <c r="IAA1" s="404"/>
      <c r="IAB1" s="405"/>
      <c r="IAC1" s="408" t="s">
        <v>41</v>
      </c>
      <c r="IAD1" s="404"/>
      <c r="IAE1" s="404"/>
      <c r="IAF1" s="404"/>
      <c r="IAG1" s="404"/>
      <c r="IAH1" s="404"/>
      <c r="IAI1" s="404"/>
      <c r="IAJ1" s="405"/>
      <c r="IAK1" s="408" t="s">
        <v>41</v>
      </c>
      <c r="IAL1" s="404"/>
      <c r="IAM1" s="404"/>
      <c r="IAN1" s="404"/>
      <c r="IAO1" s="404"/>
      <c r="IAP1" s="404"/>
      <c r="IAQ1" s="404"/>
      <c r="IAR1" s="405"/>
      <c r="IAS1" s="408" t="s">
        <v>41</v>
      </c>
      <c r="IAT1" s="404"/>
      <c r="IAU1" s="404"/>
      <c r="IAV1" s="404"/>
      <c r="IAW1" s="404"/>
      <c r="IAX1" s="404"/>
      <c r="IAY1" s="404"/>
      <c r="IAZ1" s="405"/>
      <c r="IBA1" s="408" t="s">
        <v>41</v>
      </c>
      <c r="IBB1" s="404"/>
      <c r="IBC1" s="404"/>
      <c r="IBD1" s="404"/>
      <c r="IBE1" s="404"/>
      <c r="IBF1" s="404"/>
      <c r="IBG1" s="404"/>
      <c r="IBH1" s="405"/>
      <c r="IBI1" s="408" t="s">
        <v>41</v>
      </c>
      <c r="IBJ1" s="404"/>
      <c r="IBK1" s="404"/>
      <c r="IBL1" s="404"/>
      <c r="IBM1" s="404"/>
      <c r="IBN1" s="404"/>
      <c r="IBO1" s="404"/>
      <c r="IBP1" s="405"/>
      <c r="IBQ1" s="408" t="s">
        <v>41</v>
      </c>
      <c r="IBR1" s="404"/>
      <c r="IBS1" s="404"/>
      <c r="IBT1" s="404"/>
      <c r="IBU1" s="404"/>
      <c r="IBV1" s="404"/>
      <c r="IBW1" s="404"/>
      <c r="IBX1" s="405"/>
      <c r="IBY1" s="408" t="s">
        <v>41</v>
      </c>
      <c r="IBZ1" s="404"/>
      <c r="ICA1" s="404"/>
      <c r="ICB1" s="404"/>
      <c r="ICC1" s="404"/>
      <c r="ICD1" s="404"/>
      <c r="ICE1" s="404"/>
      <c r="ICF1" s="405"/>
      <c r="ICG1" s="408" t="s">
        <v>41</v>
      </c>
      <c r="ICH1" s="404"/>
      <c r="ICI1" s="404"/>
      <c r="ICJ1" s="404"/>
      <c r="ICK1" s="404"/>
      <c r="ICL1" s="404"/>
      <c r="ICM1" s="404"/>
      <c r="ICN1" s="405"/>
      <c r="ICO1" s="408" t="s">
        <v>41</v>
      </c>
      <c r="ICP1" s="404"/>
      <c r="ICQ1" s="404"/>
      <c r="ICR1" s="404"/>
      <c r="ICS1" s="404"/>
      <c r="ICT1" s="404"/>
      <c r="ICU1" s="404"/>
      <c r="ICV1" s="405"/>
      <c r="ICW1" s="408" t="s">
        <v>41</v>
      </c>
      <c r="ICX1" s="404"/>
      <c r="ICY1" s="404"/>
      <c r="ICZ1" s="404"/>
      <c r="IDA1" s="404"/>
      <c r="IDB1" s="404"/>
      <c r="IDC1" s="404"/>
      <c r="IDD1" s="405"/>
      <c r="IDE1" s="408" t="s">
        <v>41</v>
      </c>
      <c r="IDF1" s="404"/>
      <c r="IDG1" s="404"/>
      <c r="IDH1" s="404"/>
      <c r="IDI1" s="404"/>
      <c r="IDJ1" s="404"/>
      <c r="IDK1" s="404"/>
      <c r="IDL1" s="405"/>
      <c r="IDM1" s="408" t="s">
        <v>41</v>
      </c>
      <c r="IDN1" s="404"/>
      <c r="IDO1" s="404"/>
      <c r="IDP1" s="404"/>
      <c r="IDQ1" s="404"/>
      <c r="IDR1" s="404"/>
      <c r="IDS1" s="404"/>
      <c r="IDT1" s="405"/>
      <c r="IDU1" s="408" t="s">
        <v>41</v>
      </c>
      <c r="IDV1" s="404"/>
      <c r="IDW1" s="404"/>
      <c r="IDX1" s="404"/>
      <c r="IDY1" s="404"/>
      <c r="IDZ1" s="404"/>
      <c r="IEA1" s="404"/>
      <c r="IEB1" s="405"/>
      <c r="IEC1" s="408" t="s">
        <v>41</v>
      </c>
      <c r="IED1" s="404"/>
      <c r="IEE1" s="404"/>
      <c r="IEF1" s="404"/>
      <c r="IEG1" s="404"/>
      <c r="IEH1" s="404"/>
      <c r="IEI1" s="404"/>
      <c r="IEJ1" s="405"/>
      <c r="IEK1" s="408" t="s">
        <v>41</v>
      </c>
      <c r="IEL1" s="404"/>
      <c r="IEM1" s="404"/>
      <c r="IEN1" s="404"/>
      <c r="IEO1" s="404"/>
      <c r="IEP1" s="404"/>
      <c r="IEQ1" s="404"/>
      <c r="IER1" s="405"/>
      <c r="IES1" s="408" t="s">
        <v>41</v>
      </c>
      <c r="IET1" s="404"/>
      <c r="IEU1" s="404"/>
      <c r="IEV1" s="404"/>
      <c r="IEW1" s="404"/>
      <c r="IEX1" s="404"/>
      <c r="IEY1" s="404"/>
      <c r="IEZ1" s="405"/>
      <c r="IFA1" s="408" t="s">
        <v>41</v>
      </c>
      <c r="IFB1" s="404"/>
      <c r="IFC1" s="404"/>
      <c r="IFD1" s="404"/>
      <c r="IFE1" s="404"/>
      <c r="IFF1" s="404"/>
      <c r="IFG1" s="404"/>
      <c r="IFH1" s="405"/>
      <c r="IFI1" s="408" t="s">
        <v>41</v>
      </c>
      <c r="IFJ1" s="404"/>
      <c r="IFK1" s="404"/>
      <c r="IFL1" s="404"/>
      <c r="IFM1" s="404"/>
      <c r="IFN1" s="404"/>
      <c r="IFO1" s="404"/>
      <c r="IFP1" s="405"/>
      <c r="IFQ1" s="408" t="s">
        <v>41</v>
      </c>
      <c r="IFR1" s="404"/>
      <c r="IFS1" s="404"/>
      <c r="IFT1" s="404"/>
      <c r="IFU1" s="404"/>
      <c r="IFV1" s="404"/>
      <c r="IFW1" s="404"/>
      <c r="IFX1" s="405"/>
      <c r="IFY1" s="408" t="s">
        <v>41</v>
      </c>
      <c r="IFZ1" s="404"/>
      <c r="IGA1" s="404"/>
      <c r="IGB1" s="404"/>
      <c r="IGC1" s="404"/>
      <c r="IGD1" s="404"/>
      <c r="IGE1" s="404"/>
      <c r="IGF1" s="405"/>
      <c r="IGG1" s="408" t="s">
        <v>41</v>
      </c>
      <c r="IGH1" s="404"/>
      <c r="IGI1" s="404"/>
      <c r="IGJ1" s="404"/>
      <c r="IGK1" s="404"/>
      <c r="IGL1" s="404"/>
      <c r="IGM1" s="404"/>
      <c r="IGN1" s="405"/>
      <c r="IGO1" s="408" t="s">
        <v>41</v>
      </c>
      <c r="IGP1" s="404"/>
      <c r="IGQ1" s="404"/>
      <c r="IGR1" s="404"/>
      <c r="IGS1" s="404"/>
      <c r="IGT1" s="404"/>
      <c r="IGU1" s="404"/>
      <c r="IGV1" s="405"/>
      <c r="IGW1" s="408" t="s">
        <v>41</v>
      </c>
      <c r="IGX1" s="404"/>
      <c r="IGY1" s="404"/>
      <c r="IGZ1" s="404"/>
      <c r="IHA1" s="404"/>
      <c r="IHB1" s="404"/>
      <c r="IHC1" s="404"/>
      <c r="IHD1" s="405"/>
      <c r="IHE1" s="408" t="s">
        <v>41</v>
      </c>
      <c r="IHF1" s="404"/>
      <c r="IHG1" s="404"/>
      <c r="IHH1" s="404"/>
      <c r="IHI1" s="404"/>
      <c r="IHJ1" s="404"/>
      <c r="IHK1" s="404"/>
      <c r="IHL1" s="405"/>
      <c r="IHM1" s="408" t="s">
        <v>41</v>
      </c>
      <c r="IHN1" s="404"/>
      <c r="IHO1" s="404"/>
      <c r="IHP1" s="404"/>
      <c r="IHQ1" s="404"/>
      <c r="IHR1" s="404"/>
      <c r="IHS1" s="404"/>
      <c r="IHT1" s="405"/>
      <c r="IHU1" s="408" t="s">
        <v>41</v>
      </c>
      <c r="IHV1" s="404"/>
      <c r="IHW1" s="404"/>
      <c r="IHX1" s="404"/>
      <c r="IHY1" s="404"/>
      <c r="IHZ1" s="404"/>
      <c r="IIA1" s="404"/>
      <c r="IIB1" s="405"/>
      <c r="IIC1" s="408" t="s">
        <v>41</v>
      </c>
      <c r="IID1" s="404"/>
      <c r="IIE1" s="404"/>
      <c r="IIF1" s="404"/>
      <c r="IIG1" s="404"/>
      <c r="IIH1" s="404"/>
      <c r="III1" s="404"/>
      <c r="IIJ1" s="405"/>
      <c r="IIK1" s="408" t="s">
        <v>41</v>
      </c>
      <c r="IIL1" s="404"/>
      <c r="IIM1" s="404"/>
      <c r="IIN1" s="404"/>
      <c r="IIO1" s="404"/>
      <c r="IIP1" s="404"/>
      <c r="IIQ1" s="404"/>
      <c r="IIR1" s="405"/>
      <c r="IIS1" s="408" t="s">
        <v>41</v>
      </c>
      <c r="IIT1" s="404"/>
      <c r="IIU1" s="404"/>
      <c r="IIV1" s="404"/>
      <c r="IIW1" s="404"/>
      <c r="IIX1" s="404"/>
      <c r="IIY1" s="404"/>
      <c r="IIZ1" s="405"/>
      <c r="IJA1" s="408" t="s">
        <v>41</v>
      </c>
      <c r="IJB1" s="404"/>
      <c r="IJC1" s="404"/>
      <c r="IJD1" s="404"/>
      <c r="IJE1" s="404"/>
      <c r="IJF1" s="404"/>
      <c r="IJG1" s="404"/>
      <c r="IJH1" s="405"/>
      <c r="IJI1" s="408" t="s">
        <v>41</v>
      </c>
      <c r="IJJ1" s="404"/>
      <c r="IJK1" s="404"/>
      <c r="IJL1" s="404"/>
      <c r="IJM1" s="404"/>
      <c r="IJN1" s="404"/>
      <c r="IJO1" s="404"/>
      <c r="IJP1" s="405"/>
      <c r="IJQ1" s="408" t="s">
        <v>41</v>
      </c>
      <c r="IJR1" s="404"/>
      <c r="IJS1" s="404"/>
      <c r="IJT1" s="404"/>
      <c r="IJU1" s="404"/>
      <c r="IJV1" s="404"/>
      <c r="IJW1" s="404"/>
      <c r="IJX1" s="405"/>
      <c r="IJY1" s="408" t="s">
        <v>41</v>
      </c>
      <c r="IJZ1" s="404"/>
      <c r="IKA1" s="404"/>
      <c r="IKB1" s="404"/>
      <c r="IKC1" s="404"/>
      <c r="IKD1" s="404"/>
      <c r="IKE1" s="404"/>
      <c r="IKF1" s="405"/>
      <c r="IKG1" s="408" t="s">
        <v>41</v>
      </c>
      <c r="IKH1" s="404"/>
      <c r="IKI1" s="404"/>
      <c r="IKJ1" s="404"/>
      <c r="IKK1" s="404"/>
      <c r="IKL1" s="404"/>
      <c r="IKM1" s="404"/>
      <c r="IKN1" s="405"/>
      <c r="IKO1" s="408" t="s">
        <v>41</v>
      </c>
      <c r="IKP1" s="404"/>
      <c r="IKQ1" s="404"/>
      <c r="IKR1" s="404"/>
      <c r="IKS1" s="404"/>
      <c r="IKT1" s="404"/>
      <c r="IKU1" s="404"/>
      <c r="IKV1" s="405"/>
      <c r="IKW1" s="408" t="s">
        <v>41</v>
      </c>
      <c r="IKX1" s="404"/>
      <c r="IKY1" s="404"/>
      <c r="IKZ1" s="404"/>
      <c r="ILA1" s="404"/>
      <c r="ILB1" s="404"/>
      <c r="ILC1" s="404"/>
      <c r="ILD1" s="405"/>
      <c r="ILE1" s="408" t="s">
        <v>41</v>
      </c>
      <c r="ILF1" s="404"/>
      <c r="ILG1" s="404"/>
      <c r="ILH1" s="404"/>
      <c r="ILI1" s="404"/>
      <c r="ILJ1" s="404"/>
      <c r="ILK1" s="404"/>
      <c r="ILL1" s="405"/>
      <c r="ILM1" s="408" t="s">
        <v>41</v>
      </c>
      <c r="ILN1" s="404"/>
      <c r="ILO1" s="404"/>
      <c r="ILP1" s="404"/>
      <c r="ILQ1" s="404"/>
      <c r="ILR1" s="404"/>
      <c r="ILS1" s="404"/>
      <c r="ILT1" s="405"/>
      <c r="ILU1" s="408" t="s">
        <v>41</v>
      </c>
      <c r="ILV1" s="404"/>
      <c r="ILW1" s="404"/>
      <c r="ILX1" s="404"/>
      <c r="ILY1" s="404"/>
      <c r="ILZ1" s="404"/>
      <c r="IMA1" s="404"/>
      <c r="IMB1" s="405"/>
      <c r="IMC1" s="408" t="s">
        <v>41</v>
      </c>
      <c r="IMD1" s="404"/>
      <c r="IME1" s="404"/>
      <c r="IMF1" s="404"/>
      <c r="IMG1" s="404"/>
      <c r="IMH1" s="404"/>
      <c r="IMI1" s="404"/>
      <c r="IMJ1" s="405"/>
      <c r="IMK1" s="408" t="s">
        <v>41</v>
      </c>
      <c r="IML1" s="404"/>
      <c r="IMM1" s="404"/>
      <c r="IMN1" s="404"/>
      <c r="IMO1" s="404"/>
      <c r="IMP1" s="404"/>
      <c r="IMQ1" s="404"/>
      <c r="IMR1" s="405"/>
      <c r="IMS1" s="408" t="s">
        <v>41</v>
      </c>
      <c r="IMT1" s="404"/>
      <c r="IMU1" s="404"/>
      <c r="IMV1" s="404"/>
      <c r="IMW1" s="404"/>
      <c r="IMX1" s="404"/>
      <c r="IMY1" s="404"/>
      <c r="IMZ1" s="405"/>
      <c r="INA1" s="408" t="s">
        <v>41</v>
      </c>
      <c r="INB1" s="404"/>
      <c r="INC1" s="404"/>
      <c r="IND1" s="404"/>
      <c r="INE1" s="404"/>
      <c r="INF1" s="404"/>
      <c r="ING1" s="404"/>
      <c r="INH1" s="405"/>
      <c r="INI1" s="408" t="s">
        <v>41</v>
      </c>
      <c r="INJ1" s="404"/>
      <c r="INK1" s="404"/>
      <c r="INL1" s="404"/>
      <c r="INM1" s="404"/>
      <c r="INN1" s="404"/>
      <c r="INO1" s="404"/>
      <c r="INP1" s="405"/>
      <c r="INQ1" s="408" t="s">
        <v>41</v>
      </c>
      <c r="INR1" s="404"/>
      <c r="INS1" s="404"/>
      <c r="INT1" s="404"/>
      <c r="INU1" s="404"/>
      <c r="INV1" s="404"/>
      <c r="INW1" s="404"/>
      <c r="INX1" s="405"/>
      <c r="INY1" s="408" t="s">
        <v>41</v>
      </c>
      <c r="INZ1" s="404"/>
      <c r="IOA1" s="404"/>
      <c r="IOB1" s="404"/>
      <c r="IOC1" s="404"/>
      <c r="IOD1" s="404"/>
      <c r="IOE1" s="404"/>
      <c r="IOF1" s="405"/>
      <c r="IOG1" s="408" t="s">
        <v>41</v>
      </c>
      <c r="IOH1" s="404"/>
      <c r="IOI1" s="404"/>
      <c r="IOJ1" s="404"/>
      <c r="IOK1" s="404"/>
      <c r="IOL1" s="404"/>
      <c r="IOM1" s="404"/>
      <c r="ION1" s="405"/>
      <c r="IOO1" s="408" t="s">
        <v>41</v>
      </c>
      <c r="IOP1" s="404"/>
      <c r="IOQ1" s="404"/>
      <c r="IOR1" s="404"/>
      <c r="IOS1" s="404"/>
      <c r="IOT1" s="404"/>
      <c r="IOU1" s="404"/>
      <c r="IOV1" s="405"/>
      <c r="IOW1" s="408" t="s">
        <v>41</v>
      </c>
      <c r="IOX1" s="404"/>
      <c r="IOY1" s="404"/>
      <c r="IOZ1" s="404"/>
      <c r="IPA1" s="404"/>
      <c r="IPB1" s="404"/>
      <c r="IPC1" s="404"/>
      <c r="IPD1" s="405"/>
      <c r="IPE1" s="408" t="s">
        <v>41</v>
      </c>
      <c r="IPF1" s="404"/>
      <c r="IPG1" s="404"/>
      <c r="IPH1" s="404"/>
      <c r="IPI1" s="404"/>
      <c r="IPJ1" s="404"/>
      <c r="IPK1" s="404"/>
      <c r="IPL1" s="405"/>
      <c r="IPM1" s="408" t="s">
        <v>41</v>
      </c>
      <c r="IPN1" s="404"/>
      <c r="IPO1" s="404"/>
      <c r="IPP1" s="404"/>
      <c r="IPQ1" s="404"/>
      <c r="IPR1" s="404"/>
      <c r="IPS1" s="404"/>
      <c r="IPT1" s="405"/>
      <c r="IPU1" s="408" t="s">
        <v>41</v>
      </c>
      <c r="IPV1" s="404"/>
      <c r="IPW1" s="404"/>
      <c r="IPX1" s="404"/>
      <c r="IPY1" s="404"/>
      <c r="IPZ1" s="404"/>
      <c r="IQA1" s="404"/>
      <c r="IQB1" s="405"/>
      <c r="IQC1" s="408" t="s">
        <v>41</v>
      </c>
      <c r="IQD1" s="404"/>
      <c r="IQE1" s="404"/>
      <c r="IQF1" s="404"/>
      <c r="IQG1" s="404"/>
      <c r="IQH1" s="404"/>
      <c r="IQI1" s="404"/>
      <c r="IQJ1" s="405"/>
      <c r="IQK1" s="408" t="s">
        <v>41</v>
      </c>
      <c r="IQL1" s="404"/>
      <c r="IQM1" s="404"/>
      <c r="IQN1" s="404"/>
      <c r="IQO1" s="404"/>
      <c r="IQP1" s="404"/>
      <c r="IQQ1" s="404"/>
      <c r="IQR1" s="405"/>
      <c r="IQS1" s="408" t="s">
        <v>41</v>
      </c>
      <c r="IQT1" s="404"/>
      <c r="IQU1" s="404"/>
      <c r="IQV1" s="404"/>
      <c r="IQW1" s="404"/>
      <c r="IQX1" s="404"/>
      <c r="IQY1" s="404"/>
      <c r="IQZ1" s="405"/>
      <c r="IRA1" s="408" t="s">
        <v>41</v>
      </c>
      <c r="IRB1" s="404"/>
      <c r="IRC1" s="404"/>
      <c r="IRD1" s="404"/>
      <c r="IRE1" s="404"/>
      <c r="IRF1" s="404"/>
      <c r="IRG1" s="404"/>
      <c r="IRH1" s="405"/>
      <c r="IRI1" s="408" t="s">
        <v>41</v>
      </c>
      <c r="IRJ1" s="404"/>
      <c r="IRK1" s="404"/>
      <c r="IRL1" s="404"/>
      <c r="IRM1" s="404"/>
      <c r="IRN1" s="404"/>
      <c r="IRO1" s="404"/>
      <c r="IRP1" s="405"/>
      <c r="IRQ1" s="408" t="s">
        <v>41</v>
      </c>
      <c r="IRR1" s="404"/>
      <c r="IRS1" s="404"/>
      <c r="IRT1" s="404"/>
      <c r="IRU1" s="404"/>
      <c r="IRV1" s="404"/>
      <c r="IRW1" s="404"/>
      <c r="IRX1" s="405"/>
      <c r="IRY1" s="408" t="s">
        <v>41</v>
      </c>
      <c r="IRZ1" s="404"/>
      <c r="ISA1" s="404"/>
      <c r="ISB1" s="404"/>
      <c r="ISC1" s="404"/>
      <c r="ISD1" s="404"/>
      <c r="ISE1" s="404"/>
      <c r="ISF1" s="405"/>
      <c r="ISG1" s="408" t="s">
        <v>41</v>
      </c>
      <c r="ISH1" s="404"/>
      <c r="ISI1" s="404"/>
      <c r="ISJ1" s="404"/>
      <c r="ISK1" s="404"/>
      <c r="ISL1" s="404"/>
      <c r="ISM1" s="404"/>
      <c r="ISN1" s="405"/>
      <c r="ISO1" s="408" t="s">
        <v>41</v>
      </c>
      <c r="ISP1" s="404"/>
      <c r="ISQ1" s="404"/>
      <c r="ISR1" s="404"/>
      <c r="ISS1" s="404"/>
      <c r="IST1" s="404"/>
      <c r="ISU1" s="404"/>
      <c r="ISV1" s="405"/>
      <c r="ISW1" s="408" t="s">
        <v>41</v>
      </c>
      <c r="ISX1" s="404"/>
      <c r="ISY1" s="404"/>
      <c r="ISZ1" s="404"/>
      <c r="ITA1" s="404"/>
      <c r="ITB1" s="404"/>
      <c r="ITC1" s="404"/>
      <c r="ITD1" s="405"/>
      <c r="ITE1" s="408" t="s">
        <v>41</v>
      </c>
      <c r="ITF1" s="404"/>
      <c r="ITG1" s="404"/>
      <c r="ITH1" s="404"/>
      <c r="ITI1" s="404"/>
      <c r="ITJ1" s="404"/>
      <c r="ITK1" s="404"/>
      <c r="ITL1" s="405"/>
      <c r="ITM1" s="408" t="s">
        <v>41</v>
      </c>
      <c r="ITN1" s="404"/>
      <c r="ITO1" s="404"/>
      <c r="ITP1" s="404"/>
      <c r="ITQ1" s="404"/>
      <c r="ITR1" s="404"/>
      <c r="ITS1" s="404"/>
      <c r="ITT1" s="405"/>
      <c r="ITU1" s="408" t="s">
        <v>41</v>
      </c>
      <c r="ITV1" s="404"/>
      <c r="ITW1" s="404"/>
      <c r="ITX1" s="404"/>
      <c r="ITY1" s="404"/>
      <c r="ITZ1" s="404"/>
      <c r="IUA1" s="404"/>
      <c r="IUB1" s="405"/>
      <c r="IUC1" s="408" t="s">
        <v>41</v>
      </c>
      <c r="IUD1" s="404"/>
      <c r="IUE1" s="404"/>
      <c r="IUF1" s="404"/>
      <c r="IUG1" s="404"/>
      <c r="IUH1" s="404"/>
      <c r="IUI1" s="404"/>
      <c r="IUJ1" s="405"/>
      <c r="IUK1" s="408" t="s">
        <v>41</v>
      </c>
      <c r="IUL1" s="404"/>
      <c r="IUM1" s="404"/>
      <c r="IUN1" s="404"/>
      <c r="IUO1" s="404"/>
      <c r="IUP1" s="404"/>
      <c r="IUQ1" s="404"/>
      <c r="IUR1" s="405"/>
      <c r="IUS1" s="408" t="s">
        <v>41</v>
      </c>
      <c r="IUT1" s="404"/>
      <c r="IUU1" s="404"/>
      <c r="IUV1" s="404"/>
      <c r="IUW1" s="404"/>
      <c r="IUX1" s="404"/>
      <c r="IUY1" s="404"/>
      <c r="IUZ1" s="405"/>
      <c r="IVA1" s="408" t="s">
        <v>41</v>
      </c>
      <c r="IVB1" s="404"/>
      <c r="IVC1" s="404"/>
      <c r="IVD1" s="404"/>
      <c r="IVE1" s="404"/>
      <c r="IVF1" s="404"/>
      <c r="IVG1" s="404"/>
      <c r="IVH1" s="405"/>
      <c r="IVI1" s="408" t="s">
        <v>41</v>
      </c>
      <c r="IVJ1" s="404"/>
      <c r="IVK1" s="404"/>
      <c r="IVL1" s="404"/>
      <c r="IVM1" s="404"/>
      <c r="IVN1" s="404"/>
      <c r="IVO1" s="404"/>
      <c r="IVP1" s="405"/>
      <c r="IVQ1" s="408" t="s">
        <v>41</v>
      </c>
      <c r="IVR1" s="404"/>
      <c r="IVS1" s="404"/>
      <c r="IVT1" s="404"/>
      <c r="IVU1" s="404"/>
      <c r="IVV1" s="404"/>
      <c r="IVW1" s="404"/>
      <c r="IVX1" s="405"/>
      <c r="IVY1" s="408" t="s">
        <v>41</v>
      </c>
      <c r="IVZ1" s="404"/>
      <c r="IWA1" s="404"/>
      <c r="IWB1" s="404"/>
      <c r="IWC1" s="404"/>
      <c r="IWD1" s="404"/>
      <c r="IWE1" s="404"/>
      <c r="IWF1" s="405"/>
      <c r="IWG1" s="408" t="s">
        <v>41</v>
      </c>
      <c r="IWH1" s="404"/>
      <c r="IWI1" s="404"/>
      <c r="IWJ1" s="404"/>
      <c r="IWK1" s="404"/>
      <c r="IWL1" s="404"/>
      <c r="IWM1" s="404"/>
      <c r="IWN1" s="405"/>
      <c r="IWO1" s="408" t="s">
        <v>41</v>
      </c>
      <c r="IWP1" s="404"/>
      <c r="IWQ1" s="404"/>
      <c r="IWR1" s="404"/>
      <c r="IWS1" s="404"/>
      <c r="IWT1" s="404"/>
      <c r="IWU1" s="404"/>
      <c r="IWV1" s="405"/>
      <c r="IWW1" s="408" t="s">
        <v>41</v>
      </c>
      <c r="IWX1" s="404"/>
      <c r="IWY1" s="404"/>
      <c r="IWZ1" s="404"/>
      <c r="IXA1" s="404"/>
      <c r="IXB1" s="404"/>
      <c r="IXC1" s="404"/>
      <c r="IXD1" s="405"/>
      <c r="IXE1" s="408" t="s">
        <v>41</v>
      </c>
      <c r="IXF1" s="404"/>
      <c r="IXG1" s="404"/>
      <c r="IXH1" s="404"/>
      <c r="IXI1" s="404"/>
      <c r="IXJ1" s="404"/>
      <c r="IXK1" s="404"/>
      <c r="IXL1" s="405"/>
      <c r="IXM1" s="408" t="s">
        <v>41</v>
      </c>
      <c r="IXN1" s="404"/>
      <c r="IXO1" s="404"/>
      <c r="IXP1" s="404"/>
      <c r="IXQ1" s="404"/>
      <c r="IXR1" s="404"/>
      <c r="IXS1" s="404"/>
      <c r="IXT1" s="405"/>
      <c r="IXU1" s="408" t="s">
        <v>41</v>
      </c>
      <c r="IXV1" s="404"/>
      <c r="IXW1" s="404"/>
      <c r="IXX1" s="404"/>
      <c r="IXY1" s="404"/>
      <c r="IXZ1" s="404"/>
      <c r="IYA1" s="404"/>
      <c r="IYB1" s="405"/>
      <c r="IYC1" s="408" t="s">
        <v>41</v>
      </c>
      <c r="IYD1" s="404"/>
      <c r="IYE1" s="404"/>
      <c r="IYF1" s="404"/>
      <c r="IYG1" s="404"/>
      <c r="IYH1" s="404"/>
      <c r="IYI1" s="404"/>
      <c r="IYJ1" s="405"/>
      <c r="IYK1" s="408" t="s">
        <v>41</v>
      </c>
      <c r="IYL1" s="404"/>
      <c r="IYM1" s="404"/>
      <c r="IYN1" s="404"/>
      <c r="IYO1" s="404"/>
      <c r="IYP1" s="404"/>
      <c r="IYQ1" s="404"/>
      <c r="IYR1" s="405"/>
      <c r="IYS1" s="408" t="s">
        <v>41</v>
      </c>
      <c r="IYT1" s="404"/>
      <c r="IYU1" s="404"/>
      <c r="IYV1" s="404"/>
      <c r="IYW1" s="404"/>
      <c r="IYX1" s="404"/>
      <c r="IYY1" s="404"/>
      <c r="IYZ1" s="405"/>
      <c r="IZA1" s="408" t="s">
        <v>41</v>
      </c>
      <c r="IZB1" s="404"/>
      <c r="IZC1" s="404"/>
      <c r="IZD1" s="404"/>
      <c r="IZE1" s="404"/>
      <c r="IZF1" s="404"/>
      <c r="IZG1" s="404"/>
      <c r="IZH1" s="405"/>
      <c r="IZI1" s="408" t="s">
        <v>41</v>
      </c>
      <c r="IZJ1" s="404"/>
      <c r="IZK1" s="404"/>
      <c r="IZL1" s="404"/>
      <c r="IZM1" s="404"/>
      <c r="IZN1" s="404"/>
      <c r="IZO1" s="404"/>
      <c r="IZP1" s="405"/>
      <c r="IZQ1" s="408" t="s">
        <v>41</v>
      </c>
      <c r="IZR1" s="404"/>
      <c r="IZS1" s="404"/>
      <c r="IZT1" s="404"/>
      <c r="IZU1" s="404"/>
      <c r="IZV1" s="404"/>
      <c r="IZW1" s="404"/>
      <c r="IZX1" s="405"/>
      <c r="IZY1" s="408" t="s">
        <v>41</v>
      </c>
      <c r="IZZ1" s="404"/>
      <c r="JAA1" s="404"/>
      <c r="JAB1" s="404"/>
      <c r="JAC1" s="404"/>
      <c r="JAD1" s="404"/>
      <c r="JAE1" s="404"/>
      <c r="JAF1" s="405"/>
      <c r="JAG1" s="408" t="s">
        <v>41</v>
      </c>
      <c r="JAH1" s="404"/>
      <c r="JAI1" s="404"/>
      <c r="JAJ1" s="404"/>
      <c r="JAK1" s="404"/>
      <c r="JAL1" s="404"/>
      <c r="JAM1" s="404"/>
      <c r="JAN1" s="405"/>
      <c r="JAO1" s="408" t="s">
        <v>41</v>
      </c>
      <c r="JAP1" s="404"/>
      <c r="JAQ1" s="404"/>
      <c r="JAR1" s="404"/>
      <c r="JAS1" s="404"/>
      <c r="JAT1" s="404"/>
      <c r="JAU1" s="404"/>
      <c r="JAV1" s="405"/>
      <c r="JAW1" s="408" t="s">
        <v>41</v>
      </c>
      <c r="JAX1" s="404"/>
      <c r="JAY1" s="404"/>
      <c r="JAZ1" s="404"/>
      <c r="JBA1" s="404"/>
      <c r="JBB1" s="404"/>
      <c r="JBC1" s="404"/>
      <c r="JBD1" s="405"/>
      <c r="JBE1" s="408" t="s">
        <v>41</v>
      </c>
      <c r="JBF1" s="404"/>
      <c r="JBG1" s="404"/>
      <c r="JBH1" s="404"/>
      <c r="JBI1" s="404"/>
      <c r="JBJ1" s="404"/>
      <c r="JBK1" s="404"/>
      <c r="JBL1" s="405"/>
      <c r="JBM1" s="408" t="s">
        <v>41</v>
      </c>
      <c r="JBN1" s="404"/>
      <c r="JBO1" s="404"/>
      <c r="JBP1" s="404"/>
      <c r="JBQ1" s="404"/>
      <c r="JBR1" s="404"/>
      <c r="JBS1" s="404"/>
      <c r="JBT1" s="405"/>
      <c r="JBU1" s="408" t="s">
        <v>41</v>
      </c>
      <c r="JBV1" s="404"/>
      <c r="JBW1" s="404"/>
      <c r="JBX1" s="404"/>
      <c r="JBY1" s="404"/>
      <c r="JBZ1" s="404"/>
      <c r="JCA1" s="404"/>
      <c r="JCB1" s="405"/>
      <c r="JCC1" s="408" t="s">
        <v>41</v>
      </c>
      <c r="JCD1" s="404"/>
      <c r="JCE1" s="404"/>
      <c r="JCF1" s="404"/>
      <c r="JCG1" s="404"/>
      <c r="JCH1" s="404"/>
      <c r="JCI1" s="404"/>
      <c r="JCJ1" s="405"/>
      <c r="JCK1" s="408" t="s">
        <v>41</v>
      </c>
      <c r="JCL1" s="404"/>
      <c r="JCM1" s="404"/>
      <c r="JCN1" s="404"/>
      <c r="JCO1" s="404"/>
      <c r="JCP1" s="404"/>
      <c r="JCQ1" s="404"/>
      <c r="JCR1" s="405"/>
      <c r="JCS1" s="408" t="s">
        <v>41</v>
      </c>
      <c r="JCT1" s="404"/>
      <c r="JCU1" s="404"/>
      <c r="JCV1" s="404"/>
      <c r="JCW1" s="404"/>
      <c r="JCX1" s="404"/>
      <c r="JCY1" s="404"/>
      <c r="JCZ1" s="405"/>
      <c r="JDA1" s="408" t="s">
        <v>41</v>
      </c>
      <c r="JDB1" s="404"/>
      <c r="JDC1" s="404"/>
      <c r="JDD1" s="404"/>
      <c r="JDE1" s="404"/>
      <c r="JDF1" s="404"/>
      <c r="JDG1" s="404"/>
      <c r="JDH1" s="405"/>
      <c r="JDI1" s="408" t="s">
        <v>41</v>
      </c>
      <c r="JDJ1" s="404"/>
      <c r="JDK1" s="404"/>
      <c r="JDL1" s="404"/>
      <c r="JDM1" s="404"/>
      <c r="JDN1" s="404"/>
      <c r="JDO1" s="404"/>
      <c r="JDP1" s="405"/>
      <c r="JDQ1" s="408" t="s">
        <v>41</v>
      </c>
      <c r="JDR1" s="404"/>
      <c r="JDS1" s="404"/>
      <c r="JDT1" s="404"/>
      <c r="JDU1" s="404"/>
      <c r="JDV1" s="404"/>
      <c r="JDW1" s="404"/>
      <c r="JDX1" s="405"/>
      <c r="JDY1" s="408" t="s">
        <v>41</v>
      </c>
      <c r="JDZ1" s="404"/>
      <c r="JEA1" s="404"/>
      <c r="JEB1" s="404"/>
      <c r="JEC1" s="404"/>
      <c r="JED1" s="404"/>
      <c r="JEE1" s="404"/>
      <c r="JEF1" s="405"/>
      <c r="JEG1" s="408" t="s">
        <v>41</v>
      </c>
      <c r="JEH1" s="404"/>
      <c r="JEI1" s="404"/>
      <c r="JEJ1" s="404"/>
      <c r="JEK1" s="404"/>
      <c r="JEL1" s="404"/>
      <c r="JEM1" s="404"/>
      <c r="JEN1" s="405"/>
      <c r="JEO1" s="408" t="s">
        <v>41</v>
      </c>
      <c r="JEP1" s="404"/>
      <c r="JEQ1" s="404"/>
      <c r="JER1" s="404"/>
      <c r="JES1" s="404"/>
      <c r="JET1" s="404"/>
      <c r="JEU1" s="404"/>
      <c r="JEV1" s="405"/>
      <c r="JEW1" s="408" t="s">
        <v>41</v>
      </c>
      <c r="JEX1" s="404"/>
      <c r="JEY1" s="404"/>
      <c r="JEZ1" s="404"/>
      <c r="JFA1" s="404"/>
      <c r="JFB1" s="404"/>
      <c r="JFC1" s="404"/>
      <c r="JFD1" s="405"/>
      <c r="JFE1" s="408" t="s">
        <v>41</v>
      </c>
      <c r="JFF1" s="404"/>
      <c r="JFG1" s="404"/>
      <c r="JFH1" s="404"/>
      <c r="JFI1" s="404"/>
      <c r="JFJ1" s="404"/>
      <c r="JFK1" s="404"/>
      <c r="JFL1" s="405"/>
      <c r="JFM1" s="408" t="s">
        <v>41</v>
      </c>
      <c r="JFN1" s="404"/>
      <c r="JFO1" s="404"/>
      <c r="JFP1" s="404"/>
      <c r="JFQ1" s="404"/>
      <c r="JFR1" s="404"/>
      <c r="JFS1" s="404"/>
      <c r="JFT1" s="405"/>
      <c r="JFU1" s="408" t="s">
        <v>41</v>
      </c>
      <c r="JFV1" s="404"/>
      <c r="JFW1" s="404"/>
      <c r="JFX1" s="404"/>
      <c r="JFY1" s="404"/>
      <c r="JFZ1" s="404"/>
      <c r="JGA1" s="404"/>
      <c r="JGB1" s="405"/>
      <c r="JGC1" s="408" t="s">
        <v>41</v>
      </c>
      <c r="JGD1" s="404"/>
      <c r="JGE1" s="404"/>
      <c r="JGF1" s="404"/>
      <c r="JGG1" s="404"/>
      <c r="JGH1" s="404"/>
      <c r="JGI1" s="404"/>
      <c r="JGJ1" s="405"/>
      <c r="JGK1" s="408" t="s">
        <v>41</v>
      </c>
      <c r="JGL1" s="404"/>
      <c r="JGM1" s="404"/>
      <c r="JGN1" s="404"/>
      <c r="JGO1" s="404"/>
      <c r="JGP1" s="404"/>
      <c r="JGQ1" s="404"/>
      <c r="JGR1" s="405"/>
      <c r="JGS1" s="408" t="s">
        <v>41</v>
      </c>
      <c r="JGT1" s="404"/>
      <c r="JGU1" s="404"/>
      <c r="JGV1" s="404"/>
      <c r="JGW1" s="404"/>
      <c r="JGX1" s="404"/>
      <c r="JGY1" s="404"/>
      <c r="JGZ1" s="405"/>
      <c r="JHA1" s="408" t="s">
        <v>41</v>
      </c>
      <c r="JHB1" s="404"/>
      <c r="JHC1" s="404"/>
      <c r="JHD1" s="404"/>
      <c r="JHE1" s="404"/>
      <c r="JHF1" s="404"/>
      <c r="JHG1" s="404"/>
      <c r="JHH1" s="405"/>
      <c r="JHI1" s="408" t="s">
        <v>41</v>
      </c>
      <c r="JHJ1" s="404"/>
      <c r="JHK1" s="404"/>
      <c r="JHL1" s="404"/>
      <c r="JHM1" s="404"/>
      <c r="JHN1" s="404"/>
      <c r="JHO1" s="404"/>
      <c r="JHP1" s="405"/>
      <c r="JHQ1" s="408" t="s">
        <v>41</v>
      </c>
      <c r="JHR1" s="404"/>
      <c r="JHS1" s="404"/>
      <c r="JHT1" s="404"/>
      <c r="JHU1" s="404"/>
      <c r="JHV1" s="404"/>
      <c r="JHW1" s="404"/>
      <c r="JHX1" s="405"/>
      <c r="JHY1" s="408" t="s">
        <v>41</v>
      </c>
      <c r="JHZ1" s="404"/>
      <c r="JIA1" s="404"/>
      <c r="JIB1" s="404"/>
      <c r="JIC1" s="404"/>
      <c r="JID1" s="404"/>
      <c r="JIE1" s="404"/>
      <c r="JIF1" s="405"/>
      <c r="JIG1" s="408" t="s">
        <v>41</v>
      </c>
      <c r="JIH1" s="404"/>
      <c r="JII1" s="404"/>
      <c r="JIJ1" s="404"/>
      <c r="JIK1" s="404"/>
      <c r="JIL1" s="404"/>
      <c r="JIM1" s="404"/>
      <c r="JIN1" s="405"/>
      <c r="JIO1" s="408" t="s">
        <v>41</v>
      </c>
      <c r="JIP1" s="404"/>
      <c r="JIQ1" s="404"/>
      <c r="JIR1" s="404"/>
      <c r="JIS1" s="404"/>
      <c r="JIT1" s="404"/>
      <c r="JIU1" s="404"/>
      <c r="JIV1" s="405"/>
      <c r="JIW1" s="408" t="s">
        <v>41</v>
      </c>
      <c r="JIX1" s="404"/>
      <c r="JIY1" s="404"/>
      <c r="JIZ1" s="404"/>
      <c r="JJA1" s="404"/>
      <c r="JJB1" s="404"/>
      <c r="JJC1" s="404"/>
      <c r="JJD1" s="405"/>
      <c r="JJE1" s="408" t="s">
        <v>41</v>
      </c>
      <c r="JJF1" s="404"/>
      <c r="JJG1" s="404"/>
      <c r="JJH1" s="404"/>
      <c r="JJI1" s="404"/>
      <c r="JJJ1" s="404"/>
      <c r="JJK1" s="404"/>
      <c r="JJL1" s="405"/>
      <c r="JJM1" s="408" t="s">
        <v>41</v>
      </c>
      <c r="JJN1" s="404"/>
      <c r="JJO1" s="404"/>
      <c r="JJP1" s="404"/>
      <c r="JJQ1" s="404"/>
      <c r="JJR1" s="404"/>
      <c r="JJS1" s="404"/>
      <c r="JJT1" s="405"/>
      <c r="JJU1" s="408" t="s">
        <v>41</v>
      </c>
      <c r="JJV1" s="404"/>
      <c r="JJW1" s="404"/>
      <c r="JJX1" s="404"/>
      <c r="JJY1" s="404"/>
      <c r="JJZ1" s="404"/>
      <c r="JKA1" s="404"/>
      <c r="JKB1" s="405"/>
      <c r="JKC1" s="408" t="s">
        <v>41</v>
      </c>
      <c r="JKD1" s="404"/>
      <c r="JKE1" s="404"/>
      <c r="JKF1" s="404"/>
      <c r="JKG1" s="404"/>
      <c r="JKH1" s="404"/>
      <c r="JKI1" s="404"/>
      <c r="JKJ1" s="405"/>
      <c r="JKK1" s="408" t="s">
        <v>41</v>
      </c>
      <c r="JKL1" s="404"/>
      <c r="JKM1" s="404"/>
      <c r="JKN1" s="404"/>
      <c r="JKO1" s="404"/>
      <c r="JKP1" s="404"/>
      <c r="JKQ1" s="404"/>
      <c r="JKR1" s="405"/>
      <c r="JKS1" s="408" t="s">
        <v>41</v>
      </c>
      <c r="JKT1" s="404"/>
      <c r="JKU1" s="404"/>
      <c r="JKV1" s="404"/>
      <c r="JKW1" s="404"/>
      <c r="JKX1" s="404"/>
      <c r="JKY1" s="404"/>
      <c r="JKZ1" s="405"/>
      <c r="JLA1" s="408" t="s">
        <v>41</v>
      </c>
      <c r="JLB1" s="404"/>
      <c r="JLC1" s="404"/>
      <c r="JLD1" s="404"/>
      <c r="JLE1" s="404"/>
      <c r="JLF1" s="404"/>
      <c r="JLG1" s="404"/>
      <c r="JLH1" s="405"/>
      <c r="JLI1" s="408" t="s">
        <v>41</v>
      </c>
      <c r="JLJ1" s="404"/>
      <c r="JLK1" s="404"/>
      <c r="JLL1" s="404"/>
      <c r="JLM1" s="404"/>
      <c r="JLN1" s="404"/>
      <c r="JLO1" s="404"/>
      <c r="JLP1" s="405"/>
      <c r="JLQ1" s="408" t="s">
        <v>41</v>
      </c>
      <c r="JLR1" s="404"/>
      <c r="JLS1" s="404"/>
      <c r="JLT1" s="404"/>
      <c r="JLU1" s="404"/>
      <c r="JLV1" s="404"/>
      <c r="JLW1" s="404"/>
      <c r="JLX1" s="405"/>
      <c r="JLY1" s="408" t="s">
        <v>41</v>
      </c>
      <c r="JLZ1" s="404"/>
      <c r="JMA1" s="404"/>
      <c r="JMB1" s="404"/>
      <c r="JMC1" s="404"/>
      <c r="JMD1" s="404"/>
      <c r="JME1" s="404"/>
      <c r="JMF1" s="405"/>
      <c r="JMG1" s="408" t="s">
        <v>41</v>
      </c>
      <c r="JMH1" s="404"/>
      <c r="JMI1" s="404"/>
      <c r="JMJ1" s="404"/>
      <c r="JMK1" s="404"/>
      <c r="JML1" s="404"/>
      <c r="JMM1" s="404"/>
      <c r="JMN1" s="405"/>
      <c r="JMO1" s="408" t="s">
        <v>41</v>
      </c>
      <c r="JMP1" s="404"/>
      <c r="JMQ1" s="404"/>
      <c r="JMR1" s="404"/>
      <c r="JMS1" s="404"/>
      <c r="JMT1" s="404"/>
      <c r="JMU1" s="404"/>
      <c r="JMV1" s="405"/>
      <c r="JMW1" s="408" t="s">
        <v>41</v>
      </c>
      <c r="JMX1" s="404"/>
      <c r="JMY1" s="404"/>
      <c r="JMZ1" s="404"/>
      <c r="JNA1" s="404"/>
      <c r="JNB1" s="404"/>
      <c r="JNC1" s="404"/>
      <c r="JND1" s="405"/>
      <c r="JNE1" s="408" t="s">
        <v>41</v>
      </c>
      <c r="JNF1" s="404"/>
      <c r="JNG1" s="404"/>
      <c r="JNH1" s="404"/>
      <c r="JNI1" s="404"/>
      <c r="JNJ1" s="404"/>
      <c r="JNK1" s="404"/>
      <c r="JNL1" s="405"/>
      <c r="JNM1" s="408" t="s">
        <v>41</v>
      </c>
      <c r="JNN1" s="404"/>
      <c r="JNO1" s="404"/>
      <c r="JNP1" s="404"/>
      <c r="JNQ1" s="404"/>
      <c r="JNR1" s="404"/>
      <c r="JNS1" s="404"/>
      <c r="JNT1" s="405"/>
      <c r="JNU1" s="408" t="s">
        <v>41</v>
      </c>
      <c r="JNV1" s="404"/>
      <c r="JNW1" s="404"/>
      <c r="JNX1" s="404"/>
      <c r="JNY1" s="404"/>
      <c r="JNZ1" s="404"/>
      <c r="JOA1" s="404"/>
      <c r="JOB1" s="405"/>
      <c r="JOC1" s="408" t="s">
        <v>41</v>
      </c>
      <c r="JOD1" s="404"/>
      <c r="JOE1" s="404"/>
      <c r="JOF1" s="404"/>
      <c r="JOG1" s="404"/>
      <c r="JOH1" s="404"/>
      <c r="JOI1" s="404"/>
      <c r="JOJ1" s="405"/>
      <c r="JOK1" s="408" t="s">
        <v>41</v>
      </c>
      <c r="JOL1" s="404"/>
      <c r="JOM1" s="404"/>
      <c r="JON1" s="404"/>
      <c r="JOO1" s="404"/>
      <c r="JOP1" s="404"/>
      <c r="JOQ1" s="404"/>
      <c r="JOR1" s="405"/>
      <c r="JOS1" s="408" t="s">
        <v>41</v>
      </c>
      <c r="JOT1" s="404"/>
      <c r="JOU1" s="404"/>
      <c r="JOV1" s="404"/>
      <c r="JOW1" s="404"/>
      <c r="JOX1" s="404"/>
      <c r="JOY1" s="404"/>
      <c r="JOZ1" s="405"/>
      <c r="JPA1" s="408" t="s">
        <v>41</v>
      </c>
      <c r="JPB1" s="404"/>
      <c r="JPC1" s="404"/>
      <c r="JPD1" s="404"/>
      <c r="JPE1" s="404"/>
      <c r="JPF1" s="404"/>
      <c r="JPG1" s="404"/>
      <c r="JPH1" s="405"/>
      <c r="JPI1" s="408" t="s">
        <v>41</v>
      </c>
      <c r="JPJ1" s="404"/>
      <c r="JPK1" s="404"/>
      <c r="JPL1" s="404"/>
      <c r="JPM1" s="404"/>
      <c r="JPN1" s="404"/>
      <c r="JPO1" s="404"/>
      <c r="JPP1" s="405"/>
      <c r="JPQ1" s="408" t="s">
        <v>41</v>
      </c>
      <c r="JPR1" s="404"/>
      <c r="JPS1" s="404"/>
      <c r="JPT1" s="404"/>
      <c r="JPU1" s="404"/>
      <c r="JPV1" s="404"/>
      <c r="JPW1" s="404"/>
      <c r="JPX1" s="405"/>
      <c r="JPY1" s="408" t="s">
        <v>41</v>
      </c>
      <c r="JPZ1" s="404"/>
      <c r="JQA1" s="404"/>
      <c r="JQB1" s="404"/>
      <c r="JQC1" s="404"/>
      <c r="JQD1" s="404"/>
      <c r="JQE1" s="404"/>
      <c r="JQF1" s="405"/>
      <c r="JQG1" s="408" t="s">
        <v>41</v>
      </c>
      <c r="JQH1" s="404"/>
      <c r="JQI1" s="404"/>
      <c r="JQJ1" s="404"/>
      <c r="JQK1" s="404"/>
      <c r="JQL1" s="404"/>
      <c r="JQM1" s="404"/>
      <c r="JQN1" s="405"/>
      <c r="JQO1" s="408" t="s">
        <v>41</v>
      </c>
      <c r="JQP1" s="404"/>
      <c r="JQQ1" s="404"/>
      <c r="JQR1" s="404"/>
      <c r="JQS1" s="404"/>
      <c r="JQT1" s="404"/>
      <c r="JQU1" s="404"/>
      <c r="JQV1" s="405"/>
      <c r="JQW1" s="408" t="s">
        <v>41</v>
      </c>
      <c r="JQX1" s="404"/>
      <c r="JQY1" s="404"/>
      <c r="JQZ1" s="404"/>
      <c r="JRA1" s="404"/>
      <c r="JRB1" s="404"/>
      <c r="JRC1" s="404"/>
      <c r="JRD1" s="405"/>
      <c r="JRE1" s="408" t="s">
        <v>41</v>
      </c>
      <c r="JRF1" s="404"/>
      <c r="JRG1" s="404"/>
      <c r="JRH1" s="404"/>
      <c r="JRI1" s="404"/>
      <c r="JRJ1" s="404"/>
      <c r="JRK1" s="404"/>
      <c r="JRL1" s="405"/>
      <c r="JRM1" s="408" t="s">
        <v>41</v>
      </c>
      <c r="JRN1" s="404"/>
      <c r="JRO1" s="404"/>
      <c r="JRP1" s="404"/>
      <c r="JRQ1" s="404"/>
      <c r="JRR1" s="404"/>
      <c r="JRS1" s="404"/>
      <c r="JRT1" s="405"/>
      <c r="JRU1" s="408" t="s">
        <v>41</v>
      </c>
      <c r="JRV1" s="404"/>
      <c r="JRW1" s="404"/>
      <c r="JRX1" s="404"/>
      <c r="JRY1" s="404"/>
      <c r="JRZ1" s="404"/>
      <c r="JSA1" s="404"/>
      <c r="JSB1" s="405"/>
      <c r="JSC1" s="408" t="s">
        <v>41</v>
      </c>
      <c r="JSD1" s="404"/>
      <c r="JSE1" s="404"/>
      <c r="JSF1" s="404"/>
      <c r="JSG1" s="404"/>
      <c r="JSH1" s="404"/>
      <c r="JSI1" s="404"/>
      <c r="JSJ1" s="405"/>
      <c r="JSK1" s="408" t="s">
        <v>41</v>
      </c>
      <c r="JSL1" s="404"/>
      <c r="JSM1" s="404"/>
      <c r="JSN1" s="404"/>
      <c r="JSO1" s="404"/>
      <c r="JSP1" s="404"/>
      <c r="JSQ1" s="404"/>
      <c r="JSR1" s="405"/>
      <c r="JSS1" s="408" t="s">
        <v>41</v>
      </c>
      <c r="JST1" s="404"/>
      <c r="JSU1" s="404"/>
      <c r="JSV1" s="404"/>
      <c r="JSW1" s="404"/>
      <c r="JSX1" s="404"/>
      <c r="JSY1" s="404"/>
      <c r="JSZ1" s="405"/>
      <c r="JTA1" s="408" t="s">
        <v>41</v>
      </c>
      <c r="JTB1" s="404"/>
      <c r="JTC1" s="404"/>
      <c r="JTD1" s="404"/>
      <c r="JTE1" s="404"/>
      <c r="JTF1" s="404"/>
      <c r="JTG1" s="404"/>
      <c r="JTH1" s="405"/>
      <c r="JTI1" s="408" t="s">
        <v>41</v>
      </c>
      <c r="JTJ1" s="404"/>
      <c r="JTK1" s="404"/>
      <c r="JTL1" s="404"/>
      <c r="JTM1" s="404"/>
      <c r="JTN1" s="404"/>
      <c r="JTO1" s="404"/>
      <c r="JTP1" s="405"/>
      <c r="JTQ1" s="408" t="s">
        <v>41</v>
      </c>
      <c r="JTR1" s="404"/>
      <c r="JTS1" s="404"/>
      <c r="JTT1" s="404"/>
      <c r="JTU1" s="404"/>
      <c r="JTV1" s="404"/>
      <c r="JTW1" s="404"/>
      <c r="JTX1" s="405"/>
      <c r="JTY1" s="408" t="s">
        <v>41</v>
      </c>
      <c r="JTZ1" s="404"/>
      <c r="JUA1" s="404"/>
      <c r="JUB1" s="404"/>
      <c r="JUC1" s="404"/>
      <c r="JUD1" s="404"/>
      <c r="JUE1" s="404"/>
      <c r="JUF1" s="405"/>
      <c r="JUG1" s="408" t="s">
        <v>41</v>
      </c>
      <c r="JUH1" s="404"/>
      <c r="JUI1" s="404"/>
      <c r="JUJ1" s="404"/>
      <c r="JUK1" s="404"/>
      <c r="JUL1" s="404"/>
      <c r="JUM1" s="404"/>
      <c r="JUN1" s="405"/>
      <c r="JUO1" s="408" t="s">
        <v>41</v>
      </c>
      <c r="JUP1" s="404"/>
      <c r="JUQ1" s="404"/>
      <c r="JUR1" s="404"/>
      <c r="JUS1" s="404"/>
      <c r="JUT1" s="404"/>
      <c r="JUU1" s="404"/>
      <c r="JUV1" s="405"/>
      <c r="JUW1" s="408" t="s">
        <v>41</v>
      </c>
      <c r="JUX1" s="404"/>
      <c r="JUY1" s="404"/>
      <c r="JUZ1" s="404"/>
      <c r="JVA1" s="404"/>
      <c r="JVB1" s="404"/>
      <c r="JVC1" s="404"/>
      <c r="JVD1" s="405"/>
      <c r="JVE1" s="408" t="s">
        <v>41</v>
      </c>
      <c r="JVF1" s="404"/>
      <c r="JVG1" s="404"/>
      <c r="JVH1" s="404"/>
      <c r="JVI1" s="404"/>
      <c r="JVJ1" s="404"/>
      <c r="JVK1" s="404"/>
      <c r="JVL1" s="405"/>
      <c r="JVM1" s="408" t="s">
        <v>41</v>
      </c>
      <c r="JVN1" s="404"/>
      <c r="JVO1" s="404"/>
      <c r="JVP1" s="404"/>
      <c r="JVQ1" s="404"/>
      <c r="JVR1" s="404"/>
      <c r="JVS1" s="404"/>
      <c r="JVT1" s="405"/>
      <c r="JVU1" s="408" t="s">
        <v>41</v>
      </c>
      <c r="JVV1" s="404"/>
      <c r="JVW1" s="404"/>
      <c r="JVX1" s="404"/>
      <c r="JVY1" s="404"/>
      <c r="JVZ1" s="404"/>
      <c r="JWA1" s="404"/>
      <c r="JWB1" s="405"/>
      <c r="JWC1" s="408" t="s">
        <v>41</v>
      </c>
      <c r="JWD1" s="404"/>
      <c r="JWE1" s="404"/>
      <c r="JWF1" s="404"/>
      <c r="JWG1" s="404"/>
      <c r="JWH1" s="404"/>
      <c r="JWI1" s="404"/>
      <c r="JWJ1" s="405"/>
      <c r="JWK1" s="408" t="s">
        <v>41</v>
      </c>
      <c r="JWL1" s="404"/>
      <c r="JWM1" s="404"/>
      <c r="JWN1" s="404"/>
      <c r="JWO1" s="404"/>
      <c r="JWP1" s="404"/>
      <c r="JWQ1" s="404"/>
      <c r="JWR1" s="405"/>
      <c r="JWS1" s="408" t="s">
        <v>41</v>
      </c>
      <c r="JWT1" s="404"/>
      <c r="JWU1" s="404"/>
      <c r="JWV1" s="404"/>
      <c r="JWW1" s="404"/>
      <c r="JWX1" s="404"/>
      <c r="JWY1" s="404"/>
      <c r="JWZ1" s="405"/>
      <c r="JXA1" s="408" t="s">
        <v>41</v>
      </c>
      <c r="JXB1" s="404"/>
      <c r="JXC1" s="404"/>
      <c r="JXD1" s="404"/>
      <c r="JXE1" s="404"/>
      <c r="JXF1" s="404"/>
      <c r="JXG1" s="404"/>
      <c r="JXH1" s="405"/>
      <c r="JXI1" s="408" t="s">
        <v>41</v>
      </c>
      <c r="JXJ1" s="404"/>
      <c r="JXK1" s="404"/>
      <c r="JXL1" s="404"/>
      <c r="JXM1" s="404"/>
      <c r="JXN1" s="404"/>
      <c r="JXO1" s="404"/>
      <c r="JXP1" s="405"/>
      <c r="JXQ1" s="408" t="s">
        <v>41</v>
      </c>
      <c r="JXR1" s="404"/>
      <c r="JXS1" s="404"/>
      <c r="JXT1" s="404"/>
      <c r="JXU1" s="404"/>
      <c r="JXV1" s="404"/>
      <c r="JXW1" s="404"/>
      <c r="JXX1" s="405"/>
      <c r="JXY1" s="408" t="s">
        <v>41</v>
      </c>
      <c r="JXZ1" s="404"/>
      <c r="JYA1" s="404"/>
      <c r="JYB1" s="404"/>
      <c r="JYC1" s="404"/>
      <c r="JYD1" s="404"/>
      <c r="JYE1" s="404"/>
      <c r="JYF1" s="405"/>
      <c r="JYG1" s="408" t="s">
        <v>41</v>
      </c>
      <c r="JYH1" s="404"/>
      <c r="JYI1" s="404"/>
      <c r="JYJ1" s="404"/>
      <c r="JYK1" s="404"/>
      <c r="JYL1" s="404"/>
      <c r="JYM1" s="404"/>
      <c r="JYN1" s="405"/>
      <c r="JYO1" s="408" t="s">
        <v>41</v>
      </c>
      <c r="JYP1" s="404"/>
      <c r="JYQ1" s="404"/>
      <c r="JYR1" s="404"/>
      <c r="JYS1" s="404"/>
      <c r="JYT1" s="404"/>
      <c r="JYU1" s="404"/>
      <c r="JYV1" s="405"/>
      <c r="JYW1" s="408" t="s">
        <v>41</v>
      </c>
      <c r="JYX1" s="404"/>
      <c r="JYY1" s="404"/>
      <c r="JYZ1" s="404"/>
      <c r="JZA1" s="404"/>
      <c r="JZB1" s="404"/>
      <c r="JZC1" s="404"/>
      <c r="JZD1" s="405"/>
      <c r="JZE1" s="408" t="s">
        <v>41</v>
      </c>
      <c r="JZF1" s="404"/>
      <c r="JZG1" s="404"/>
      <c r="JZH1" s="404"/>
      <c r="JZI1" s="404"/>
      <c r="JZJ1" s="404"/>
      <c r="JZK1" s="404"/>
      <c r="JZL1" s="405"/>
      <c r="JZM1" s="408" t="s">
        <v>41</v>
      </c>
      <c r="JZN1" s="404"/>
      <c r="JZO1" s="404"/>
      <c r="JZP1" s="404"/>
      <c r="JZQ1" s="404"/>
      <c r="JZR1" s="404"/>
      <c r="JZS1" s="404"/>
      <c r="JZT1" s="405"/>
      <c r="JZU1" s="408" t="s">
        <v>41</v>
      </c>
      <c r="JZV1" s="404"/>
      <c r="JZW1" s="404"/>
      <c r="JZX1" s="404"/>
      <c r="JZY1" s="404"/>
      <c r="JZZ1" s="404"/>
      <c r="KAA1" s="404"/>
      <c r="KAB1" s="405"/>
      <c r="KAC1" s="408" t="s">
        <v>41</v>
      </c>
      <c r="KAD1" s="404"/>
      <c r="KAE1" s="404"/>
      <c r="KAF1" s="404"/>
      <c r="KAG1" s="404"/>
      <c r="KAH1" s="404"/>
      <c r="KAI1" s="404"/>
      <c r="KAJ1" s="405"/>
      <c r="KAK1" s="408" t="s">
        <v>41</v>
      </c>
      <c r="KAL1" s="404"/>
      <c r="KAM1" s="404"/>
      <c r="KAN1" s="404"/>
      <c r="KAO1" s="404"/>
      <c r="KAP1" s="404"/>
      <c r="KAQ1" s="404"/>
      <c r="KAR1" s="405"/>
      <c r="KAS1" s="408" t="s">
        <v>41</v>
      </c>
      <c r="KAT1" s="404"/>
      <c r="KAU1" s="404"/>
      <c r="KAV1" s="404"/>
      <c r="KAW1" s="404"/>
      <c r="KAX1" s="404"/>
      <c r="KAY1" s="404"/>
      <c r="KAZ1" s="405"/>
      <c r="KBA1" s="408" t="s">
        <v>41</v>
      </c>
      <c r="KBB1" s="404"/>
      <c r="KBC1" s="404"/>
      <c r="KBD1" s="404"/>
      <c r="KBE1" s="404"/>
      <c r="KBF1" s="404"/>
      <c r="KBG1" s="404"/>
      <c r="KBH1" s="405"/>
      <c r="KBI1" s="408" t="s">
        <v>41</v>
      </c>
      <c r="KBJ1" s="404"/>
      <c r="KBK1" s="404"/>
      <c r="KBL1" s="404"/>
      <c r="KBM1" s="404"/>
      <c r="KBN1" s="404"/>
      <c r="KBO1" s="404"/>
      <c r="KBP1" s="405"/>
      <c r="KBQ1" s="408" t="s">
        <v>41</v>
      </c>
      <c r="KBR1" s="404"/>
      <c r="KBS1" s="404"/>
      <c r="KBT1" s="404"/>
      <c r="KBU1" s="404"/>
      <c r="KBV1" s="404"/>
      <c r="KBW1" s="404"/>
      <c r="KBX1" s="405"/>
      <c r="KBY1" s="408" t="s">
        <v>41</v>
      </c>
      <c r="KBZ1" s="404"/>
      <c r="KCA1" s="404"/>
      <c r="KCB1" s="404"/>
      <c r="KCC1" s="404"/>
      <c r="KCD1" s="404"/>
      <c r="KCE1" s="404"/>
      <c r="KCF1" s="405"/>
      <c r="KCG1" s="408" t="s">
        <v>41</v>
      </c>
      <c r="KCH1" s="404"/>
      <c r="KCI1" s="404"/>
      <c r="KCJ1" s="404"/>
      <c r="KCK1" s="404"/>
      <c r="KCL1" s="404"/>
      <c r="KCM1" s="404"/>
      <c r="KCN1" s="405"/>
      <c r="KCO1" s="408" t="s">
        <v>41</v>
      </c>
      <c r="KCP1" s="404"/>
      <c r="KCQ1" s="404"/>
      <c r="KCR1" s="404"/>
      <c r="KCS1" s="404"/>
      <c r="KCT1" s="404"/>
      <c r="KCU1" s="404"/>
      <c r="KCV1" s="405"/>
      <c r="KCW1" s="408" t="s">
        <v>41</v>
      </c>
      <c r="KCX1" s="404"/>
      <c r="KCY1" s="404"/>
      <c r="KCZ1" s="404"/>
      <c r="KDA1" s="404"/>
      <c r="KDB1" s="404"/>
      <c r="KDC1" s="404"/>
      <c r="KDD1" s="405"/>
      <c r="KDE1" s="408" t="s">
        <v>41</v>
      </c>
      <c r="KDF1" s="404"/>
      <c r="KDG1" s="404"/>
      <c r="KDH1" s="404"/>
      <c r="KDI1" s="404"/>
      <c r="KDJ1" s="404"/>
      <c r="KDK1" s="404"/>
      <c r="KDL1" s="405"/>
      <c r="KDM1" s="408" t="s">
        <v>41</v>
      </c>
      <c r="KDN1" s="404"/>
      <c r="KDO1" s="404"/>
      <c r="KDP1" s="404"/>
      <c r="KDQ1" s="404"/>
      <c r="KDR1" s="404"/>
      <c r="KDS1" s="404"/>
      <c r="KDT1" s="405"/>
      <c r="KDU1" s="408" t="s">
        <v>41</v>
      </c>
      <c r="KDV1" s="404"/>
      <c r="KDW1" s="404"/>
      <c r="KDX1" s="404"/>
      <c r="KDY1" s="404"/>
      <c r="KDZ1" s="404"/>
      <c r="KEA1" s="404"/>
      <c r="KEB1" s="405"/>
      <c r="KEC1" s="408" t="s">
        <v>41</v>
      </c>
      <c r="KED1" s="404"/>
      <c r="KEE1" s="404"/>
      <c r="KEF1" s="404"/>
      <c r="KEG1" s="404"/>
      <c r="KEH1" s="404"/>
      <c r="KEI1" s="404"/>
      <c r="KEJ1" s="405"/>
      <c r="KEK1" s="408" t="s">
        <v>41</v>
      </c>
      <c r="KEL1" s="404"/>
      <c r="KEM1" s="404"/>
      <c r="KEN1" s="404"/>
      <c r="KEO1" s="404"/>
      <c r="KEP1" s="404"/>
      <c r="KEQ1" s="404"/>
      <c r="KER1" s="405"/>
      <c r="KES1" s="408" t="s">
        <v>41</v>
      </c>
      <c r="KET1" s="404"/>
      <c r="KEU1" s="404"/>
      <c r="KEV1" s="404"/>
      <c r="KEW1" s="404"/>
      <c r="KEX1" s="404"/>
      <c r="KEY1" s="404"/>
      <c r="KEZ1" s="405"/>
      <c r="KFA1" s="408" t="s">
        <v>41</v>
      </c>
      <c r="KFB1" s="404"/>
      <c r="KFC1" s="404"/>
      <c r="KFD1" s="404"/>
      <c r="KFE1" s="404"/>
      <c r="KFF1" s="404"/>
      <c r="KFG1" s="404"/>
      <c r="KFH1" s="405"/>
      <c r="KFI1" s="408" t="s">
        <v>41</v>
      </c>
      <c r="KFJ1" s="404"/>
      <c r="KFK1" s="404"/>
      <c r="KFL1" s="404"/>
      <c r="KFM1" s="404"/>
      <c r="KFN1" s="404"/>
      <c r="KFO1" s="404"/>
      <c r="KFP1" s="405"/>
      <c r="KFQ1" s="408" t="s">
        <v>41</v>
      </c>
      <c r="KFR1" s="404"/>
      <c r="KFS1" s="404"/>
      <c r="KFT1" s="404"/>
      <c r="KFU1" s="404"/>
      <c r="KFV1" s="404"/>
      <c r="KFW1" s="404"/>
      <c r="KFX1" s="405"/>
      <c r="KFY1" s="408" t="s">
        <v>41</v>
      </c>
      <c r="KFZ1" s="404"/>
      <c r="KGA1" s="404"/>
      <c r="KGB1" s="404"/>
      <c r="KGC1" s="404"/>
      <c r="KGD1" s="404"/>
      <c r="KGE1" s="404"/>
      <c r="KGF1" s="405"/>
      <c r="KGG1" s="408" t="s">
        <v>41</v>
      </c>
      <c r="KGH1" s="404"/>
      <c r="KGI1" s="404"/>
      <c r="KGJ1" s="404"/>
      <c r="KGK1" s="404"/>
      <c r="KGL1" s="404"/>
      <c r="KGM1" s="404"/>
      <c r="KGN1" s="405"/>
      <c r="KGO1" s="408" t="s">
        <v>41</v>
      </c>
      <c r="KGP1" s="404"/>
      <c r="KGQ1" s="404"/>
      <c r="KGR1" s="404"/>
      <c r="KGS1" s="404"/>
      <c r="KGT1" s="404"/>
      <c r="KGU1" s="404"/>
      <c r="KGV1" s="405"/>
      <c r="KGW1" s="408" t="s">
        <v>41</v>
      </c>
      <c r="KGX1" s="404"/>
      <c r="KGY1" s="404"/>
      <c r="KGZ1" s="404"/>
      <c r="KHA1" s="404"/>
      <c r="KHB1" s="404"/>
      <c r="KHC1" s="404"/>
      <c r="KHD1" s="405"/>
      <c r="KHE1" s="408" t="s">
        <v>41</v>
      </c>
      <c r="KHF1" s="404"/>
      <c r="KHG1" s="404"/>
      <c r="KHH1" s="404"/>
      <c r="KHI1" s="404"/>
      <c r="KHJ1" s="404"/>
      <c r="KHK1" s="404"/>
      <c r="KHL1" s="405"/>
      <c r="KHM1" s="408" t="s">
        <v>41</v>
      </c>
      <c r="KHN1" s="404"/>
      <c r="KHO1" s="404"/>
      <c r="KHP1" s="404"/>
      <c r="KHQ1" s="404"/>
      <c r="KHR1" s="404"/>
      <c r="KHS1" s="404"/>
      <c r="KHT1" s="405"/>
      <c r="KHU1" s="408" t="s">
        <v>41</v>
      </c>
      <c r="KHV1" s="404"/>
      <c r="KHW1" s="404"/>
      <c r="KHX1" s="404"/>
      <c r="KHY1" s="404"/>
      <c r="KHZ1" s="404"/>
      <c r="KIA1" s="404"/>
      <c r="KIB1" s="405"/>
      <c r="KIC1" s="408" t="s">
        <v>41</v>
      </c>
      <c r="KID1" s="404"/>
      <c r="KIE1" s="404"/>
      <c r="KIF1" s="404"/>
      <c r="KIG1" s="404"/>
      <c r="KIH1" s="404"/>
      <c r="KII1" s="404"/>
      <c r="KIJ1" s="405"/>
      <c r="KIK1" s="408" t="s">
        <v>41</v>
      </c>
      <c r="KIL1" s="404"/>
      <c r="KIM1" s="404"/>
      <c r="KIN1" s="404"/>
      <c r="KIO1" s="404"/>
      <c r="KIP1" s="404"/>
      <c r="KIQ1" s="404"/>
      <c r="KIR1" s="405"/>
      <c r="KIS1" s="408" t="s">
        <v>41</v>
      </c>
      <c r="KIT1" s="404"/>
      <c r="KIU1" s="404"/>
      <c r="KIV1" s="404"/>
      <c r="KIW1" s="404"/>
      <c r="KIX1" s="404"/>
      <c r="KIY1" s="404"/>
      <c r="KIZ1" s="405"/>
      <c r="KJA1" s="408" t="s">
        <v>41</v>
      </c>
      <c r="KJB1" s="404"/>
      <c r="KJC1" s="404"/>
      <c r="KJD1" s="404"/>
      <c r="KJE1" s="404"/>
      <c r="KJF1" s="404"/>
      <c r="KJG1" s="404"/>
      <c r="KJH1" s="405"/>
      <c r="KJI1" s="408" t="s">
        <v>41</v>
      </c>
      <c r="KJJ1" s="404"/>
      <c r="KJK1" s="404"/>
      <c r="KJL1" s="404"/>
      <c r="KJM1" s="404"/>
      <c r="KJN1" s="404"/>
      <c r="KJO1" s="404"/>
      <c r="KJP1" s="405"/>
      <c r="KJQ1" s="408" t="s">
        <v>41</v>
      </c>
      <c r="KJR1" s="404"/>
      <c r="KJS1" s="404"/>
      <c r="KJT1" s="404"/>
      <c r="KJU1" s="404"/>
      <c r="KJV1" s="404"/>
      <c r="KJW1" s="404"/>
      <c r="KJX1" s="405"/>
      <c r="KJY1" s="408" t="s">
        <v>41</v>
      </c>
      <c r="KJZ1" s="404"/>
      <c r="KKA1" s="404"/>
      <c r="KKB1" s="404"/>
      <c r="KKC1" s="404"/>
      <c r="KKD1" s="404"/>
      <c r="KKE1" s="404"/>
      <c r="KKF1" s="405"/>
      <c r="KKG1" s="408" t="s">
        <v>41</v>
      </c>
      <c r="KKH1" s="404"/>
      <c r="KKI1" s="404"/>
      <c r="KKJ1" s="404"/>
      <c r="KKK1" s="404"/>
      <c r="KKL1" s="404"/>
      <c r="KKM1" s="404"/>
      <c r="KKN1" s="405"/>
      <c r="KKO1" s="408" t="s">
        <v>41</v>
      </c>
      <c r="KKP1" s="404"/>
      <c r="KKQ1" s="404"/>
      <c r="KKR1" s="404"/>
      <c r="KKS1" s="404"/>
      <c r="KKT1" s="404"/>
      <c r="KKU1" s="404"/>
      <c r="KKV1" s="405"/>
      <c r="KKW1" s="408" t="s">
        <v>41</v>
      </c>
      <c r="KKX1" s="404"/>
      <c r="KKY1" s="404"/>
      <c r="KKZ1" s="404"/>
      <c r="KLA1" s="404"/>
      <c r="KLB1" s="404"/>
      <c r="KLC1" s="404"/>
      <c r="KLD1" s="405"/>
      <c r="KLE1" s="408" t="s">
        <v>41</v>
      </c>
      <c r="KLF1" s="404"/>
      <c r="KLG1" s="404"/>
      <c r="KLH1" s="404"/>
      <c r="KLI1" s="404"/>
      <c r="KLJ1" s="404"/>
      <c r="KLK1" s="404"/>
      <c r="KLL1" s="405"/>
      <c r="KLM1" s="408" t="s">
        <v>41</v>
      </c>
      <c r="KLN1" s="404"/>
      <c r="KLO1" s="404"/>
      <c r="KLP1" s="404"/>
      <c r="KLQ1" s="404"/>
      <c r="KLR1" s="404"/>
      <c r="KLS1" s="404"/>
      <c r="KLT1" s="405"/>
      <c r="KLU1" s="408" t="s">
        <v>41</v>
      </c>
      <c r="KLV1" s="404"/>
      <c r="KLW1" s="404"/>
      <c r="KLX1" s="404"/>
      <c r="KLY1" s="404"/>
      <c r="KLZ1" s="404"/>
      <c r="KMA1" s="404"/>
      <c r="KMB1" s="405"/>
      <c r="KMC1" s="408" t="s">
        <v>41</v>
      </c>
      <c r="KMD1" s="404"/>
      <c r="KME1" s="404"/>
      <c r="KMF1" s="404"/>
      <c r="KMG1" s="404"/>
      <c r="KMH1" s="404"/>
      <c r="KMI1" s="404"/>
      <c r="KMJ1" s="405"/>
      <c r="KMK1" s="408" t="s">
        <v>41</v>
      </c>
      <c r="KML1" s="404"/>
      <c r="KMM1" s="404"/>
      <c r="KMN1" s="404"/>
      <c r="KMO1" s="404"/>
      <c r="KMP1" s="404"/>
      <c r="KMQ1" s="404"/>
      <c r="KMR1" s="405"/>
      <c r="KMS1" s="408" t="s">
        <v>41</v>
      </c>
      <c r="KMT1" s="404"/>
      <c r="KMU1" s="404"/>
      <c r="KMV1" s="404"/>
      <c r="KMW1" s="404"/>
      <c r="KMX1" s="404"/>
      <c r="KMY1" s="404"/>
      <c r="KMZ1" s="405"/>
      <c r="KNA1" s="408" t="s">
        <v>41</v>
      </c>
      <c r="KNB1" s="404"/>
      <c r="KNC1" s="404"/>
      <c r="KND1" s="404"/>
      <c r="KNE1" s="404"/>
      <c r="KNF1" s="404"/>
      <c r="KNG1" s="404"/>
      <c r="KNH1" s="405"/>
      <c r="KNI1" s="408" t="s">
        <v>41</v>
      </c>
      <c r="KNJ1" s="404"/>
      <c r="KNK1" s="404"/>
      <c r="KNL1" s="404"/>
      <c r="KNM1" s="404"/>
      <c r="KNN1" s="404"/>
      <c r="KNO1" s="404"/>
      <c r="KNP1" s="405"/>
      <c r="KNQ1" s="408" t="s">
        <v>41</v>
      </c>
      <c r="KNR1" s="404"/>
      <c r="KNS1" s="404"/>
      <c r="KNT1" s="404"/>
      <c r="KNU1" s="404"/>
      <c r="KNV1" s="404"/>
      <c r="KNW1" s="404"/>
      <c r="KNX1" s="405"/>
      <c r="KNY1" s="408" t="s">
        <v>41</v>
      </c>
      <c r="KNZ1" s="404"/>
      <c r="KOA1" s="404"/>
      <c r="KOB1" s="404"/>
      <c r="KOC1" s="404"/>
      <c r="KOD1" s="404"/>
      <c r="KOE1" s="404"/>
      <c r="KOF1" s="405"/>
      <c r="KOG1" s="408" t="s">
        <v>41</v>
      </c>
      <c r="KOH1" s="404"/>
      <c r="KOI1" s="404"/>
      <c r="KOJ1" s="404"/>
      <c r="KOK1" s="404"/>
      <c r="KOL1" s="404"/>
      <c r="KOM1" s="404"/>
      <c r="KON1" s="405"/>
      <c r="KOO1" s="408" t="s">
        <v>41</v>
      </c>
      <c r="KOP1" s="404"/>
      <c r="KOQ1" s="404"/>
      <c r="KOR1" s="404"/>
      <c r="KOS1" s="404"/>
      <c r="KOT1" s="404"/>
      <c r="KOU1" s="404"/>
      <c r="KOV1" s="405"/>
      <c r="KOW1" s="408" t="s">
        <v>41</v>
      </c>
      <c r="KOX1" s="404"/>
      <c r="KOY1" s="404"/>
      <c r="KOZ1" s="404"/>
      <c r="KPA1" s="404"/>
      <c r="KPB1" s="404"/>
      <c r="KPC1" s="404"/>
      <c r="KPD1" s="405"/>
      <c r="KPE1" s="408" t="s">
        <v>41</v>
      </c>
      <c r="KPF1" s="404"/>
      <c r="KPG1" s="404"/>
      <c r="KPH1" s="404"/>
      <c r="KPI1" s="404"/>
      <c r="KPJ1" s="404"/>
      <c r="KPK1" s="404"/>
      <c r="KPL1" s="405"/>
      <c r="KPM1" s="408" t="s">
        <v>41</v>
      </c>
      <c r="KPN1" s="404"/>
      <c r="KPO1" s="404"/>
      <c r="KPP1" s="404"/>
      <c r="KPQ1" s="404"/>
      <c r="KPR1" s="404"/>
      <c r="KPS1" s="404"/>
      <c r="KPT1" s="405"/>
      <c r="KPU1" s="408" t="s">
        <v>41</v>
      </c>
      <c r="KPV1" s="404"/>
      <c r="KPW1" s="404"/>
      <c r="KPX1" s="404"/>
      <c r="KPY1" s="404"/>
      <c r="KPZ1" s="404"/>
      <c r="KQA1" s="404"/>
      <c r="KQB1" s="405"/>
      <c r="KQC1" s="408" t="s">
        <v>41</v>
      </c>
      <c r="KQD1" s="404"/>
      <c r="KQE1" s="404"/>
      <c r="KQF1" s="404"/>
      <c r="KQG1" s="404"/>
      <c r="KQH1" s="404"/>
      <c r="KQI1" s="404"/>
      <c r="KQJ1" s="405"/>
      <c r="KQK1" s="408" t="s">
        <v>41</v>
      </c>
      <c r="KQL1" s="404"/>
      <c r="KQM1" s="404"/>
      <c r="KQN1" s="404"/>
      <c r="KQO1" s="404"/>
      <c r="KQP1" s="404"/>
      <c r="KQQ1" s="404"/>
      <c r="KQR1" s="405"/>
      <c r="KQS1" s="408" t="s">
        <v>41</v>
      </c>
      <c r="KQT1" s="404"/>
      <c r="KQU1" s="404"/>
      <c r="KQV1" s="404"/>
      <c r="KQW1" s="404"/>
      <c r="KQX1" s="404"/>
      <c r="KQY1" s="404"/>
      <c r="KQZ1" s="405"/>
      <c r="KRA1" s="408" t="s">
        <v>41</v>
      </c>
      <c r="KRB1" s="404"/>
      <c r="KRC1" s="404"/>
      <c r="KRD1" s="404"/>
      <c r="KRE1" s="404"/>
      <c r="KRF1" s="404"/>
      <c r="KRG1" s="404"/>
      <c r="KRH1" s="405"/>
      <c r="KRI1" s="408" t="s">
        <v>41</v>
      </c>
      <c r="KRJ1" s="404"/>
      <c r="KRK1" s="404"/>
      <c r="KRL1" s="404"/>
      <c r="KRM1" s="404"/>
      <c r="KRN1" s="404"/>
      <c r="KRO1" s="404"/>
      <c r="KRP1" s="405"/>
      <c r="KRQ1" s="408" t="s">
        <v>41</v>
      </c>
      <c r="KRR1" s="404"/>
      <c r="KRS1" s="404"/>
      <c r="KRT1" s="404"/>
      <c r="KRU1" s="404"/>
      <c r="KRV1" s="404"/>
      <c r="KRW1" s="404"/>
      <c r="KRX1" s="405"/>
      <c r="KRY1" s="408" t="s">
        <v>41</v>
      </c>
      <c r="KRZ1" s="404"/>
      <c r="KSA1" s="404"/>
      <c r="KSB1" s="404"/>
      <c r="KSC1" s="404"/>
      <c r="KSD1" s="404"/>
      <c r="KSE1" s="404"/>
      <c r="KSF1" s="405"/>
      <c r="KSG1" s="408" t="s">
        <v>41</v>
      </c>
      <c r="KSH1" s="404"/>
      <c r="KSI1" s="404"/>
      <c r="KSJ1" s="404"/>
      <c r="KSK1" s="404"/>
      <c r="KSL1" s="404"/>
      <c r="KSM1" s="404"/>
      <c r="KSN1" s="405"/>
      <c r="KSO1" s="408" t="s">
        <v>41</v>
      </c>
      <c r="KSP1" s="404"/>
      <c r="KSQ1" s="404"/>
      <c r="KSR1" s="404"/>
      <c r="KSS1" s="404"/>
      <c r="KST1" s="404"/>
      <c r="KSU1" s="404"/>
      <c r="KSV1" s="405"/>
      <c r="KSW1" s="408" t="s">
        <v>41</v>
      </c>
      <c r="KSX1" s="404"/>
      <c r="KSY1" s="404"/>
      <c r="KSZ1" s="404"/>
      <c r="KTA1" s="404"/>
      <c r="KTB1" s="404"/>
      <c r="KTC1" s="404"/>
      <c r="KTD1" s="405"/>
      <c r="KTE1" s="408" t="s">
        <v>41</v>
      </c>
      <c r="KTF1" s="404"/>
      <c r="KTG1" s="404"/>
      <c r="KTH1" s="404"/>
      <c r="KTI1" s="404"/>
      <c r="KTJ1" s="404"/>
      <c r="KTK1" s="404"/>
      <c r="KTL1" s="405"/>
      <c r="KTM1" s="408" t="s">
        <v>41</v>
      </c>
      <c r="KTN1" s="404"/>
      <c r="KTO1" s="404"/>
      <c r="KTP1" s="404"/>
      <c r="KTQ1" s="404"/>
      <c r="KTR1" s="404"/>
      <c r="KTS1" s="404"/>
      <c r="KTT1" s="405"/>
      <c r="KTU1" s="408" t="s">
        <v>41</v>
      </c>
      <c r="KTV1" s="404"/>
      <c r="KTW1" s="404"/>
      <c r="KTX1" s="404"/>
      <c r="KTY1" s="404"/>
      <c r="KTZ1" s="404"/>
      <c r="KUA1" s="404"/>
      <c r="KUB1" s="405"/>
      <c r="KUC1" s="408" t="s">
        <v>41</v>
      </c>
      <c r="KUD1" s="404"/>
      <c r="KUE1" s="404"/>
      <c r="KUF1" s="404"/>
      <c r="KUG1" s="404"/>
      <c r="KUH1" s="404"/>
      <c r="KUI1" s="404"/>
      <c r="KUJ1" s="405"/>
      <c r="KUK1" s="408" t="s">
        <v>41</v>
      </c>
      <c r="KUL1" s="404"/>
      <c r="KUM1" s="404"/>
      <c r="KUN1" s="404"/>
      <c r="KUO1" s="404"/>
      <c r="KUP1" s="404"/>
      <c r="KUQ1" s="404"/>
      <c r="KUR1" s="405"/>
      <c r="KUS1" s="408" t="s">
        <v>41</v>
      </c>
      <c r="KUT1" s="404"/>
      <c r="KUU1" s="404"/>
      <c r="KUV1" s="404"/>
      <c r="KUW1" s="404"/>
      <c r="KUX1" s="404"/>
      <c r="KUY1" s="404"/>
      <c r="KUZ1" s="405"/>
      <c r="KVA1" s="408" t="s">
        <v>41</v>
      </c>
      <c r="KVB1" s="404"/>
      <c r="KVC1" s="404"/>
      <c r="KVD1" s="404"/>
      <c r="KVE1" s="404"/>
      <c r="KVF1" s="404"/>
      <c r="KVG1" s="404"/>
      <c r="KVH1" s="405"/>
      <c r="KVI1" s="408" t="s">
        <v>41</v>
      </c>
      <c r="KVJ1" s="404"/>
      <c r="KVK1" s="404"/>
      <c r="KVL1" s="404"/>
      <c r="KVM1" s="404"/>
      <c r="KVN1" s="404"/>
      <c r="KVO1" s="404"/>
      <c r="KVP1" s="405"/>
      <c r="KVQ1" s="408" t="s">
        <v>41</v>
      </c>
      <c r="KVR1" s="404"/>
      <c r="KVS1" s="404"/>
      <c r="KVT1" s="404"/>
      <c r="KVU1" s="404"/>
      <c r="KVV1" s="404"/>
      <c r="KVW1" s="404"/>
      <c r="KVX1" s="405"/>
      <c r="KVY1" s="408" t="s">
        <v>41</v>
      </c>
      <c r="KVZ1" s="404"/>
      <c r="KWA1" s="404"/>
      <c r="KWB1" s="404"/>
      <c r="KWC1" s="404"/>
      <c r="KWD1" s="404"/>
      <c r="KWE1" s="404"/>
      <c r="KWF1" s="405"/>
      <c r="KWG1" s="408" t="s">
        <v>41</v>
      </c>
      <c r="KWH1" s="404"/>
      <c r="KWI1" s="404"/>
      <c r="KWJ1" s="404"/>
      <c r="KWK1" s="404"/>
      <c r="KWL1" s="404"/>
      <c r="KWM1" s="404"/>
      <c r="KWN1" s="405"/>
      <c r="KWO1" s="408" t="s">
        <v>41</v>
      </c>
      <c r="KWP1" s="404"/>
      <c r="KWQ1" s="404"/>
      <c r="KWR1" s="404"/>
      <c r="KWS1" s="404"/>
      <c r="KWT1" s="404"/>
      <c r="KWU1" s="404"/>
      <c r="KWV1" s="405"/>
      <c r="KWW1" s="408" t="s">
        <v>41</v>
      </c>
      <c r="KWX1" s="404"/>
      <c r="KWY1" s="404"/>
      <c r="KWZ1" s="404"/>
      <c r="KXA1" s="404"/>
      <c r="KXB1" s="404"/>
      <c r="KXC1" s="404"/>
      <c r="KXD1" s="405"/>
      <c r="KXE1" s="408" t="s">
        <v>41</v>
      </c>
      <c r="KXF1" s="404"/>
      <c r="KXG1" s="404"/>
      <c r="KXH1" s="404"/>
      <c r="KXI1" s="404"/>
      <c r="KXJ1" s="404"/>
      <c r="KXK1" s="404"/>
      <c r="KXL1" s="405"/>
      <c r="KXM1" s="408" t="s">
        <v>41</v>
      </c>
      <c r="KXN1" s="404"/>
      <c r="KXO1" s="404"/>
      <c r="KXP1" s="404"/>
      <c r="KXQ1" s="404"/>
      <c r="KXR1" s="404"/>
      <c r="KXS1" s="404"/>
      <c r="KXT1" s="405"/>
      <c r="KXU1" s="408" t="s">
        <v>41</v>
      </c>
      <c r="KXV1" s="404"/>
      <c r="KXW1" s="404"/>
      <c r="KXX1" s="404"/>
      <c r="KXY1" s="404"/>
      <c r="KXZ1" s="404"/>
      <c r="KYA1" s="404"/>
      <c r="KYB1" s="405"/>
      <c r="KYC1" s="408" t="s">
        <v>41</v>
      </c>
      <c r="KYD1" s="404"/>
      <c r="KYE1" s="404"/>
      <c r="KYF1" s="404"/>
      <c r="KYG1" s="404"/>
      <c r="KYH1" s="404"/>
      <c r="KYI1" s="404"/>
      <c r="KYJ1" s="405"/>
      <c r="KYK1" s="408" t="s">
        <v>41</v>
      </c>
      <c r="KYL1" s="404"/>
      <c r="KYM1" s="404"/>
      <c r="KYN1" s="404"/>
      <c r="KYO1" s="404"/>
      <c r="KYP1" s="404"/>
      <c r="KYQ1" s="404"/>
      <c r="KYR1" s="405"/>
      <c r="KYS1" s="408" t="s">
        <v>41</v>
      </c>
      <c r="KYT1" s="404"/>
      <c r="KYU1" s="404"/>
      <c r="KYV1" s="404"/>
      <c r="KYW1" s="404"/>
      <c r="KYX1" s="404"/>
      <c r="KYY1" s="404"/>
      <c r="KYZ1" s="405"/>
      <c r="KZA1" s="408" t="s">
        <v>41</v>
      </c>
      <c r="KZB1" s="404"/>
      <c r="KZC1" s="404"/>
      <c r="KZD1" s="404"/>
      <c r="KZE1" s="404"/>
      <c r="KZF1" s="404"/>
      <c r="KZG1" s="404"/>
      <c r="KZH1" s="405"/>
      <c r="KZI1" s="408" t="s">
        <v>41</v>
      </c>
      <c r="KZJ1" s="404"/>
      <c r="KZK1" s="404"/>
      <c r="KZL1" s="404"/>
      <c r="KZM1" s="404"/>
      <c r="KZN1" s="404"/>
      <c r="KZO1" s="404"/>
      <c r="KZP1" s="405"/>
      <c r="KZQ1" s="408" t="s">
        <v>41</v>
      </c>
      <c r="KZR1" s="404"/>
      <c r="KZS1" s="404"/>
      <c r="KZT1" s="404"/>
      <c r="KZU1" s="404"/>
      <c r="KZV1" s="404"/>
      <c r="KZW1" s="404"/>
      <c r="KZX1" s="405"/>
      <c r="KZY1" s="408" t="s">
        <v>41</v>
      </c>
      <c r="KZZ1" s="404"/>
      <c r="LAA1" s="404"/>
      <c r="LAB1" s="404"/>
      <c r="LAC1" s="404"/>
      <c r="LAD1" s="404"/>
      <c r="LAE1" s="404"/>
      <c r="LAF1" s="405"/>
      <c r="LAG1" s="408" t="s">
        <v>41</v>
      </c>
      <c r="LAH1" s="404"/>
      <c r="LAI1" s="404"/>
      <c r="LAJ1" s="404"/>
      <c r="LAK1" s="404"/>
      <c r="LAL1" s="404"/>
      <c r="LAM1" s="404"/>
      <c r="LAN1" s="405"/>
      <c r="LAO1" s="408" t="s">
        <v>41</v>
      </c>
      <c r="LAP1" s="404"/>
      <c r="LAQ1" s="404"/>
      <c r="LAR1" s="404"/>
      <c r="LAS1" s="404"/>
      <c r="LAT1" s="404"/>
      <c r="LAU1" s="404"/>
      <c r="LAV1" s="405"/>
      <c r="LAW1" s="408" t="s">
        <v>41</v>
      </c>
      <c r="LAX1" s="404"/>
      <c r="LAY1" s="404"/>
      <c r="LAZ1" s="404"/>
      <c r="LBA1" s="404"/>
      <c r="LBB1" s="404"/>
      <c r="LBC1" s="404"/>
      <c r="LBD1" s="405"/>
      <c r="LBE1" s="408" t="s">
        <v>41</v>
      </c>
      <c r="LBF1" s="404"/>
      <c r="LBG1" s="404"/>
      <c r="LBH1" s="404"/>
      <c r="LBI1" s="404"/>
      <c r="LBJ1" s="404"/>
      <c r="LBK1" s="404"/>
      <c r="LBL1" s="405"/>
      <c r="LBM1" s="408" t="s">
        <v>41</v>
      </c>
      <c r="LBN1" s="404"/>
      <c r="LBO1" s="404"/>
      <c r="LBP1" s="404"/>
      <c r="LBQ1" s="404"/>
      <c r="LBR1" s="404"/>
      <c r="LBS1" s="404"/>
      <c r="LBT1" s="405"/>
      <c r="LBU1" s="408" t="s">
        <v>41</v>
      </c>
      <c r="LBV1" s="404"/>
      <c r="LBW1" s="404"/>
      <c r="LBX1" s="404"/>
      <c r="LBY1" s="404"/>
      <c r="LBZ1" s="404"/>
      <c r="LCA1" s="404"/>
      <c r="LCB1" s="405"/>
      <c r="LCC1" s="408" t="s">
        <v>41</v>
      </c>
      <c r="LCD1" s="404"/>
      <c r="LCE1" s="404"/>
      <c r="LCF1" s="404"/>
      <c r="LCG1" s="404"/>
      <c r="LCH1" s="404"/>
      <c r="LCI1" s="404"/>
      <c r="LCJ1" s="405"/>
      <c r="LCK1" s="408" t="s">
        <v>41</v>
      </c>
      <c r="LCL1" s="404"/>
      <c r="LCM1" s="404"/>
      <c r="LCN1" s="404"/>
      <c r="LCO1" s="404"/>
      <c r="LCP1" s="404"/>
      <c r="LCQ1" s="404"/>
      <c r="LCR1" s="405"/>
      <c r="LCS1" s="408" t="s">
        <v>41</v>
      </c>
      <c r="LCT1" s="404"/>
      <c r="LCU1" s="404"/>
      <c r="LCV1" s="404"/>
      <c r="LCW1" s="404"/>
      <c r="LCX1" s="404"/>
      <c r="LCY1" s="404"/>
      <c r="LCZ1" s="405"/>
      <c r="LDA1" s="408" t="s">
        <v>41</v>
      </c>
      <c r="LDB1" s="404"/>
      <c r="LDC1" s="404"/>
      <c r="LDD1" s="404"/>
      <c r="LDE1" s="404"/>
      <c r="LDF1" s="404"/>
      <c r="LDG1" s="404"/>
      <c r="LDH1" s="405"/>
      <c r="LDI1" s="408" t="s">
        <v>41</v>
      </c>
      <c r="LDJ1" s="404"/>
      <c r="LDK1" s="404"/>
      <c r="LDL1" s="404"/>
      <c r="LDM1" s="404"/>
      <c r="LDN1" s="404"/>
      <c r="LDO1" s="404"/>
      <c r="LDP1" s="405"/>
      <c r="LDQ1" s="408" t="s">
        <v>41</v>
      </c>
      <c r="LDR1" s="404"/>
      <c r="LDS1" s="404"/>
      <c r="LDT1" s="404"/>
      <c r="LDU1" s="404"/>
      <c r="LDV1" s="404"/>
      <c r="LDW1" s="404"/>
      <c r="LDX1" s="405"/>
      <c r="LDY1" s="408" t="s">
        <v>41</v>
      </c>
      <c r="LDZ1" s="404"/>
      <c r="LEA1" s="404"/>
      <c r="LEB1" s="404"/>
      <c r="LEC1" s="404"/>
      <c r="LED1" s="404"/>
      <c r="LEE1" s="404"/>
      <c r="LEF1" s="405"/>
      <c r="LEG1" s="408" t="s">
        <v>41</v>
      </c>
      <c r="LEH1" s="404"/>
      <c r="LEI1" s="404"/>
      <c r="LEJ1" s="404"/>
      <c r="LEK1" s="404"/>
      <c r="LEL1" s="404"/>
      <c r="LEM1" s="404"/>
      <c r="LEN1" s="405"/>
      <c r="LEO1" s="408" t="s">
        <v>41</v>
      </c>
      <c r="LEP1" s="404"/>
      <c r="LEQ1" s="404"/>
      <c r="LER1" s="404"/>
      <c r="LES1" s="404"/>
      <c r="LET1" s="404"/>
      <c r="LEU1" s="404"/>
      <c r="LEV1" s="405"/>
      <c r="LEW1" s="408" t="s">
        <v>41</v>
      </c>
      <c r="LEX1" s="404"/>
      <c r="LEY1" s="404"/>
      <c r="LEZ1" s="404"/>
      <c r="LFA1" s="404"/>
      <c r="LFB1" s="404"/>
      <c r="LFC1" s="404"/>
      <c r="LFD1" s="405"/>
      <c r="LFE1" s="408" t="s">
        <v>41</v>
      </c>
      <c r="LFF1" s="404"/>
      <c r="LFG1" s="404"/>
      <c r="LFH1" s="404"/>
      <c r="LFI1" s="404"/>
      <c r="LFJ1" s="404"/>
      <c r="LFK1" s="404"/>
      <c r="LFL1" s="405"/>
      <c r="LFM1" s="408" t="s">
        <v>41</v>
      </c>
      <c r="LFN1" s="404"/>
      <c r="LFO1" s="404"/>
      <c r="LFP1" s="404"/>
      <c r="LFQ1" s="404"/>
      <c r="LFR1" s="404"/>
      <c r="LFS1" s="404"/>
      <c r="LFT1" s="405"/>
      <c r="LFU1" s="408" t="s">
        <v>41</v>
      </c>
      <c r="LFV1" s="404"/>
      <c r="LFW1" s="404"/>
      <c r="LFX1" s="404"/>
      <c r="LFY1" s="404"/>
      <c r="LFZ1" s="404"/>
      <c r="LGA1" s="404"/>
      <c r="LGB1" s="405"/>
      <c r="LGC1" s="408" t="s">
        <v>41</v>
      </c>
      <c r="LGD1" s="404"/>
      <c r="LGE1" s="404"/>
      <c r="LGF1" s="404"/>
      <c r="LGG1" s="404"/>
      <c r="LGH1" s="404"/>
      <c r="LGI1" s="404"/>
      <c r="LGJ1" s="405"/>
      <c r="LGK1" s="408" t="s">
        <v>41</v>
      </c>
      <c r="LGL1" s="404"/>
      <c r="LGM1" s="404"/>
      <c r="LGN1" s="404"/>
      <c r="LGO1" s="404"/>
      <c r="LGP1" s="404"/>
      <c r="LGQ1" s="404"/>
      <c r="LGR1" s="405"/>
      <c r="LGS1" s="408" t="s">
        <v>41</v>
      </c>
      <c r="LGT1" s="404"/>
      <c r="LGU1" s="404"/>
      <c r="LGV1" s="404"/>
      <c r="LGW1" s="404"/>
      <c r="LGX1" s="404"/>
      <c r="LGY1" s="404"/>
      <c r="LGZ1" s="405"/>
      <c r="LHA1" s="408" t="s">
        <v>41</v>
      </c>
      <c r="LHB1" s="404"/>
      <c r="LHC1" s="404"/>
      <c r="LHD1" s="404"/>
      <c r="LHE1" s="404"/>
      <c r="LHF1" s="404"/>
      <c r="LHG1" s="404"/>
      <c r="LHH1" s="405"/>
      <c r="LHI1" s="408" t="s">
        <v>41</v>
      </c>
      <c r="LHJ1" s="404"/>
      <c r="LHK1" s="404"/>
      <c r="LHL1" s="404"/>
      <c r="LHM1" s="404"/>
      <c r="LHN1" s="404"/>
      <c r="LHO1" s="404"/>
      <c r="LHP1" s="405"/>
      <c r="LHQ1" s="408" t="s">
        <v>41</v>
      </c>
      <c r="LHR1" s="404"/>
      <c r="LHS1" s="404"/>
      <c r="LHT1" s="404"/>
      <c r="LHU1" s="404"/>
      <c r="LHV1" s="404"/>
      <c r="LHW1" s="404"/>
      <c r="LHX1" s="405"/>
      <c r="LHY1" s="408" t="s">
        <v>41</v>
      </c>
      <c r="LHZ1" s="404"/>
      <c r="LIA1" s="404"/>
      <c r="LIB1" s="404"/>
      <c r="LIC1" s="404"/>
      <c r="LID1" s="404"/>
      <c r="LIE1" s="404"/>
      <c r="LIF1" s="405"/>
      <c r="LIG1" s="408" t="s">
        <v>41</v>
      </c>
      <c r="LIH1" s="404"/>
      <c r="LII1" s="404"/>
      <c r="LIJ1" s="404"/>
      <c r="LIK1" s="404"/>
      <c r="LIL1" s="404"/>
      <c r="LIM1" s="404"/>
      <c r="LIN1" s="405"/>
      <c r="LIO1" s="408" t="s">
        <v>41</v>
      </c>
      <c r="LIP1" s="404"/>
      <c r="LIQ1" s="404"/>
      <c r="LIR1" s="404"/>
      <c r="LIS1" s="404"/>
      <c r="LIT1" s="404"/>
      <c r="LIU1" s="404"/>
      <c r="LIV1" s="405"/>
      <c r="LIW1" s="408" t="s">
        <v>41</v>
      </c>
      <c r="LIX1" s="404"/>
      <c r="LIY1" s="404"/>
      <c r="LIZ1" s="404"/>
      <c r="LJA1" s="404"/>
      <c r="LJB1" s="404"/>
      <c r="LJC1" s="404"/>
      <c r="LJD1" s="405"/>
      <c r="LJE1" s="408" t="s">
        <v>41</v>
      </c>
      <c r="LJF1" s="404"/>
      <c r="LJG1" s="404"/>
      <c r="LJH1" s="404"/>
      <c r="LJI1" s="404"/>
      <c r="LJJ1" s="404"/>
      <c r="LJK1" s="404"/>
      <c r="LJL1" s="405"/>
      <c r="LJM1" s="408" t="s">
        <v>41</v>
      </c>
      <c r="LJN1" s="404"/>
      <c r="LJO1" s="404"/>
      <c r="LJP1" s="404"/>
      <c r="LJQ1" s="404"/>
      <c r="LJR1" s="404"/>
      <c r="LJS1" s="404"/>
      <c r="LJT1" s="405"/>
      <c r="LJU1" s="408" t="s">
        <v>41</v>
      </c>
      <c r="LJV1" s="404"/>
      <c r="LJW1" s="404"/>
      <c r="LJX1" s="404"/>
      <c r="LJY1" s="404"/>
      <c r="LJZ1" s="404"/>
      <c r="LKA1" s="404"/>
      <c r="LKB1" s="405"/>
      <c r="LKC1" s="408" t="s">
        <v>41</v>
      </c>
      <c r="LKD1" s="404"/>
      <c r="LKE1" s="404"/>
      <c r="LKF1" s="404"/>
      <c r="LKG1" s="404"/>
      <c r="LKH1" s="404"/>
      <c r="LKI1" s="404"/>
      <c r="LKJ1" s="405"/>
      <c r="LKK1" s="408" t="s">
        <v>41</v>
      </c>
      <c r="LKL1" s="404"/>
      <c r="LKM1" s="404"/>
      <c r="LKN1" s="404"/>
      <c r="LKO1" s="404"/>
      <c r="LKP1" s="404"/>
      <c r="LKQ1" s="404"/>
      <c r="LKR1" s="405"/>
      <c r="LKS1" s="408" t="s">
        <v>41</v>
      </c>
      <c r="LKT1" s="404"/>
      <c r="LKU1" s="404"/>
      <c r="LKV1" s="404"/>
      <c r="LKW1" s="404"/>
      <c r="LKX1" s="404"/>
      <c r="LKY1" s="404"/>
      <c r="LKZ1" s="405"/>
      <c r="LLA1" s="408" t="s">
        <v>41</v>
      </c>
      <c r="LLB1" s="404"/>
      <c r="LLC1" s="404"/>
      <c r="LLD1" s="404"/>
      <c r="LLE1" s="404"/>
      <c r="LLF1" s="404"/>
      <c r="LLG1" s="404"/>
      <c r="LLH1" s="405"/>
      <c r="LLI1" s="408" t="s">
        <v>41</v>
      </c>
      <c r="LLJ1" s="404"/>
      <c r="LLK1" s="404"/>
      <c r="LLL1" s="404"/>
      <c r="LLM1" s="404"/>
      <c r="LLN1" s="404"/>
      <c r="LLO1" s="404"/>
      <c r="LLP1" s="405"/>
      <c r="LLQ1" s="408" t="s">
        <v>41</v>
      </c>
      <c r="LLR1" s="404"/>
      <c r="LLS1" s="404"/>
      <c r="LLT1" s="404"/>
      <c r="LLU1" s="404"/>
      <c r="LLV1" s="404"/>
      <c r="LLW1" s="404"/>
      <c r="LLX1" s="405"/>
      <c r="LLY1" s="408" t="s">
        <v>41</v>
      </c>
      <c r="LLZ1" s="404"/>
      <c r="LMA1" s="404"/>
      <c r="LMB1" s="404"/>
      <c r="LMC1" s="404"/>
      <c r="LMD1" s="404"/>
      <c r="LME1" s="404"/>
      <c r="LMF1" s="405"/>
      <c r="LMG1" s="408" t="s">
        <v>41</v>
      </c>
      <c r="LMH1" s="404"/>
      <c r="LMI1" s="404"/>
      <c r="LMJ1" s="404"/>
      <c r="LMK1" s="404"/>
      <c r="LML1" s="404"/>
      <c r="LMM1" s="404"/>
      <c r="LMN1" s="405"/>
      <c r="LMO1" s="408" t="s">
        <v>41</v>
      </c>
      <c r="LMP1" s="404"/>
      <c r="LMQ1" s="404"/>
      <c r="LMR1" s="404"/>
      <c r="LMS1" s="404"/>
      <c r="LMT1" s="404"/>
      <c r="LMU1" s="404"/>
      <c r="LMV1" s="405"/>
      <c r="LMW1" s="408" t="s">
        <v>41</v>
      </c>
      <c r="LMX1" s="404"/>
      <c r="LMY1" s="404"/>
      <c r="LMZ1" s="404"/>
      <c r="LNA1" s="404"/>
      <c r="LNB1" s="404"/>
      <c r="LNC1" s="404"/>
      <c r="LND1" s="405"/>
      <c r="LNE1" s="408" t="s">
        <v>41</v>
      </c>
      <c r="LNF1" s="404"/>
      <c r="LNG1" s="404"/>
      <c r="LNH1" s="404"/>
      <c r="LNI1" s="404"/>
      <c r="LNJ1" s="404"/>
      <c r="LNK1" s="404"/>
      <c r="LNL1" s="405"/>
      <c r="LNM1" s="408" t="s">
        <v>41</v>
      </c>
      <c r="LNN1" s="404"/>
      <c r="LNO1" s="404"/>
      <c r="LNP1" s="404"/>
      <c r="LNQ1" s="404"/>
      <c r="LNR1" s="404"/>
      <c r="LNS1" s="404"/>
      <c r="LNT1" s="405"/>
      <c r="LNU1" s="408" t="s">
        <v>41</v>
      </c>
      <c r="LNV1" s="404"/>
      <c r="LNW1" s="404"/>
      <c r="LNX1" s="404"/>
      <c r="LNY1" s="404"/>
      <c r="LNZ1" s="404"/>
      <c r="LOA1" s="404"/>
      <c r="LOB1" s="405"/>
      <c r="LOC1" s="408" t="s">
        <v>41</v>
      </c>
      <c r="LOD1" s="404"/>
      <c r="LOE1" s="404"/>
      <c r="LOF1" s="404"/>
      <c r="LOG1" s="404"/>
      <c r="LOH1" s="404"/>
      <c r="LOI1" s="404"/>
      <c r="LOJ1" s="405"/>
      <c r="LOK1" s="408" t="s">
        <v>41</v>
      </c>
      <c r="LOL1" s="404"/>
      <c r="LOM1" s="404"/>
      <c r="LON1" s="404"/>
      <c r="LOO1" s="404"/>
      <c r="LOP1" s="404"/>
      <c r="LOQ1" s="404"/>
      <c r="LOR1" s="405"/>
      <c r="LOS1" s="408" t="s">
        <v>41</v>
      </c>
      <c r="LOT1" s="404"/>
      <c r="LOU1" s="404"/>
      <c r="LOV1" s="404"/>
      <c r="LOW1" s="404"/>
      <c r="LOX1" s="404"/>
      <c r="LOY1" s="404"/>
      <c r="LOZ1" s="405"/>
      <c r="LPA1" s="408" t="s">
        <v>41</v>
      </c>
      <c r="LPB1" s="404"/>
      <c r="LPC1" s="404"/>
      <c r="LPD1" s="404"/>
      <c r="LPE1" s="404"/>
      <c r="LPF1" s="404"/>
      <c r="LPG1" s="404"/>
      <c r="LPH1" s="405"/>
      <c r="LPI1" s="408" t="s">
        <v>41</v>
      </c>
      <c r="LPJ1" s="404"/>
      <c r="LPK1" s="404"/>
      <c r="LPL1" s="404"/>
      <c r="LPM1" s="404"/>
      <c r="LPN1" s="404"/>
      <c r="LPO1" s="404"/>
      <c r="LPP1" s="405"/>
      <c r="LPQ1" s="408" t="s">
        <v>41</v>
      </c>
      <c r="LPR1" s="404"/>
      <c r="LPS1" s="404"/>
      <c r="LPT1" s="404"/>
      <c r="LPU1" s="404"/>
      <c r="LPV1" s="404"/>
      <c r="LPW1" s="404"/>
      <c r="LPX1" s="405"/>
      <c r="LPY1" s="408" t="s">
        <v>41</v>
      </c>
      <c r="LPZ1" s="404"/>
      <c r="LQA1" s="404"/>
      <c r="LQB1" s="404"/>
      <c r="LQC1" s="404"/>
      <c r="LQD1" s="404"/>
      <c r="LQE1" s="404"/>
      <c r="LQF1" s="405"/>
      <c r="LQG1" s="408" t="s">
        <v>41</v>
      </c>
      <c r="LQH1" s="404"/>
      <c r="LQI1" s="404"/>
      <c r="LQJ1" s="404"/>
      <c r="LQK1" s="404"/>
      <c r="LQL1" s="404"/>
      <c r="LQM1" s="404"/>
      <c r="LQN1" s="405"/>
      <c r="LQO1" s="408" t="s">
        <v>41</v>
      </c>
      <c r="LQP1" s="404"/>
      <c r="LQQ1" s="404"/>
      <c r="LQR1" s="404"/>
      <c r="LQS1" s="404"/>
      <c r="LQT1" s="404"/>
      <c r="LQU1" s="404"/>
      <c r="LQV1" s="405"/>
      <c r="LQW1" s="408" t="s">
        <v>41</v>
      </c>
      <c r="LQX1" s="404"/>
      <c r="LQY1" s="404"/>
      <c r="LQZ1" s="404"/>
      <c r="LRA1" s="404"/>
      <c r="LRB1" s="404"/>
      <c r="LRC1" s="404"/>
      <c r="LRD1" s="405"/>
      <c r="LRE1" s="408" t="s">
        <v>41</v>
      </c>
      <c r="LRF1" s="404"/>
      <c r="LRG1" s="404"/>
      <c r="LRH1" s="404"/>
      <c r="LRI1" s="404"/>
      <c r="LRJ1" s="404"/>
      <c r="LRK1" s="404"/>
      <c r="LRL1" s="405"/>
      <c r="LRM1" s="408" t="s">
        <v>41</v>
      </c>
      <c r="LRN1" s="404"/>
      <c r="LRO1" s="404"/>
      <c r="LRP1" s="404"/>
      <c r="LRQ1" s="404"/>
      <c r="LRR1" s="404"/>
      <c r="LRS1" s="404"/>
      <c r="LRT1" s="405"/>
      <c r="LRU1" s="408" t="s">
        <v>41</v>
      </c>
      <c r="LRV1" s="404"/>
      <c r="LRW1" s="404"/>
      <c r="LRX1" s="404"/>
      <c r="LRY1" s="404"/>
      <c r="LRZ1" s="404"/>
      <c r="LSA1" s="404"/>
      <c r="LSB1" s="405"/>
      <c r="LSC1" s="408" t="s">
        <v>41</v>
      </c>
      <c r="LSD1" s="404"/>
      <c r="LSE1" s="404"/>
      <c r="LSF1" s="404"/>
      <c r="LSG1" s="404"/>
      <c r="LSH1" s="404"/>
      <c r="LSI1" s="404"/>
      <c r="LSJ1" s="405"/>
      <c r="LSK1" s="408" t="s">
        <v>41</v>
      </c>
      <c r="LSL1" s="404"/>
      <c r="LSM1" s="404"/>
      <c r="LSN1" s="404"/>
      <c r="LSO1" s="404"/>
      <c r="LSP1" s="404"/>
      <c r="LSQ1" s="404"/>
      <c r="LSR1" s="405"/>
      <c r="LSS1" s="408" t="s">
        <v>41</v>
      </c>
      <c r="LST1" s="404"/>
      <c r="LSU1" s="404"/>
      <c r="LSV1" s="404"/>
      <c r="LSW1" s="404"/>
      <c r="LSX1" s="404"/>
      <c r="LSY1" s="404"/>
      <c r="LSZ1" s="405"/>
      <c r="LTA1" s="408" t="s">
        <v>41</v>
      </c>
      <c r="LTB1" s="404"/>
      <c r="LTC1" s="404"/>
      <c r="LTD1" s="404"/>
      <c r="LTE1" s="404"/>
      <c r="LTF1" s="404"/>
      <c r="LTG1" s="404"/>
      <c r="LTH1" s="405"/>
      <c r="LTI1" s="408" t="s">
        <v>41</v>
      </c>
      <c r="LTJ1" s="404"/>
      <c r="LTK1" s="404"/>
      <c r="LTL1" s="404"/>
      <c r="LTM1" s="404"/>
      <c r="LTN1" s="404"/>
      <c r="LTO1" s="404"/>
      <c r="LTP1" s="405"/>
      <c r="LTQ1" s="408" t="s">
        <v>41</v>
      </c>
      <c r="LTR1" s="404"/>
      <c r="LTS1" s="404"/>
      <c r="LTT1" s="404"/>
      <c r="LTU1" s="404"/>
      <c r="LTV1" s="404"/>
      <c r="LTW1" s="404"/>
      <c r="LTX1" s="405"/>
      <c r="LTY1" s="408" t="s">
        <v>41</v>
      </c>
      <c r="LTZ1" s="404"/>
      <c r="LUA1" s="404"/>
      <c r="LUB1" s="404"/>
      <c r="LUC1" s="404"/>
      <c r="LUD1" s="404"/>
      <c r="LUE1" s="404"/>
      <c r="LUF1" s="405"/>
      <c r="LUG1" s="408" t="s">
        <v>41</v>
      </c>
      <c r="LUH1" s="404"/>
      <c r="LUI1" s="404"/>
      <c r="LUJ1" s="404"/>
      <c r="LUK1" s="404"/>
      <c r="LUL1" s="404"/>
      <c r="LUM1" s="404"/>
      <c r="LUN1" s="405"/>
      <c r="LUO1" s="408" t="s">
        <v>41</v>
      </c>
      <c r="LUP1" s="404"/>
      <c r="LUQ1" s="404"/>
      <c r="LUR1" s="404"/>
      <c r="LUS1" s="404"/>
      <c r="LUT1" s="404"/>
      <c r="LUU1" s="404"/>
      <c r="LUV1" s="405"/>
      <c r="LUW1" s="408" t="s">
        <v>41</v>
      </c>
      <c r="LUX1" s="404"/>
      <c r="LUY1" s="404"/>
      <c r="LUZ1" s="404"/>
      <c r="LVA1" s="404"/>
      <c r="LVB1" s="404"/>
      <c r="LVC1" s="404"/>
      <c r="LVD1" s="405"/>
      <c r="LVE1" s="408" t="s">
        <v>41</v>
      </c>
      <c r="LVF1" s="404"/>
      <c r="LVG1" s="404"/>
      <c r="LVH1" s="404"/>
      <c r="LVI1" s="404"/>
      <c r="LVJ1" s="404"/>
      <c r="LVK1" s="404"/>
      <c r="LVL1" s="405"/>
      <c r="LVM1" s="408" t="s">
        <v>41</v>
      </c>
      <c r="LVN1" s="404"/>
      <c r="LVO1" s="404"/>
      <c r="LVP1" s="404"/>
      <c r="LVQ1" s="404"/>
      <c r="LVR1" s="404"/>
      <c r="LVS1" s="404"/>
      <c r="LVT1" s="405"/>
      <c r="LVU1" s="408" t="s">
        <v>41</v>
      </c>
      <c r="LVV1" s="404"/>
      <c r="LVW1" s="404"/>
      <c r="LVX1" s="404"/>
      <c r="LVY1" s="404"/>
      <c r="LVZ1" s="404"/>
      <c r="LWA1" s="404"/>
      <c r="LWB1" s="405"/>
      <c r="LWC1" s="408" t="s">
        <v>41</v>
      </c>
      <c r="LWD1" s="404"/>
      <c r="LWE1" s="404"/>
      <c r="LWF1" s="404"/>
      <c r="LWG1" s="404"/>
      <c r="LWH1" s="404"/>
      <c r="LWI1" s="404"/>
      <c r="LWJ1" s="405"/>
      <c r="LWK1" s="408" t="s">
        <v>41</v>
      </c>
      <c r="LWL1" s="404"/>
      <c r="LWM1" s="404"/>
      <c r="LWN1" s="404"/>
      <c r="LWO1" s="404"/>
      <c r="LWP1" s="404"/>
      <c r="LWQ1" s="404"/>
      <c r="LWR1" s="405"/>
      <c r="LWS1" s="408" t="s">
        <v>41</v>
      </c>
      <c r="LWT1" s="404"/>
      <c r="LWU1" s="404"/>
      <c r="LWV1" s="404"/>
      <c r="LWW1" s="404"/>
      <c r="LWX1" s="404"/>
      <c r="LWY1" s="404"/>
      <c r="LWZ1" s="405"/>
      <c r="LXA1" s="408" t="s">
        <v>41</v>
      </c>
      <c r="LXB1" s="404"/>
      <c r="LXC1" s="404"/>
      <c r="LXD1" s="404"/>
      <c r="LXE1" s="404"/>
      <c r="LXF1" s="404"/>
      <c r="LXG1" s="404"/>
      <c r="LXH1" s="405"/>
      <c r="LXI1" s="408" t="s">
        <v>41</v>
      </c>
      <c r="LXJ1" s="404"/>
      <c r="LXK1" s="404"/>
      <c r="LXL1" s="404"/>
      <c r="LXM1" s="404"/>
      <c r="LXN1" s="404"/>
      <c r="LXO1" s="404"/>
      <c r="LXP1" s="405"/>
      <c r="LXQ1" s="408" t="s">
        <v>41</v>
      </c>
      <c r="LXR1" s="404"/>
      <c r="LXS1" s="404"/>
      <c r="LXT1" s="404"/>
      <c r="LXU1" s="404"/>
      <c r="LXV1" s="404"/>
      <c r="LXW1" s="404"/>
      <c r="LXX1" s="405"/>
      <c r="LXY1" s="408" t="s">
        <v>41</v>
      </c>
      <c r="LXZ1" s="404"/>
      <c r="LYA1" s="404"/>
      <c r="LYB1" s="404"/>
      <c r="LYC1" s="404"/>
      <c r="LYD1" s="404"/>
      <c r="LYE1" s="404"/>
      <c r="LYF1" s="405"/>
      <c r="LYG1" s="408" t="s">
        <v>41</v>
      </c>
      <c r="LYH1" s="404"/>
      <c r="LYI1" s="404"/>
      <c r="LYJ1" s="404"/>
      <c r="LYK1" s="404"/>
      <c r="LYL1" s="404"/>
      <c r="LYM1" s="404"/>
      <c r="LYN1" s="405"/>
      <c r="LYO1" s="408" t="s">
        <v>41</v>
      </c>
      <c r="LYP1" s="404"/>
      <c r="LYQ1" s="404"/>
      <c r="LYR1" s="404"/>
      <c r="LYS1" s="404"/>
      <c r="LYT1" s="404"/>
      <c r="LYU1" s="404"/>
      <c r="LYV1" s="405"/>
      <c r="LYW1" s="408" t="s">
        <v>41</v>
      </c>
      <c r="LYX1" s="404"/>
      <c r="LYY1" s="404"/>
      <c r="LYZ1" s="404"/>
      <c r="LZA1" s="404"/>
      <c r="LZB1" s="404"/>
      <c r="LZC1" s="404"/>
      <c r="LZD1" s="405"/>
      <c r="LZE1" s="408" t="s">
        <v>41</v>
      </c>
      <c r="LZF1" s="404"/>
      <c r="LZG1" s="404"/>
      <c r="LZH1" s="404"/>
      <c r="LZI1" s="404"/>
      <c r="LZJ1" s="404"/>
      <c r="LZK1" s="404"/>
      <c r="LZL1" s="405"/>
      <c r="LZM1" s="408" t="s">
        <v>41</v>
      </c>
      <c r="LZN1" s="404"/>
      <c r="LZO1" s="404"/>
      <c r="LZP1" s="404"/>
      <c r="LZQ1" s="404"/>
      <c r="LZR1" s="404"/>
      <c r="LZS1" s="404"/>
      <c r="LZT1" s="405"/>
      <c r="LZU1" s="408" t="s">
        <v>41</v>
      </c>
      <c r="LZV1" s="404"/>
      <c r="LZW1" s="404"/>
      <c r="LZX1" s="404"/>
      <c r="LZY1" s="404"/>
      <c r="LZZ1" s="404"/>
      <c r="MAA1" s="404"/>
      <c r="MAB1" s="405"/>
      <c r="MAC1" s="408" t="s">
        <v>41</v>
      </c>
      <c r="MAD1" s="404"/>
      <c r="MAE1" s="404"/>
      <c r="MAF1" s="404"/>
      <c r="MAG1" s="404"/>
      <c r="MAH1" s="404"/>
      <c r="MAI1" s="404"/>
      <c r="MAJ1" s="405"/>
      <c r="MAK1" s="408" t="s">
        <v>41</v>
      </c>
      <c r="MAL1" s="404"/>
      <c r="MAM1" s="404"/>
      <c r="MAN1" s="404"/>
      <c r="MAO1" s="404"/>
      <c r="MAP1" s="404"/>
      <c r="MAQ1" s="404"/>
      <c r="MAR1" s="405"/>
      <c r="MAS1" s="408" t="s">
        <v>41</v>
      </c>
      <c r="MAT1" s="404"/>
      <c r="MAU1" s="404"/>
      <c r="MAV1" s="404"/>
      <c r="MAW1" s="404"/>
      <c r="MAX1" s="404"/>
      <c r="MAY1" s="404"/>
      <c r="MAZ1" s="405"/>
      <c r="MBA1" s="408" t="s">
        <v>41</v>
      </c>
      <c r="MBB1" s="404"/>
      <c r="MBC1" s="404"/>
      <c r="MBD1" s="404"/>
      <c r="MBE1" s="404"/>
      <c r="MBF1" s="404"/>
      <c r="MBG1" s="404"/>
      <c r="MBH1" s="405"/>
      <c r="MBI1" s="408" t="s">
        <v>41</v>
      </c>
      <c r="MBJ1" s="404"/>
      <c r="MBK1" s="404"/>
      <c r="MBL1" s="404"/>
      <c r="MBM1" s="404"/>
      <c r="MBN1" s="404"/>
      <c r="MBO1" s="404"/>
      <c r="MBP1" s="405"/>
      <c r="MBQ1" s="408" t="s">
        <v>41</v>
      </c>
      <c r="MBR1" s="404"/>
      <c r="MBS1" s="404"/>
      <c r="MBT1" s="404"/>
      <c r="MBU1" s="404"/>
      <c r="MBV1" s="404"/>
      <c r="MBW1" s="404"/>
      <c r="MBX1" s="405"/>
      <c r="MBY1" s="408" t="s">
        <v>41</v>
      </c>
      <c r="MBZ1" s="404"/>
      <c r="MCA1" s="404"/>
      <c r="MCB1" s="404"/>
      <c r="MCC1" s="404"/>
      <c r="MCD1" s="404"/>
      <c r="MCE1" s="404"/>
      <c r="MCF1" s="405"/>
      <c r="MCG1" s="408" t="s">
        <v>41</v>
      </c>
      <c r="MCH1" s="404"/>
      <c r="MCI1" s="404"/>
      <c r="MCJ1" s="404"/>
      <c r="MCK1" s="404"/>
      <c r="MCL1" s="404"/>
      <c r="MCM1" s="404"/>
      <c r="MCN1" s="405"/>
      <c r="MCO1" s="408" t="s">
        <v>41</v>
      </c>
      <c r="MCP1" s="404"/>
      <c r="MCQ1" s="404"/>
      <c r="MCR1" s="404"/>
      <c r="MCS1" s="404"/>
      <c r="MCT1" s="404"/>
      <c r="MCU1" s="404"/>
      <c r="MCV1" s="405"/>
      <c r="MCW1" s="408" t="s">
        <v>41</v>
      </c>
      <c r="MCX1" s="404"/>
      <c r="MCY1" s="404"/>
      <c r="MCZ1" s="404"/>
      <c r="MDA1" s="404"/>
      <c r="MDB1" s="404"/>
      <c r="MDC1" s="404"/>
      <c r="MDD1" s="405"/>
      <c r="MDE1" s="408" t="s">
        <v>41</v>
      </c>
      <c r="MDF1" s="404"/>
      <c r="MDG1" s="404"/>
      <c r="MDH1" s="404"/>
      <c r="MDI1" s="404"/>
      <c r="MDJ1" s="404"/>
      <c r="MDK1" s="404"/>
      <c r="MDL1" s="405"/>
      <c r="MDM1" s="408" t="s">
        <v>41</v>
      </c>
      <c r="MDN1" s="404"/>
      <c r="MDO1" s="404"/>
      <c r="MDP1" s="404"/>
      <c r="MDQ1" s="404"/>
      <c r="MDR1" s="404"/>
      <c r="MDS1" s="404"/>
      <c r="MDT1" s="405"/>
      <c r="MDU1" s="408" t="s">
        <v>41</v>
      </c>
      <c r="MDV1" s="404"/>
      <c r="MDW1" s="404"/>
      <c r="MDX1" s="404"/>
      <c r="MDY1" s="404"/>
      <c r="MDZ1" s="404"/>
      <c r="MEA1" s="404"/>
      <c r="MEB1" s="405"/>
      <c r="MEC1" s="408" t="s">
        <v>41</v>
      </c>
      <c r="MED1" s="404"/>
      <c r="MEE1" s="404"/>
      <c r="MEF1" s="404"/>
      <c r="MEG1" s="404"/>
      <c r="MEH1" s="404"/>
      <c r="MEI1" s="404"/>
      <c r="MEJ1" s="405"/>
      <c r="MEK1" s="408" t="s">
        <v>41</v>
      </c>
      <c r="MEL1" s="404"/>
      <c r="MEM1" s="404"/>
      <c r="MEN1" s="404"/>
      <c r="MEO1" s="404"/>
      <c r="MEP1" s="404"/>
      <c r="MEQ1" s="404"/>
      <c r="MER1" s="405"/>
      <c r="MES1" s="408" t="s">
        <v>41</v>
      </c>
      <c r="MET1" s="404"/>
      <c r="MEU1" s="404"/>
      <c r="MEV1" s="404"/>
      <c r="MEW1" s="404"/>
      <c r="MEX1" s="404"/>
      <c r="MEY1" s="404"/>
      <c r="MEZ1" s="405"/>
      <c r="MFA1" s="408" t="s">
        <v>41</v>
      </c>
      <c r="MFB1" s="404"/>
      <c r="MFC1" s="404"/>
      <c r="MFD1" s="404"/>
      <c r="MFE1" s="404"/>
      <c r="MFF1" s="404"/>
      <c r="MFG1" s="404"/>
      <c r="MFH1" s="405"/>
      <c r="MFI1" s="408" t="s">
        <v>41</v>
      </c>
      <c r="MFJ1" s="404"/>
      <c r="MFK1" s="404"/>
      <c r="MFL1" s="404"/>
      <c r="MFM1" s="404"/>
      <c r="MFN1" s="404"/>
      <c r="MFO1" s="404"/>
      <c r="MFP1" s="405"/>
      <c r="MFQ1" s="408" t="s">
        <v>41</v>
      </c>
      <c r="MFR1" s="404"/>
      <c r="MFS1" s="404"/>
      <c r="MFT1" s="404"/>
      <c r="MFU1" s="404"/>
      <c r="MFV1" s="404"/>
      <c r="MFW1" s="404"/>
      <c r="MFX1" s="405"/>
      <c r="MFY1" s="408" t="s">
        <v>41</v>
      </c>
      <c r="MFZ1" s="404"/>
      <c r="MGA1" s="404"/>
      <c r="MGB1" s="404"/>
      <c r="MGC1" s="404"/>
      <c r="MGD1" s="404"/>
      <c r="MGE1" s="404"/>
      <c r="MGF1" s="405"/>
      <c r="MGG1" s="408" t="s">
        <v>41</v>
      </c>
      <c r="MGH1" s="404"/>
      <c r="MGI1" s="404"/>
      <c r="MGJ1" s="404"/>
      <c r="MGK1" s="404"/>
      <c r="MGL1" s="404"/>
      <c r="MGM1" s="404"/>
      <c r="MGN1" s="405"/>
      <c r="MGO1" s="408" t="s">
        <v>41</v>
      </c>
      <c r="MGP1" s="404"/>
      <c r="MGQ1" s="404"/>
      <c r="MGR1" s="404"/>
      <c r="MGS1" s="404"/>
      <c r="MGT1" s="404"/>
      <c r="MGU1" s="404"/>
      <c r="MGV1" s="405"/>
      <c r="MGW1" s="408" t="s">
        <v>41</v>
      </c>
      <c r="MGX1" s="404"/>
      <c r="MGY1" s="404"/>
      <c r="MGZ1" s="404"/>
      <c r="MHA1" s="404"/>
      <c r="MHB1" s="404"/>
      <c r="MHC1" s="404"/>
      <c r="MHD1" s="405"/>
      <c r="MHE1" s="408" t="s">
        <v>41</v>
      </c>
      <c r="MHF1" s="404"/>
      <c r="MHG1" s="404"/>
      <c r="MHH1" s="404"/>
      <c r="MHI1" s="404"/>
      <c r="MHJ1" s="404"/>
      <c r="MHK1" s="404"/>
      <c r="MHL1" s="405"/>
      <c r="MHM1" s="408" t="s">
        <v>41</v>
      </c>
      <c r="MHN1" s="404"/>
      <c r="MHO1" s="404"/>
      <c r="MHP1" s="404"/>
      <c r="MHQ1" s="404"/>
      <c r="MHR1" s="404"/>
      <c r="MHS1" s="404"/>
      <c r="MHT1" s="405"/>
      <c r="MHU1" s="408" t="s">
        <v>41</v>
      </c>
      <c r="MHV1" s="404"/>
      <c r="MHW1" s="404"/>
      <c r="MHX1" s="404"/>
      <c r="MHY1" s="404"/>
      <c r="MHZ1" s="404"/>
      <c r="MIA1" s="404"/>
      <c r="MIB1" s="405"/>
      <c r="MIC1" s="408" t="s">
        <v>41</v>
      </c>
      <c r="MID1" s="404"/>
      <c r="MIE1" s="404"/>
      <c r="MIF1" s="404"/>
      <c r="MIG1" s="404"/>
      <c r="MIH1" s="404"/>
      <c r="MII1" s="404"/>
      <c r="MIJ1" s="405"/>
      <c r="MIK1" s="408" t="s">
        <v>41</v>
      </c>
      <c r="MIL1" s="404"/>
      <c r="MIM1" s="404"/>
      <c r="MIN1" s="404"/>
      <c r="MIO1" s="404"/>
      <c r="MIP1" s="404"/>
      <c r="MIQ1" s="404"/>
      <c r="MIR1" s="405"/>
      <c r="MIS1" s="408" t="s">
        <v>41</v>
      </c>
      <c r="MIT1" s="404"/>
      <c r="MIU1" s="404"/>
      <c r="MIV1" s="404"/>
      <c r="MIW1" s="404"/>
      <c r="MIX1" s="404"/>
      <c r="MIY1" s="404"/>
      <c r="MIZ1" s="405"/>
      <c r="MJA1" s="408" t="s">
        <v>41</v>
      </c>
      <c r="MJB1" s="404"/>
      <c r="MJC1" s="404"/>
      <c r="MJD1" s="404"/>
      <c r="MJE1" s="404"/>
      <c r="MJF1" s="404"/>
      <c r="MJG1" s="404"/>
      <c r="MJH1" s="405"/>
      <c r="MJI1" s="408" t="s">
        <v>41</v>
      </c>
      <c r="MJJ1" s="404"/>
      <c r="MJK1" s="404"/>
      <c r="MJL1" s="404"/>
      <c r="MJM1" s="404"/>
      <c r="MJN1" s="404"/>
      <c r="MJO1" s="404"/>
      <c r="MJP1" s="405"/>
      <c r="MJQ1" s="408" t="s">
        <v>41</v>
      </c>
      <c r="MJR1" s="404"/>
      <c r="MJS1" s="404"/>
      <c r="MJT1" s="404"/>
      <c r="MJU1" s="404"/>
      <c r="MJV1" s="404"/>
      <c r="MJW1" s="404"/>
      <c r="MJX1" s="405"/>
      <c r="MJY1" s="408" t="s">
        <v>41</v>
      </c>
      <c r="MJZ1" s="404"/>
      <c r="MKA1" s="404"/>
      <c r="MKB1" s="404"/>
      <c r="MKC1" s="404"/>
      <c r="MKD1" s="404"/>
      <c r="MKE1" s="404"/>
      <c r="MKF1" s="405"/>
      <c r="MKG1" s="408" t="s">
        <v>41</v>
      </c>
      <c r="MKH1" s="404"/>
      <c r="MKI1" s="404"/>
      <c r="MKJ1" s="404"/>
      <c r="MKK1" s="404"/>
      <c r="MKL1" s="404"/>
      <c r="MKM1" s="404"/>
      <c r="MKN1" s="405"/>
      <c r="MKO1" s="408" t="s">
        <v>41</v>
      </c>
      <c r="MKP1" s="404"/>
      <c r="MKQ1" s="404"/>
      <c r="MKR1" s="404"/>
      <c r="MKS1" s="404"/>
      <c r="MKT1" s="404"/>
      <c r="MKU1" s="404"/>
      <c r="MKV1" s="405"/>
      <c r="MKW1" s="408" t="s">
        <v>41</v>
      </c>
      <c r="MKX1" s="404"/>
      <c r="MKY1" s="404"/>
      <c r="MKZ1" s="404"/>
      <c r="MLA1" s="404"/>
      <c r="MLB1" s="404"/>
      <c r="MLC1" s="404"/>
      <c r="MLD1" s="405"/>
      <c r="MLE1" s="408" t="s">
        <v>41</v>
      </c>
      <c r="MLF1" s="404"/>
      <c r="MLG1" s="404"/>
      <c r="MLH1" s="404"/>
      <c r="MLI1" s="404"/>
      <c r="MLJ1" s="404"/>
      <c r="MLK1" s="404"/>
      <c r="MLL1" s="405"/>
      <c r="MLM1" s="408" t="s">
        <v>41</v>
      </c>
      <c r="MLN1" s="404"/>
      <c r="MLO1" s="404"/>
      <c r="MLP1" s="404"/>
      <c r="MLQ1" s="404"/>
      <c r="MLR1" s="404"/>
      <c r="MLS1" s="404"/>
      <c r="MLT1" s="405"/>
      <c r="MLU1" s="408" t="s">
        <v>41</v>
      </c>
      <c r="MLV1" s="404"/>
      <c r="MLW1" s="404"/>
      <c r="MLX1" s="404"/>
      <c r="MLY1" s="404"/>
      <c r="MLZ1" s="404"/>
      <c r="MMA1" s="404"/>
      <c r="MMB1" s="405"/>
      <c r="MMC1" s="408" t="s">
        <v>41</v>
      </c>
      <c r="MMD1" s="404"/>
      <c r="MME1" s="404"/>
      <c r="MMF1" s="404"/>
      <c r="MMG1" s="404"/>
      <c r="MMH1" s="404"/>
      <c r="MMI1" s="404"/>
      <c r="MMJ1" s="405"/>
      <c r="MMK1" s="408" t="s">
        <v>41</v>
      </c>
      <c r="MML1" s="404"/>
      <c r="MMM1" s="404"/>
      <c r="MMN1" s="404"/>
      <c r="MMO1" s="404"/>
      <c r="MMP1" s="404"/>
      <c r="MMQ1" s="404"/>
      <c r="MMR1" s="405"/>
      <c r="MMS1" s="408" t="s">
        <v>41</v>
      </c>
      <c r="MMT1" s="404"/>
      <c r="MMU1" s="404"/>
      <c r="MMV1" s="404"/>
      <c r="MMW1" s="404"/>
      <c r="MMX1" s="404"/>
      <c r="MMY1" s="404"/>
      <c r="MMZ1" s="405"/>
      <c r="MNA1" s="408" t="s">
        <v>41</v>
      </c>
      <c r="MNB1" s="404"/>
      <c r="MNC1" s="404"/>
      <c r="MND1" s="404"/>
      <c r="MNE1" s="404"/>
      <c r="MNF1" s="404"/>
      <c r="MNG1" s="404"/>
      <c r="MNH1" s="405"/>
      <c r="MNI1" s="408" t="s">
        <v>41</v>
      </c>
      <c r="MNJ1" s="404"/>
      <c r="MNK1" s="404"/>
      <c r="MNL1" s="404"/>
      <c r="MNM1" s="404"/>
      <c r="MNN1" s="404"/>
      <c r="MNO1" s="404"/>
      <c r="MNP1" s="405"/>
      <c r="MNQ1" s="408" t="s">
        <v>41</v>
      </c>
      <c r="MNR1" s="404"/>
      <c r="MNS1" s="404"/>
      <c r="MNT1" s="404"/>
      <c r="MNU1" s="404"/>
      <c r="MNV1" s="404"/>
      <c r="MNW1" s="404"/>
      <c r="MNX1" s="405"/>
      <c r="MNY1" s="408" t="s">
        <v>41</v>
      </c>
      <c r="MNZ1" s="404"/>
      <c r="MOA1" s="404"/>
      <c r="MOB1" s="404"/>
      <c r="MOC1" s="404"/>
      <c r="MOD1" s="404"/>
      <c r="MOE1" s="404"/>
      <c r="MOF1" s="405"/>
      <c r="MOG1" s="408" t="s">
        <v>41</v>
      </c>
      <c r="MOH1" s="404"/>
      <c r="MOI1" s="404"/>
      <c r="MOJ1" s="404"/>
      <c r="MOK1" s="404"/>
      <c r="MOL1" s="404"/>
      <c r="MOM1" s="404"/>
      <c r="MON1" s="405"/>
      <c r="MOO1" s="408" t="s">
        <v>41</v>
      </c>
      <c r="MOP1" s="404"/>
      <c r="MOQ1" s="404"/>
      <c r="MOR1" s="404"/>
      <c r="MOS1" s="404"/>
      <c r="MOT1" s="404"/>
      <c r="MOU1" s="404"/>
      <c r="MOV1" s="405"/>
      <c r="MOW1" s="408" t="s">
        <v>41</v>
      </c>
      <c r="MOX1" s="404"/>
      <c r="MOY1" s="404"/>
      <c r="MOZ1" s="404"/>
      <c r="MPA1" s="404"/>
      <c r="MPB1" s="404"/>
      <c r="MPC1" s="404"/>
      <c r="MPD1" s="405"/>
      <c r="MPE1" s="408" t="s">
        <v>41</v>
      </c>
      <c r="MPF1" s="404"/>
      <c r="MPG1" s="404"/>
      <c r="MPH1" s="404"/>
      <c r="MPI1" s="404"/>
      <c r="MPJ1" s="404"/>
      <c r="MPK1" s="404"/>
      <c r="MPL1" s="405"/>
      <c r="MPM1" s="408" t="s">
        <v>41</v>
      </c>
      <c r="MPN1" s="404"/>
      <c r="MPO1" s="404"/>
      <c r="MPP1" s="404"/>
      <c r="MPQ1" s="404"/>
      <c r="MPR1" s="404"/>
      <c r="MPS1" s="404"/>
      <c r="MPT1" s="405"/>
      <c r="MPU1" s="408" t="s">
        <v>41</v>
      </c>
      <c r="MPV1" s="404"/>
      <c r="MPW1" s="404"/>
      <c r="MPX1" s="404"/>
      <c r="MPY1" s="404"/>
      <c r="MPZ1" s="404"/>
      <c r="MQA1" s="404"/>
      <c r="MQB1" s="405"/>
      <c r="MQC1" s="408" t="s">
        <v>41</v>
      </c>
      <c r="MQD1" s="404"/>
      <c r="MQE1" s="404"/>
      <c r="MQF1" s="404"/>
      <c r="MQG1" s="404"/>
      <c r="MQH1" s="404"/>
      <c r="MQI1" s="404"/>
      <c r="MQJ1" s="405"/>
      <c r="MQK1" s="408" t="s">
        <v>41</v>
      </c>
      <c r="MQL1" s="404"/>
      <c r="MQM1" s="404"/>
      <c r="MQN1" s="404"/>
      <c r="MQO1" s="404"/>
      <c r="MQP1" s="404"/>
      <c r="MQQ1" s="404"/>
      <c r="MQR1" s="405"/>
      <c r="MQS1" s="408" t="s">
        <v>41</v>
      </c>
      <c r="MQT1" s="404"/>
      <c r="MQU1" s="404"/>
      <c r="MQV1" s="404"/>
      <c r="MQW1" s="404"/>
      <c r="MQX1" s="404"/>
      <c r="MQY1" s="404"/>
      <c r="MQZ1" s="405"/>
      <c r="MRA1" s="408" t="s">
        <v>41</v>
      </c>
      <c r="MRB1" s="404"/>
      <c r="MRC1" s="404"/>
      <c r="MRD1" s="404"/>
      <c r="MRE1" s="404"/>
      <c r="MRF1" s="404"/>
      <c r="MRG1" s="404"/>
      <c r="MRH1" s="405"/>
      <c r="MRI1" s="408" t="s">
        <v>41</v>
      </c>
      <c r="MRJ1" s="404"/>
      <c r="MRK1" s="404"/>
      <c r="MRL1" s="404"/>
      <c r="MRM1" s="404"/>
      <c r="MRN1" s="404"/>
      <c r="MRO1" s="404"/>
      <c r="MRP1" s="405"/>
      <c r="MRQ1" s="408" t="s">
        <v>41</v>
      </c>
      <c r="MRR1" s="404"/>
      <c r="MRS1" s="404"/>
      <c r="MRT1" s="404"/>
      <c r="MRU1" s="404"/>
      <c r="MRV1" s="404"/>
      <c r="MRW1" s="404"/>
      <c r="MRX1" s="405"/>
      <c r="MRY1" s="408" t="s">
        <v>41</v>
      </c>
      <c r="MRZ1" s="404"/>
      <c r="MSA1" s="404"/>
      <c r="MSB1" s="404"/>
      <c r="MSC1" s="404"/>
      <c r="MSD1" s="404"/>
      <c r="MSE1" s="404"/>
      <c r="MSF1" s="405"/>
      <c r="MSG1" s="408" t="s">
        <v>41</v>
      </c>
      <c r="MSH1" s="404"/>
      <c r="MSI1" s="404"/>
      <c r="MSJ1" s="404"/>
      <c r="MSK1" s="404"/>
      <c r="MSL1" s="404"/>
      <c r="MSM1" s="404"/>
      <c r="MSN1" s="405"/>
      <c r="MSO1" s="408" t="s">
        <v>41</v>
      </c>
      <c r="MSP1" s="404"/>
      <c r="MSQ1" s="404"/>
      <c r="MSR1" s="404"/>
      <c r="MSS1" s="404"/>
      <c r="MST1" s="404"/>
      <c r="MSU1" s="404"/>
      <c r="MSV1" s="405"/>
      <c r="MSW1" s="408" t="s">
        <v>41</v>
      </c>
      <c r="MSX1" s="404"/>
      <c r="MSY1" s="404"/>
      <c r="MSZ1" s="404"/>
      <c r="MTA1" s="404"/>
      <c r="MTB1" s="404"/>
      <c r="MTC1" s="404"/>
      <c r="MTD1" s="405"/>
      <c r="MTE1" s="408" t="s">
        <v>41</v>
      </c>
      <c r="MTF1" s="404"/>
      <c r="MTG1" s="404"/>
      <c r="MTH1" s="404"/>
      <c r="MTI1" s="404"/>
      <c r="MTJ1" s="404"/>
      <c r="MTK1" s="404"/>
      <c r="MTL1" s="405"/>
      <c r="MTM1" s="408" t="s">
        <v>41</v>
      </c>
      <c r="MTN1" s="404"/>
      <c r="MTO1" s="404"/>
      <c r="MTP1" s="404"/>
      <c r="MTQ1" s="404"/>
      <c r="MTR1" s="404"/>
      <c r="MTS1" s="404"/>
      <c r="MTT1" s="405"/>
      <c r="MTU1" s="408" t="s">
        <v>41</v>
      </c>
      <c r="MTV1" s="404"/>
      <c r="MTW1" s="404"/>
      <c r="MTX1" s="404"/>
      <c r="MTY1" s="404"/>
      <c r="MTZ1" s="404"/>
      <c r="MUA1" s="404"/>
      <c r="MUB1" s="405"/>
      <c r="MUC1" s="408" t="s">
        <v>41</v>
      </c>
      <c r="MUD1" s="404"/>
      <c r="MUE1" s="404"/>
      <c r="MUF1" s="404"/>
      <c r="MUG1" s="404"/>
      <c r="MUH1" s="404"/>
      <c r="MUI1" s="404"/>
      <c r="MUJ1" s="405"/>
      <c r="MUK1" s="408" t="s">
        <v>41</v>
      </c>
      <c r="MUL1" s="404"/>
      <c r="MUM1" s="404"/>
      <c r="MUN1" s="404"/>
      <c r="MUO1" s="404"/>
      <c r="MUP1" s="404"/>
      <c r="MUQ1" s="404"/>
      <c r="MUR1" s="405"/>
      <c r="MUS1" s="408" t="s">
        <v>41</v>
      </c>
      <c r="MUT1" s="404"/>
      <c r="MUU1" s="404"/>
      <c r="MUV1" s="404"/>
      <c r="MUW1" s="404"/>
      <c r="MUX1" s="404"/>
      <c r="MUY1" s="404"/>
      <c r="MUZ1" s="405"/>
      <c r="MVA1" s="408" t="s">
        <v>41</v>
      </c>
      <c r="MVB1" s="404"/>
      <c r="MVC1" s="404"/>
      <c r="MVD1" s="404"/>
      <c r="MVE1" s="404"/>
      <c r="MVF1" s="404"/>
      <c r="MVG1" s="404"/>
      <c r="MVH1" s="405"/>
      <c r="MVI1" s="408" t="s">
        <v>41</v>
      </c>
      <c r="MVJ1" s="404"/>
      <c r="MVK1" s="404"/>
      <c r="MVL1" s="404"/>
      <c r="MVM1" s="404"/>
      <c r="MVN1" s="404"/>
      <c r="MVO1" s="404"/>
      <c r="MVP1" s="405"/>
      <c r="MVQ1" s="408" t="s">
        <v>41</v>
      </c>
      <c r="MVR1" s="404"/>
      <c r="MVS1" s="404"/>
      <c r="MVT1" s="404"/>
      <c r="MVU1" s="404"/>
      <c r="MVV1" s="404"/>
      <c r="MVW1" s="404"/>
      <c r="MVX1" s="405"/>
      <c r="MVY1" s="408" t="s">
        <v>41</v>
      </c>
      <c r="MVZ1" s="404"/>
      <c r="MWA1" s="404"/>
      <c r="MWB1" s="404"/>
      <c r="MWC1" s="404"/>
      <c r="MWD1" s="404"/>
      <c r="MWE1" s="404"/>
      <c r="MWF1" s="405"/>
      <c r="MWG1" s="408" t="s">
        <v>41</v>
      </c>
      <c r="MWH1" s="404"/>
      <c r="MWI1" s="404"/>
      <c r="MWJ1" s="404"/>
      <c r="MWK1" s="404"/>
      <c r="MWL1" s="404"/>
      <c r="MWM1" s="404"/>
      <c r="MWN1" s="405"/>
      <c r="MWO1" s="408" t="s">
        <v>41</v>
      </c>
      <c r="MWP1" s="404"/>
      <c r="MWQ1" s="404"/>
      <c r="MWR1" s="404"/>
      <c r="MWS1" s="404"/>
      <c r="MWT1" s="404"/>
      <c r="MWU1" s="404"/>
      <c r="MWV1" s="405"/>
      <c r="MWW1" s="408" t="s">
        <v>41</v>
      </c>
      <c r="MWX1" s="404"/>
      <c r="MWY1" s="404"/>
      <c r="MWZ1" s="404"/>
      <c r="MXA1" s="404"/>
      <c r="MXB1" s="404"/>
      <c r="MXC1" s="404"/>
      <c r="MXD1" s="405"/>
      <c r="MXE1" s="408" t="s">
        <v>41</v>
      </c>
      <c r="MXF1" s="404"/>
      <c r="MXG1" s="404"/>
      <c r="MXH1" s="404"/>
      <c r="MXI1" s="404"/>
      <c r="MXJ1" s="404"/>
      <c r="MXK1" s="404"/>
      <c r="MXL1" s="405"/>
      <c r="MXM1" s="408" t="s">
        <v>41</v>
      </c>
      <c r="MXN1" s="404"/>
      <c r="MXO1" s="404"/>
      <c r="MXP1" s="404"/>
      <c r="MXQ1" s="404"/>
      <c r="MXR1" s="404"/>
      <c r="MXS1" s="404"/>
      <c r="MXT1" s="405"/>
      <c r="MXU1" s="408" t="s">
        <v>41</v>
      </c>
      <c r="MXV1" s="404"/>
      <c r="MXW1" s="404"/>
      <c r="MXX1" s="404"/>
      <c r="MXY1" s="404"/>
      <c r="MXZ1" s="404"/>
      <c r="MYA1" s="404"/>
      <c r="MYB1" s="405"/>
      <c r="MYC1" s="408" t="s">
        <v>41</v>
      </c>
      <c r="MYD1" s="404"/>
      <c r="MYE1" s="404"/>
      <c r="MYF1" s="404"/>
      <c r="MYG1" s="404"/>
      <c r="MYH1" s="404"/>
      <c r="MYI1" s="404"/>
      <c r="MYJ1" s="405"/>
      <c r="MYK1" s="408" t="s">
        <v>41</v>
      </c>
      <c r="MYL1" s="404"/>
      <c r="MYM1" s="404"/>
      <c r="MYN1" s="404"/>
      <c r="MYO1" s="404"/>
      <c r="MYP1" s="404"/>
      <c r="MYQ1" s="404"/>
      <c r="MYR1" s="405"/>
      <c r="MYS1" s="408" t="s">
        <v>41</v>
      </c>
      <c r="MYT1" s="404"/>
      <c r="MYU1" s="404"/>
      <c r="MYV1" s="404"/>
      <c r="MYW1" s="404"/>
      <c r="MYX1" s="404"/>
      <c r="MYY1" s="404"/>
      <c r="MYZ1" s="405"/>
      <c r="MZA1" s="408" t="s">
        <v>41</v>
      </c>
      <c r="MZB1" s="404"/>
      <c r="MZC1" s="404"/>
      <c r="MZD1" s="404"/>
      <c r="MZE1" s="404"/>
      <c r="MZF1" s="404"/>
      <c r="MZG1" s="404"/>
      <c r="MZH1" s="405"/>
      <c r="MZI1" s="408" t="s">
        <v>41</v>
      </c>
      <c r="MZJ1" s="404"/>
      <c r="MZK1" s="404"/>
      <c r="MZL1" s="404"/>
      <c r="MZM1" s="404"/>
      <c r="MZN1" s="404"/>
      <c r="MZO1" s="404"/>
      <c r="MZP1" s="405"/>
      <c r="MZQ1" s="408" t="s">
        <v>41</v>
      </c>
      <c r="MZR1" s="404"/>
      <c r="MZS1" s="404"/>
      <c r="MZT1" s="404"/>
      <c r="MZU1" s="404"/>
      <c r="MZV1" s="404"/>
      <c r="MZW1" s="404"/>
      <c r="MZX1" s="405"/>
      <c r="MZY1" s="408" t="s">
        <v>41</v>
      </c>
      <c r="MZZ1" s="404"/>
      <c r="NAA1" s="404"/>
      <c r="NAB1" s="404"/>
      <c r="NAC1" s="404"/>
      <c r="NAD1" s="404"/>
      <c r="NAE1" s="404"/>
      <c r="NAF1" s="405"/>
      <c r="NAG1" s="408" t="s">
        <v>41</v>
      </c>
      <c r="NAH1" s="404"/>
      <c r="NAI1" s="404"/>
      <c r="NAJ1" s="404"/>
      <c r="NAK1" s="404"/>
      <c r="NAL1" s="404"/>
      <c r="NAM1" s="404"/>
      <c r="NAN1" s="405"/>
      <c r="NAO1" s="408" t="s">
        <v>41</v>
      </c>
      <c r="NAP1" s="404"/>
      <c r="NAQ1" s="404"/>
      <c r="NAR1" s="404"/>
      <c r="NAS1" s="404"/>
      <c r="NAT1" s="404"/>
      <c r="NAU1" s="404"/>
      <c r="NAV1" s="405"/>
      <c r="NAW1" s="408" t="s">
        <v>41</v>
      </c>
      <c r="NAX1" s="404"/>
      <c r="NAY1" s="404"/>
      <c r="NAZ1" s="404"/>
      <c r="NBA1" s="404"/>
      <c r="NBB1" s="404"/>
      <c r="NBC1" s="404"/>
      <c r="NBD1" s="405"/>
      <c r="NBE1" s="408" t="s">
        <v>41</v>
      </c>
      <c r="NBF1" s="404"/>
      <c r="NBG1" s="404"/>
      <c r="NBH1" s="404"/>
      <c r="NBI1" s="404"/>
      <c r="NBJ1" s="404"/>
      <c r="NBK1" s="404"/>
      <c r="NBL1" s="405"/>
      <c r="NBM1" s="408" t="s">
        <v>41</v>
      </c>
      <c r="NBN1" s="404"/>
      <c r="NBO1" s="404"/>
      <c r="NBP1" s="404"/>
      <c r="NBQ1" s="404"/>
      <c r="NBR1" s="404"/>
      <c r="NBS1" s="404"/>
      <c r="NBT1" s="405"/>
      <c r="NBU1" s="408" t="s">
        <v>41</v>
      </c>
      <c r="NBV1" s="404"/>
      <c r="NBW1" s="404"/>
      <c r="NBX1" s="404"/>
      <c r="NBY1" s="404"/>
      <c r="NBZ1" s="404"/>
      <c r="NCA1" s="404"/>
      <c r="NCB1" s="405"/>
      <c r="NCC1" s="408" t="s">
        <v>41</v>
      </c>
      <c r="NCD1" s="404"/>
      <c r="NCE1" s="404"/>
      <c r="NCF1" s="404"/>
      <c r="NCG1" s="404"/>
      <c r="NCH1" s="404"/>
      <c r="NCI1" s="404"/>
      <c r="NCJ1" s="405"/>
      <c r="NCK1" s="408" t="s">
        <v>41</v>
      </c>
      <c r="NCL1" s="404"/>
      <c r="NCM1" s="404"/>
      <c r="NCN1" s="404"/>
      <c r="NCO1" s="404"/>
      <c r="NCP1" s="404"/>
      <c r="NCQ1" s="404"/>
      <c r="NCR1" s="405"/>
      <c r="NCS1" s="408" t="s">
        <v>41</v>
      </c>
      <c r="NCT1" s="404"/>
      <c r="NCU1" s="404"/>
      <c r="NCV1" s="404"/>
      <c r="NCW1" s="404"/>
      <c r="NCX1" s="404"/>
      <c r="NCY1" s="404"/>
      <c r="NCZ1" s="405"/>
      <c r="NDA1" s="408" t="s">
        <v>41</v>
      </c>
      <c r="NDB1" s="404"/>
      <c r="NDC1" s="404"/>
      <c r="NDD1" s="404"/>
      <c r="NDE1" s="404"/>
      <c r="NDF1" s="404"/>
      <c r="NDG1" s="404"/>
      <c r="NDH1" s="405"/>
      <c r="NDI1" s="408" t="s">
        <v>41</v>
      </c>
      <c r="NDJ1" s="404"/>
      <c r="NDK1" s="404"/>
      <c r="NDL1" s="404"/>
      <c r="NDM1" s="404"/>
      <c r="NDN1" s="404"/>
      <c r="NDO1" s="404"/>
      <c r="NDP1" s="405"/>
      <c r="NDQ1" s="408" t="s">
        <v>41</v>
      </c>
      <c r="NDR1" s="404"/>
      <c r="NDS1" s="404"/>
      <c r="NDT1" s="404"/>
      <c r="NDU1" s="404"/>
      <c r="NDV1" s="404"/>
      <c r="NDW1" s="404"/>
      <c r="NDX1" s="405"/>
      <c r="NDY1" s="408" t="s">
        <v>41</v>
      </c>
      <c r="NDZ1" s="404"/>
      <c r="NEA1" s="404"/>
      <c r="NEB1" s="404"/>
      <c r="NEC1" s="404"/>
      <c r="NED1" s="404"/>
      <c r="NEE1" s="404"/>
      <c r="NEF1" s="405"/>
      <c r="NEG1" s="408" t="s">
        <v>41</v>
      </c>
      <c r="NEH1" s="404"/>
      <c r="NEI1" s="404"/>
      <c r="NEJ1" s="404"/>
      <c r="NEK1" s="404"/>
      <c r="NEL1" s="404"/>
      <c r="NEM1" s="404"/>
      <c r="NEN1" s="405"/>
      <c r="NEO1" s="408" t="s">
        <v>41</v>
      </c>
      <c r="NEP1" s="404"/>
      <c r="NEQ1" s="404"/>
      <c r="NER1" s="404"/>
      <c r="NES1" s="404"/>
      <c r="NET1" s="404"/>
      <c r="NEU1" s="404"/>
      <c r="NEV1" s="405"/>
      <c r="NEW1" s="408" t="s">
        <v>41</v>
      </c>
      <c r="NEX1" s="404"/>
      <c r="NEY1" s="404"/>
      <c r="NEZ1" s="404"/>
      <c r="NFA1" s="404"/>
      <c r="NFB1" s="404"/>
      <c r="NFC1" s="404"/>
      <c r="NFD1" s="405"/>
      <c r="NFE1" s="408" t="s">
        <v>41</v>
      </c>
      <c r="NFF1" s="404"/>
      <c r="NFG1" s="404"/>
      <c r="NFH1" s="404"/>
      <c r="NFI1" s="404"/>
      <c r="NFJ1" s="404"/>
      <c r="NFK1" s="404"/>
      <c r="NFL1" s="405"/>
      <c r="NFM1" s="408" t="s">
        <v>41</v>
      </c>
      <c r="NFN1" s="404"/>
      <c r="NFO1" s="404"/>
      <c r="NFP1" s="404"/>
      <c r="NFQ1" s="404"/>
      <c r="NFR1" s="404"/>
      <c r="NFS1" s="404"/>
      <c r="NFT1" s="405"/>
      <c r="NFU1" s="408" t="s">
        <v>41</v>
      </c>
      <c r="NFV1" s="404"/>
      <c r="NFW1" s="404"/>
      <c r="NFX1" s="404"/>
      <c r="NFY1" s="404"/>
      <c r="NFZ1" s="404"/>
      <c r="NGA1" s="404"/>
      <c r="NGB1" s="405"/>
      <c r="NGC1" s="408" t="s">
        <v>41</v>
      </c>
      <c r="NGD1" s="404"/>
      <c r="NGE1" s="404"/>
      <c r="NGF1" s="404"/>
      <c r="NGG1" s="404"/>
      <c r="NGH1" s="404"/>
      <c r="NGI1" s="404"/>
      <c r="NGJ1" s="405"/>
      <c r="NGK1" s="408" t="s">
        <v>41</v>
      </c>
      <c r="NGL1" s="404"/>
      <c r="NGM1" s="404"/>
      <c r="NGN1" s="404"/>
      <c r="NGO1" s="404"/>
      <c r="NGP1" s="404"/>
      <c r="NGQ1" s="404"/>
      <c r="NGR1" s="405"/>
      <c r="NGS1" s="408" t="s">
        <v>41</v>
      </c>
      <c r="NGT1" s="404"/>
      <c r="NGU1" s="404"/>
      <c r="NGV1" s="404"/>
      <c r="NGW1" s="404"/>
      <c r="NGX1" s="404"/>
      <c r="NGY1" s="404"/>
      <c r="NGZ1" s="405"/>
      <c r="NHA1" s="408" t="s">
        <v>41</v>
      </c>
      <c r="NHB1" s="404"/>
      <c r="NHC1" s="404"/>
      <c r="NHD1" s="404"/>
      <c r="NHE1" s="404"/>
      <c r="NHF1" s="404"/>
      <c r="NHG1" s="404"/>
      <c r="NHH1" s="405"/>
      <c r="NHI1" s="408" t="s">
        <v>41</v>
      </c>
      <c r="NHJ1" s="404"/>
      <c r="NHK1" s="404"/>
      <c r="NHL1" s="404"/>
      <c r="NHM1" s="404"/>
      <c r="NHN1" s="404"/>
      <c r="NHO1" s="404"/>
      <c r="NHP1" s="405"/>
      <c r="NHQ1" s="408" t="s">
        <v>41</v>
      </c>
      <c r="NHR1" s="404"/>
      <c r="NHS1" s="404"/>
      <c r="NHT1" s="404"/>
      <c r="NHU1" s="404"/>
      <c r="NHV1" s="404"/>
      <c r="NHW1" s="404"/>
      <c r="NHX1" s="405"/>
      <c r="NHY1" s="408" t="s">
        <v>41</v>
      </c>
      <c r="NHZ1" s="404"/>
      <c r="NIA1" s="404"/>
      <c r="NIB1" s="404"/>
      <c r="NIC1" s="404"/>
      <c r="NID1" s="404"/>
      <c r="NIE1" s="404"/>
      <c r="NIF1" s="405"/>
      <c r="NIG1" s="408" t="s">
        <v>41</v>
      </c>
      <c r="NIH1" s="404"/>
      <c r="NII1" s="404"/>
      <c r="NIJ1" s="404"/>
      <c r="NIK1" s="404"/>
      <c r="NIL1" s="404"/>
      <c r="NIM1" s="404"/>
      <c r="NIN1" s="405"/>
      <c r="NIO1" s="408" t="s">
        <v>41</v>
      </c>
      <c r="NIP1" s="404"/>
      <c r="NIQ1" s="404"/>
      <c r="NIR1" s="404"/>
      <c r="NIS1" s="404"/>
      <c r="NIT1" s="404"/>
      <c r="NIU1" s="404"/>
      <c r="NIV1" s="405"/>
      <c r="NIW1" s="408" t="s">
        <v>41</v>
      </c>
      <c r="NIX1" s="404"/>
      <c r="NIY1" s="404"/>
      <c r="NIZ1" s="404"/>
      <c r="NJA1" s="404"/>
      <c r="NJB1" s="404"/>
      <c r="NJC1" s="404"/>
      <c r="NJD1" s="405"/>
      <c r="NJE1" s="408" t="s">
        <v>41</v>
      </c>
      <c r="NJF1" s="404"/>
      <c r="NJG1" s="404"/>
      <c r="NJH1" s="404"/>
      <c r="NJI1" s="404"/>
      <c r="NJJ1" s="404"/>
      <c r="NJK1" s="404"/>
      <c r="NJL1" s="405"/>
      <c r="NJM1" s="408" t="s">
        <v>41</v>
      </c>
      <c r="NJN1" s="404"/>
      <c r="NJO1" s="404"/>
      <c r="NJP1" s="404"/>
      <c r="NJQ1" s="404"/>
      <c r="NJR1" s="404"/>
      <c r="NJS1" s="404"/>
      <c r="NJT1" s="405"/>
      <c r="NJU1" s="408" t="s">
        <v>41</v>
      </c>
      <c r="NJV1" s="404"/>
      <c r="NJW1" s="404"/>
      <c r="NJX1" s="404"/>
      <c r="NJY1" s="404"/>
      <c r="NJZ1" s="404"/>
      <c r="NKA1" s="404"/>
      <c r="NKB1" s="405"/>
      <c r="NKC1" s="408" t="s">
        <v>41</v>
      </c>
      <c r="NKD1" s="404"/>
      <c r="NKE1" s="404"/>
      <c r="NKF1" s="404"/>
      <c r="NKG1" s="404"/>
      <c r="NKH1" s="404"/>
      <c r="NKI1" s="404"/>
      <c r="NKJ1" s="405"/>
      <c r="NKK1" s="408" t="s">
        <v>41</v>
      </c>
      <c r="NKL1" s="404"/>
      <c r="NKM1" s="404"/>
      <c r="NKN1" s="404"/>
      <c r="NKO1" s="404"/>
      <c r="NKP1" s="404"/>
      <c r="NKQ1" s="404"/>
      <c r="NKR1" s="405"/>
      <c r="NKS1" s="408" t="s">
        <v>41</v>
      </c>
      <c r="NKT1" s="404"/>
      <c r="NKU1" s="404"/>
      <c r="NKV1" s="404"/>
      <c r="NKW1" s="404"/>
      <c r="NKX1" s="404"/>
      <c r="NKY1" s="404"/>
      <c r="NKZ1" s="405"/>
      <c r="NLA1" s="408" t="s">
        <v>41</v>
      </c>
      <c r="NLB1" s="404"/>
      <c r="NLC1" s="404"/>
      <c r="NLD1" s="404"/>
      <c r="NLE1" s="404"/>
      <c r="NLF1" s="404"/>
      <c r="NLG1" s="404"/>
      <c r="NLH1" s="405"/>
      <c r="NLI1" s="408" t="s">
        <v>41</v>
      </c>
      <c r="NLJ1" s="404"/>
      <c r="NLK1" s="404"/>
      <c r="NLL1" s="404"/>
      <c r="NLM1" s="404"/>
      <c r="NLN1" s="404"/>
      <c r="NLO1" s="404"/>
      <c r="NLP1" s="405"/>
      <c r="NLQ1" s="408" t="s">
        <v>41</v>
      </c>
      <c r="NLR1" s="404"/>
      <c r="NLS1" s="404"/>
      <c r="NLT1" s="404"/>
      <c r="NLU1" s="404"/>
      <c r="NLV1" s="404"/>
      <c r="NLW1" s="404"/>
      <c r="NLX1" s="405"/>
      <c r="NLY1" s="408" t="s">
        <v>41</v>
      </c>
      <c r="NLZ1" s="404"/>
      <c r="NMA1" s="404"/>
      <c r="NMB1" s="404"/>
      <c r="NMC1" s="404"/>
      <c r="NMD1" s="404"/>
      <c r="NME1" s="404"/>
      <c r="NMF1" s="405"/>
      <c r="NMG1" s="408" t="s">
        <v>41</v>
      </c>
      <c r="NMH1" s="404"/>
      <c r="NMI1" s="404"/>
      <c r="NMJ1" s="404"/>
      <c r="NMK1" s="404"/>
      <c r="NML1" s="404"/>
      <c r="NMM1" s="404"/>
      <c r="NMN1" s="405"/>
      <c r="NMO1" s="408" t="s">
        <v>41</v>
      </c>
      <c r="NMP1" s="404"/>
      <c r="NMQ1" s="404"/>
      <c r="NMR1" s="404"/>
      <c r="NMS1" s="404"/>
      <c r="NMT1" s="404"/>
      <c r="NMU1" s="404"/>
      <c r="NMV1" s="405"/>
      <c r="NMW1" s="408" t="s">
        <v>41</v>
      </c>
      <c r="NMX1" s="404"/>
      <c r="NMY1" s="404"/>
      <c r="NMZ1" s="404"/>
      <c r="NNA1" s="404"/>
      <c r="NNB1" s="404"/>
      <c r="NNC1" s="404"/>
      <c r="NND1" s="405"/>
      <c r="NNE1" s="408" t="s">
        <v>41</v>
      </c>
      <c r="NNF1" s="404"/>
      <c r="NNG1" s="404"/>
      <c r="NNH1" s="404"/>
      <c r="NNI1" s="404"/>
      <c r="NNJ1" s="404"/>
      <c r="NNK1" s="404"/>
      <c r="NNL1" s="405"/>
      <c r="NNM1" s="408" t="s">
        <v>41</v>
      </c>
      <c r="NNN1" s="404"/>
      <c r="NNO1" s="404"/>
      <c r="NNP1" s="404"/>
      <c r="NNQ1" s="404"/>
      <c r="NNR1" s="404"/>
      <c r="NNS1" s="404"/>
      <c r="NNT1" s="405"/>
      <c r="NNU1" s="408" t="s">
        <v>41</v>
      </c>
      <c r="NNV1" s="404"/>
      <c r="NNW1" s="404"/>
      <c r="NNX1" s="404"/>
      <c r="NNY1" s="404"/>
      <c r="NNZ1" s="404"/>
      <c r="NOA1" s="404"/>
      <c r="NOB1" s="405"/>
      <c r="NOC1" s="408" t="s">
        <v>41</v>
      </c>
      <c r="NOD1" s="404"/>
      <c r="NOE1" s="404"/>
      <c r="NOF1" s="404"/>
      <c r="NOG1" s="404"/>
      <c r="NOH1" s="404"/>
      <c r="NOI1" s="404"/>
      <c r="NOJ1" s="405"/>
      <c r="NOK1" s="408" t="s">
        <v>41</v>
      </c>
      <c r="NOL1" s="404"/>
      <c r="NOM1" s="404"/>
      <c r="NON1" s="404"/>
      <c r="NOO1" s="404"/>
      <c r="NOP1" s="404"/>
      <c r="NOQ1" s="404"/>
      <c r="NOR1" s="405"/>
      <c r="NOS1" s="408" t="s">
        <v>41</v>
      </c>
      <c r="NOT1" s="404"/>
      <c r="NOU1" s="404"/>
      <c r="NOV1" s="404"/>
      <c r="NOW1" s="404"/>
      <c r="NOX1" s="404"/>
      <c r="NOY1" s="404"/>
      <c r="NOZ1" s="405"/>
      <c r="NPA1" s="408" t="s">
        <v>41</v>
      </c>
      <c r="NPB1" s="404"/>
      <c r="NPC1" s="404"/>
      <c r="NPD1" s="404"/>
      <c r="NPE1" s="404"/>
      <c r="NPF1" s="404"/>
      <c r="NPG1" s="404"/>
      <c r="NPH1" s="405"/>
      <c r="NPI1" s="408" t="s">
        <v>41</v>
      </c>
      <c r="NPJ1" s="404"/>
      <c r="NPK1" s="404"/>
      <c r="NPL1" s="404"/>
      <c r="NPM1" s="404"/>
      <c r="NPN1" s="404"/>
      <c r="NPO1" s="404"/>
      <c r="NPP1" s="405"/>
      <c r="NPQ1" s="408" t="s">
        <v>41</v>
      </c>
      <c r="NPR1" s="404"/>
      <c r="NPS1" s="404"/>
      <c r="NPT1" s="404"/>
      <c r="NPU1" s="404"/>
      <c r="NPV1" s="404"/>
      <c r="NPW1" s="404"/>
      <c r="NPX1" s="405"/>
      <c r="NPY1" s="408" t="s">
        <v>41</v>
      </c>
      <c r="NPZ1" s="404"/>
      <c r="NQA1" s="404"/>
      <c r="NQB1" s="404"/>
      <c r="NQC1" s="404"/>
      <c r="NQD1" s="404"/>
      <c r="NQE1" s="404"/>
      <c r="NQF1" s="405"/>
      <c r="NQG1" s="408" t="s">
        <v>41</v>
      </c>
      <c r="NQH1" s="404"/>
      <c r="NQI1" s="404"/>
      <c r="NQJ1" s="404"/>
      <c r="NQK1" s="404"/>
      <c r="NQL1" s="404"/>
      <c r="NQM1" s="404"/>
      <c r="NQN1" s="405"/>
      <c r="NQO1" s="408" t="s">
        <v>41</v>
      </c>
      <c r="NQP1" s="404"/>
      <c r="NQQ1" s="404"/>
      <c r="NQR1" s="404"/>
      <c r="NQS1" s="404"/>
      <c r="NQT1" s="404"/>
      <c r="NQU1" s="404"/>
      <c r="NQV1" s="405"/>
      <c r="NQW1" s="408" t="s">
        <v>41</v>
      </c>
      <c r="NQX1" s="404"/>
      <c r="NQY1" s="404"/>
      <c r="NQZ1" s="404"/>
      <c r="NRA1" s="404"/>
      <c r="NRB1" s="404"/>
      <c r="NRC1" s="404"/>
      <c r="NRD1" s="405"/>
      <c r="NRE1" s="408" t="s">
        <v>41</v>
      </c>
      <c r="NRF1" s="404"/>
      <c r="NRG1" s="404"/>
      <c r="NRH1" s="404"/>
      <c r="NRI1" s="404"/>
      <c r="NRJ1" s="404"/>
      <c r="NRK1" s="404"/>
      <c r="NRL1" s="405"/>
      <c r="NRM1" s="408" t="s">
        <v>41</v>
      </c>
      <c r="NRN1" s="404"/>
      <c r="NRO1" s="404"/>
      <c r="NRP1" s="404"/>
      <c r="NRQ1" s="404"/>
      <c r="NRR1" s="404"/>
      <c r="NRS1" s="404"/>
      <c r="NRT1" s="405"/>
      <c r="NRU1" s="408" t="s">
        <v>41</v>
      </c>
      <c r="NRV1" s="404"/>
      <c r="NRW1" s="404"/>
      <c r="NRX1" s="404"/>
      <c r="NRY1" s="404"/>
      <c r="NRZ1" s="404"/>
      <c r="NSA1" s="404"/>
      <c r="NSB1" s="405"/>
      <c r="NSC1" s="408" t="s">
        <v>41</v>
      </c>
      <c r="NSD1" s="404"/>
      <c r="NSE1" s="404"/>
      <c r="NSF1" s="404"/>
      <c r="NSG1" s="404"/>
      <c r="NSH1" s="404"/>
      <c r="NSI1" s="404"/>
      <c r="NSJ1" s="405"/>
      <c r="NSK1" s="408" t="s">
        <v>41</v>
      </c>
      <c r="NSL1" s="404"/>
      <c r="NSM1" s="404"/>
      <c r="NSN1" s="404"/>
      <c r="NSO1" s="404"/>
      <c r="NSP1" s="404"/>
      <c r="NSQ1" s="404"/>
      <c r="NSR1" s="405"/>
      <c r="NSS1" s="408" t="s">
        <v>41</v>
      </c>
      <c r="NST1" s="404"/>
      <c r="NSU1" s="404"/>
      <c r="NSV1" s="404"/>
      <c r="NSW1" s="404"/>
      <c r="NSX1" s="404"/>
      <c r="NSY1" s="404"/>
      <c r="NSZ1" s="405"/>
      <c r="NTA1" s="408" t="s">
        <v>41</v>
      </c>
      <c r="NTB1" s="404"/>
      <c r="NTC1" s="404"/>
      <c r="NTD1" s="404"/>
      <c r="NTE1" s="404"/>
      <c r="NTF1" s="404"/>
      <c r="NTG1" s="404"/>
      <c r="NTH1" s="405"/>
      <c r="NTI1" s="408" t="s">
        <v>41</v>
      </c>
      <c r="NTJ1" s="404"/>
      <c r="NTK1" s="404"/>
      <c r="NTL1" s="404"/>
      <c r="NTM1" s="404"/>
      <c r="NTN1" s="404"/>
      <c r="NTO1" s="404"/>
      <c r="NTP1" s="405"/>
      <c r="NTQ1" s="408" t="s">
        <v>41</v>
      </c>
      <c r="NTR1" s="404"/>
      <c r="NTS1" s="404"/>
      <c r="NTT1" s="404"/>
      <c r="NTU1" s="404"/>
      <c r="NTV1" s="404"/>
      <c r="NTW1" s="404"/>
      <c r="NTX1" s="405"/>
      <c r="NTY1" s="408" t="s">
        <v>41</v>
      </c>
      <c r="NTZ1" s="404"/>
      <c r="NUA1" s="404"/>
      <c r="NUB1" s="404"/>
      <c r="NUC1" s="404"/>
      <c r="NUD1" s="404"/>
      <c r="NUE1" s="404"/>
      <c r="NUF1" s="405"/>
      <c r="NUG1" s="408" t="s">
        <v>41</v>
      </c>
      <c r="NUH1" s="404"/>
      <c r="NUI1" s="404"/>
      <c r="NUJ1" s="404"/>
      <c r="NUK1" s="404"/>
      <c r="NUL1" s="404"/>
      <c r="NUM1" s="404"/>
      <c r="NUN1" s="405"/>
      <c r="NUO1" s="408" t="s">
        <v>41</v>
      </c>
      <c r="NUP1" s="404"/>
      <c r="NUQ1" s="404"/>
      <c r="NUR1" s="404"/>
      <c r="NUS1" s="404"/>
      <c r="NUT1" s="404"/>
      <c r="NUU1" s="404"/>
      <c r="NUV1" s="405"/>
      <c r="NUW1" s="408" t="s">
        <v>41</v>
      </c>
      <c r="NUX1" s="404"/>
      <c r="NUY1" s="404"/>
      <c r="NUZ1" s="404"/>
      <c r="NVA1" s="404"/>
      <c r="NVB1" s="404"/>
      <c r="NVC1" s="404"/>
      <c r="NVD1" s="405"/>
      <c r="NVE1" s="408" t="s">
        <v>41</v>
      </c>
      <c r="NVF1" s="404"/>
      <c r="NVG1" s="404"/>
      <c r="NVH1" s="404"/>
      <c r="NVI1" s="404"/>
      <c r="NVJ1" s="404"/>
      <c r="NVK1" s="404"/>
      <c r="NVL1" s="405"/>
      <c r="NVM1" s="408" t="s">
        <v>41</v>
      </c>
      <c r="NVN1" s="404"/>
      <c r="NVO1" s="404"/>
      <c r="NVP1" s="404"/>
      <c r="NVQ1" s="404"/>
      <c r="NVR1" s="404"/>
      <c r="NVS1" s="404"/>
      <c r="NVT1" s="405"/>
      <c r="NVU1" s="408" t="s">
        <v>41</v>
      </c>
      <c r="NVV1" s="404"/>
      <c r="NVW1" s="404"/>
      <c r="NVX1" s="404"/>
      <c r="NVY1" s="404"/>
      <c r="NVZ1" s="404"/>
      <c r="NWA1" s="404"/>
      <c r="NWB1" s="405"/>
      <c r="NWC1" s="408" t="s">
        <v>41</v>
      </c>
      <c r="NWD1" s="404"/>
      <c r="NWE1" s="404"/>
      <c r="NWF1" s="404"/>
      <c r="NWG1" s="404"/>
      <c r="NWH1" s="404"/>
      <c r="NWI1" s="404"/>
      <c r="NWJ1" s="405"/>
      <c r="NWK1" s="408" t="s">
        <v>41</v>
      </c>
      <c r="NWL1" s="404"/>
      <c r="NWM1" s="404"/>
      <c r="NWN1" s="404"/>
      <c r="NWO1" s="404"/>
      <c r="NWP1" s="404"/>
      <c r="NWQ1" s="404"/>
      <c r="NWR1" s="405"/>
      <c r="NWS1" s="408" t="s">
        <v>41</v>
      </c>
      <c r="NWT1" s="404"/>
      <c r="NWU1" s="404"/>
      <c r="NWV1" s="404"/>
      <c r="NWW1" s="404"/>
      <c r="NWX1" s="404"/>
      <c r="NWY1" s="404"/>
      <c r="NWZ1" s="405"/>
      <c r="NXA1" s="408" t="s">
        <v>41</v>
      </c>
      <c r="NXB1" s="404"/>
      <c r="NXC1" s="404"/>
      <c r="NXD1" s="404"/>
      <c r="NXE1" s="404"/>
      <c r="NXF1" s="404"/>
      <c r="NXG1" s="404"/>
      <c r="NXH1" s="405"/>
      <c r="NXI1" s="408" t="s">
        <v>41</v>
      </c>
      <c r="NXJ1" s="404"/>
      <c r="NXK1" s="404"/>
      <c r="NXL1" s="404"/>
      <c r="NXM1" s="404"/>
      <c r="NXN1" s="404"/>
      <c r="NXO1" s="404"/>
      <c r="NXP1" s="405"/>
      <c r="NXQ1" s="408" t="s">
        <v>41</v>
      </c>
      <c r="NXR1" s="404"/>
      <c r="NXS1" s="404"/>
      <c r="NXT1" s="404"/>
      <c r="NXU1" s="404"/>
      <c r="NXV1" s="404"/>
      <c r="NXW1" s="404"/>
      <c r="NXX1" s="405"/>
      <c r="NXY1" s="408" t="s">
        <v>41</v>
      </c>
      <c r="NXZ1" s="404"/>
      <c r="NYA1" s="404"/>
      <c r="NYB1" s="404"/>
      <c r="NYC1" s="404"/>
      <c r="NYD1" s="404"/>
      <c r="NYE1" s="404"/>
      <c r="NYF1" s="405"/>
      <c r="NYG1" s="408" t="s">
        <v>41</v>
      </c>
      <c r="NYH1" s="404"/>
      <c r="NYI1" s="404"/>
      <c r="NYJ1" s="404"/>
      <c r="NYK1" s="404"/>
      <c r="NYL1" s="404"/>
      <c r="NYM1" s="404"/>
      <c r="NYN1" s="405"/>
      <c r="NYO1" s="408" t="s">
        <v>41</v>
      </c>
      <c r="NYP1" s="404"/>
      <c r="NYQ1" s="404"/>
      <c r="NYR1" s="404"/>
      <c r="NYS1" s="404"/>
      <c r="NYT1" s="404"/>
      <c r="NYU1" s="404"/>
      <c r="NYV1" s="405"/>
      <c r="NYW1" s="408" t="s">
        <v>41</v>
      </c>
      <c r="NYX1" s="404"/>
      <c r="NYY1" s="404"/>
      <c r="NYZ1" s="404"/>
      <c r="NZA1" s="404"/>
      <c r="NZB1" s="404"/>
      <c r="NZC1" s="404"/>
      <c r="NZD1" s="405"/>
      <c r="NZE1" s="408" t="s">
        <v>41</v>
      </c>
      <c r="NZF1" s="404"/>
      <c r="NZG1" s="404"/>
      <c r="NZH1" s="404"/>
      <c r="NZI1" s="404"/>
      <c r="NZJ1" s="404"/>
      <c r="NZK1" s="404"/>
      <c r="NZL1" s="405"/>
      <c r="NZM1" s="408" t="s">
        <v>41</v>
      </c>
      <c r="NZN1" s="404"/>
      <c r="NZO1" s="404"/>
      <c r="NZP1" s="404"/>
      <c r="NZQ1" s="404"/>
      <c r="NZR1" s="404"/>
      <c r="NZS1" s="404"/>
      <c r="NZT1" s="405"/>
      <c r="NZU1" s="408" t="s">
        <v>41</v>
      </c>
      <c r="NZV1" s="404"/>
      <c r="NZW1" s="404"/>
      <c r="NZX1" s="404"/>
      <c r="NZY1" s="404"/>
      <c r="NZZ1" s="404"/>
      <c r="OAA1" s="404"/>
      <c r="OAB1" s="405"/>
      <c r="OAC1" s="408" t="s">
        <v>41</v>
      </c>
      <c r="OAD1" s="404"/>
      <c r="OAE1" s="404"/>
      <c r="OAF1" s="404"/>
      <c r="OAG1" s="404"/>
      <c r="OAH1" s="404"/>
      <c r="OAI1" s="404"/>
      <c r="OAJ1" s="405"/>
      <c r="OAK1" s="408" t="s">
        <v>41</v>
      </c>
      <c r="OAL1" s="404"/>
      <c r="OAM1" s="404"/>
      <c r="OAN1" s="404"/>
      <c r="OAO1" s="404"/>
      <c r="OAP1" s="404"/>
      <c r="OAQ1" s="404"/>
      <c r="OAR1" s="405"/>
      <c r="OAS1" s="408" t="s">
        <v>41</v>
      </c>
      <c r="OAT1" s="404"/>
      <c r="OAU1" s="404"/>
      <c r="OAV1" s="404"/>
      <c r="OAW1" s="404"/>
      <c r="OAX1" s="404"/>
      <c r="OAY1" s="404"/>
      <c r="OAZ1" s="405"/>
      <c r="OBA1" s="408" t="s">
        <v>41</v>
      </c>
      <c r="OBB1" s="404"/>
      <c r="OBC1" s="404"/>
      <c r="OBD1" s="404"/>
      <c r="OBE1" s="404"/>
      <c r="OBF1" s="404"/>
      <c r="OBG1" s="404"/>
      <c r="OBH1" s="405"/>
      <c r="OBI1" s="408" t="s">
        <v>41</v>
      </c>
      <c r="OBJ1" s="404"/>
      <c r="OBK1" s="404"/>
      <c r="OBL1" s="404"/>
      <c r="OBM1" s="404"/>
      <c r="OBN1" s="404"/>
      <c r="OBO1" s="404"/>
      <c r="OBP1" s="405"/>
      <c r="OBQ1" s="408" t="s">
        <v>41</v>
      </c>
      <c r="OBR1" s="404"/>
      <c r="OBS1" s="404"/>
      <c r="OBT1" s="404"/>
      <c r="OBU1" s="404"/>
      <c r="OBV1" s="404"/>
      <c r="OBW1" s="404"/>
      <c r="OBX1" s="405"/>
      <c r="OBY1" s="408" t="s">
        <v>41</v>
      </c>
      <c r="OBZ1" s="404"/>
      <c r="OCA1" s="404"/>
      <c r="OCB1" s="404"/>
      <c r="OCC1" s="404"/>
      <c r="OCD1" s="404"/>
      <c r="OCE1" s="404"/>
      <c r="OCF1" s="405"/>
      <c r="OCG1" s="408" t="s">
        <v>41</v>
      </c>
      <c r="OCH1" s="404"/>
      <c r="OCI1" s="404"/>
      <c r="OCJ1" s="404"/>
      <c r="OCK1" s="404"/>
      <c r="OCL1" s="404"/>
      <c r="OCM1" s="404"/>
      <c r="OCN1" s="405"/>
      <c r="OCO1" s="408" t="s">
        <v>41</v>
      </c>
      <c r="OCP1" s="404"/>
      <c r="OCQ1" s="404"/>
      <c r="OCR1" s="404"/>
      <c r="OCS1" s="404"/>
      <c r="OCT1" s="404"/>
      <c r="OCU1" s="404"/>
      <c r="OCV1" s="405"/>
      <c r="OCW1" s="408" t="s">
        <v>41</v>
      </c>
      <c r="OCX1" s="404"/>
      <c r="OCY1" s="404"/>
      <c r="OCZ1" s="404"/>
      <c r="ODA1" s="404"/>
      <c r="ODB1" s="404"/>
      <c r="ODC1" s="404"/>
      <c r="ODD1" s="405"/>
      <c r="ODE1" s="408" t="s">
        <v>41</v>
      </c>
      <c r="ODF1" s="404"/>
      <c r="ODG1" s="404"/>
      <c r="ODH1" s="404"/>
      <c r="ODI1" s="404"/>
      <c r="ODJ1" s="404"/>
      <c r="ODK1" s="404"/>
      <c r="ODL1" s="405"/>
      <c r="ODM1" s="408" t="s">
        <v>41</v>
      </c>
      <c r="ODN1" s="404"/>
      <c r="ODO1" s="404"/>
      <c r="ODP1" s="404"/>
      <c r="ODQ1" s="404"/>
      <c r="ODR1" s="404"/>
      <c r="ODS1" s="404"/>
      <c r="ODT1" s="405"/>
      <c r="ODU1" s="408" t="s">
        <v>41</v>
      </c>
      <c r="ODV1" s="404"/>
      <c r="ODW1" s="404"/>
      <c r="ODX1" s="404"/>
      <c r="ODY1" s="404"/>
      <c r="ODZ1" s="404"/>
      <c r="OEA1" s="404"/>
      <c r="OEB1" s="405"/>
      <c r="OEC1" s="408" t="s">
        <v>41</v>
      </c>
      <c r="OED1" s="404"/>
      <c r="OEE1" s="404"/>
      <c r="OEF1" s="404"/>
      <c r="OEG1" s="404"/>
      <c r="OEH1" s="404"/>
      <c r="OEI1" s="404"/>
      <c r="OEJ1" s="405"/>
      <c r="OEK1" s="408" t="s">
        <v>41</v>
      </c>
      <c r="OEL1" s="404"/>
      <c r="OEM1" s="404"/>
      <c r="OEN1" s="404"/>
      <c r="OEO1" s="404"/>
      <c r="OEP1" s="404"/>
      <c r="OEQ1" s="404"/>
      <c r="OER1" s="405"/>
      <c r="OES1" s="408" t="s">
        <v>41</v>
      </c>
      <c r="OET1" s="404"/>
      <c r="OEU1" s="404"/>
      <c r="OEV1" s="404"/>
      <c r="OEW1" s="404"/>
      <c r="OEX1" s="404"/>
      <c r="OEY1" s="404"/>
      <c r="OEZ1" s="405"/>
      <c r="OFA1" s="408" t="s">
        <v>41</v>
      </c>
      <c r="OFB1" s="404"/>
      <c r="OFC1" s="404"/>
      <c r="OFD1" s="404"/>
      <c r="OFE1" s="404"/>
      <c r="OFF1" s="404"/>
      <c r="OFG1" s="404"/>
      <c r="OFH1" s="405"/>
      <c r="OFI1" s="408" t="s">
        <v>41</v>
      </c>
      <c r="OFJ1" s="404"/>
      <c r="OFK1" s="404"/>
      <c r="OFL1" s="404"/>
      <c r="OFM1" s="404"/>
      <c r="OFN1" s="404"/>
      <c r="OFO1" s="404"/>
      <c r="OFP1" s="405"/>
      <c r="OFQ1" s="408" t="s">
        <v>41</v>
      </c>
      <c r="OFR1" s="404"/>
      <c r="OFS1" s="404"/>
      <c r="OFT1" s="404"/>
      <c r="OFU1" s="404"/>
      <c r="OFV1" s="404"/>
      <c r="OFW1" s="404"/>
      <c r="OFX1" s="405"/>
      <c r="OFY1" s="408" t="s">
        <v>41</v>
      </c>
      <c r="OFZ1" s="404"/>
      <c r="OGA1" s="404"/>
      <c r="OGB1" s="404"/>
      <c r="OGC1" s="404"/>
      <c r="OGD1" s="404"/>
      <c r="OGE1" s="404"/>
      <c r="OGF1" s="405"/>
      <c r="OGG1" s="408" t="s">
        <v>41</v>
      </c>
      <c r="OGH1" s="404"/>
      <c r="OGI1" s="404"/>
      <c r="OGJ1" s="404"/>
      <c r="OGK1" s="404"/>
      <c r="OGL1" s="404"/>
      <c r="OGM1" s="404"/>
      <c r="OGN1" s="405"/>
      <c r="OGO1" s="408" t="s">
        <v>41</v>
      </c>
      <c r="OGP1" s="404"/>
      <c r="OGQ1" s="404"/>
      <c r="OGR1" s="404"/>
      <c r="OGS1" s="404"/>
      <c r="OGT1" s="404"/>
      <c r="OGU1" s="404"/>
      <c r="OGV1" s="405"/>
      <c r="OGW1" s="408" t="s">
        <v>41</v>
      </c>
      <c r="OGX1" s="404"/>
      <c r="OGY1" s="404"/>
      <c r="OGZ1" s="404"/>
      <c r="OHA1" s="404"/>
      <c r="OHB1" s="404"/>
      <c r="OHC1" s="404"/>
      <c r="OHD1" s="405"/>
      <c r="OHE1" s="408" t="s">
        <v>41</v>
      </c>
      <c r="OHF1" s="404"/>
      <c r="OHG1" s="404"/>
      <c r="OHH1" s="404"/>
      <c r="OHI1" s="404"/>
      <c r="OHJ1" s="404"/>
      <c r="OHK1" s="404"/>
      <c r="OHL1" s="405"/>
      <c r="OHM1" s="408" t="s">
        <v>41</v>
      </c>
      <c r="OHN1" s="404"/>
      <c r="OHO1" s="404"/>
      <c r="OHP1" s="404"/>
      <c r="OHQ1" s="404"/>
      <c r="OHR1" s="404"/>
      <c r="OHS1" s="404"/>
      <c r="OHT1" s="405"/>
      <c r="OHU1" s="408" t="s">
        <v>41</v>
      </c>
      <c r="OHV1" s="404"/>
      <c r="OHW1" s="404"/>
      <c r="OHX1" s="404"/>
      <c r="OHY1" s="404"/>
      <c r="OHZ1" s="404"/>
      <c r="OIA1" s="404"/>
      <c r="OIB1" s="405"/>
      <c r="OIC1" s="408" t="s">
        <v>41</v>
      </c>
      <c r="OID1" s="404"/>
      <c r="OIE1" s="404"/>
      <c r="OIF1" s="404"/>
      <c r="OIG1" s="404"/>
      <c r="OIH1" s="404"/>
      <c r="OII1" s="404"/>
      <c r="OIJ1" s="405"/>
      <c r="OIK1" s="408" t="s">
        <v>41</v>
      </c>
      <c r="OIL1" s="404"/>
      <c r="OIM1" s="404"/>
      <c r="OIN1" s="404"/>
      <c r="OIO1" s="404"/>
      <c r="OIP1" s="404"/>
      <c r="OIQ1" s="404"/>
      <c r="OIR1" s="405"/>
      <c r="OIS1" s="408" t="s">
        <v>41</v>
      </c>
      <c r="OIT1" s="404"/>
      <c r="OIU1" s="404"/>
      <c r="OIV1" s="404"/>
      <c r="OIW1" s="404"/>
      <c r="OIX1" s="404"/>
      <c r="OIY1" s="404"/>
      <c r="OIZ1" s="405"/>
      <c r="OJA1" s="408" t="s">
        <v>41</v>
      </c>
      <c r="OJB1" s="404"/>
      <c r="OJC1" s="404"/>
      <c r="OJD1" s="404"/>
      <c r="OJE1" s="404"/>
      <c r="OJF1" s="404"/>
      <c r="OJG1" s="404"/>
      <c r="OJH1" s="405"/>
      <c r="OJI1" s="408" t="s">
        <v>41</v>
      </c>
      <c r="OJJ1" s="404"/>
      <c r="OJK1" s="404"/>
      <c r="OJL1" s="404"/>
      <c r="OJM1" s="404"/>
      <c r="OJN1" s="404"/>
      <c r="OJO1" s="404"/>
      <c r="OJP1" s="405"/>
      <c r="OJQ1" s="408" t="s">
        <v>41</v>
      </c>
      <c r="OJR1" s="404"/>
      <c r="OJS1" s="404"/>
      <c r="OJT1" s="404"/>
      <c r="OJU1" s="404"/>
      <c r="OJV1" s="404"/>
      <c r="OJW1" s="404"/>
      <c r="OJX1" s="405"/>
      <c r="OJY1" s="408" t="s">
        <v>41</v>
      </c>
      <c r="OJZ1" s="404"/>
      <c r="OKA1" s="404"/>
      <c r="OKB1" s="404"/>
      <c r="OKC1" s="404"/>
      <c r="OKD1" s="404"/>
      <c r="OKE1" s="404"/>
      <c r="OKF1" s="405"/>
      <c r="OKG1" s="408" t="s">
        <v>41</v>
      </c>
      <c r="OKH1" s="404"/>
      <c r="OKI1" s="404"/>
      <c r="OKJ1" s="404"/>
      <c r="OKK1" s="404"/>
      <c r="OKL1" s="404"/>
      <c r="OKM1" s="404"/>
      <c r="OKN1" s="405"/>
      <c r="OKO1" s="408" t="s">
        <v>41</v>
      </c>
      <c r="OKP1" s="404"/>
      <c r="OKQ1" s="404"/>
      <c r="OKR1" s="404"/>
      <c r="OKS1" s="404"/>
      <c r="OKT1" s="404"/>
      <c r="OKU1" s="404"/>
      <c r="OKV1" s="405"/>
      <c r="OKW1" s="408" t="s">
        <v>41</v>
      </c>
      <c r="OKX1" s="404"/>
      <c r="OKY1" s="404"/>
      <c r="OKZ1" s="404"/>
      <c r="OLA1" s="404"/>
      <c r="OLB1" s="404"/>
      <c r="OLC1" s="404"/>
      <c r="OLD1" s="405"/>
      <c r="OLE1" s="408" t="s">
        <v>41</v>
      </c>
      <c r="OLF1" s="404"/>
      <c r="OLG1" s="404"/>
      <c r="OLH1" s="404"/>
      <c r="OLI1" s="404"/>
      <c r="OLJ1" s="404"/>
      <c r="OLK1" s="404"/>
      <c r="OLL1" s="405"/>
      <c r="OLM1" s="408" t="s">
        <v>41</v>
      </c>
      <c r="OLN1" s="404"/>
      <c r="OLO1" s="404"/>
      <c r="OLP1" s="404"/>
      <c r="OLQ1" s="404"/>
      <c r="OLR1" s="404"/>
      <c r="OLS1" s="404"/>
      <c r="OLT1" s="405"/>
      <c r="OLU1" s="408" t="s">
        <v>41</v>
      </c>
      <c r="OLV1" s="404"/>
      <c r="OLW1" s="404"/>
      <c r="OLX1" s="404"/>
      <c r="OLY1" s="404"/>
      <c r="OLZ1" s="404"/>
      <c r="OMA1" s="404"/>
      <c r="OMB1" s="405"/>
      <c r="OMC1" s="408" t="s">
        <v>41</v>
      </c>
      <c r="OMD1" s="404"/>
      <c r="OME1" s="404"/>
      <c r="OMF1" s="404"/>
      <c r="OMG1" s="404"/>
      <c r="OMH1" s="404"/>
      <c r="OMI1" s="404"/>
      <c r="OMJ1" s="405"/>
      <c r="OMK1" s="408" t="s">
        <v>41</v>
      </c>
      <c r="OML1" s="404"/>
      <c r="OMM1" s="404"/>
      <c r="OMN1" s="404"/>
      <c r="OMO1" s="404"/>
      <c r="OMP1" s="404"/>
      <c r="OMQ1" s="404"/>
      <c r="OMR1" s="405"/>
      <c r="OMS1" s="408" t="s">
        <v>41</v>
      </c>
      <c r="OMT1" s="404"/>
      <c r="OMU1" s="404"/>
      <c r="OMV1" s="404"/>
      <c r="OMW1" s="404"/>
      <c r="OMX1" s="404"/>
      <c r="OMY1" s="404"/>
      <c r="OMZ1" s="405"/>
      <c r="ONA1" s="408" t="s">
        <v>41</v>
      </c>
      <c r="ONB1" s="404"/>
      <c r="ONC1" s="404"/>
      <c r="OND1" s="404"/>
      <c r="ONE1" s="404"/>
      <c r="ONF1" s="404"/>
      <c r="ONG1" s="404"/>
      <c r="ONH1" s="405"/>
      <c r="ONI1" s="408" t="s">
        <v>41</v>
      </c>
      <c r="ONJ1" s="404"/>
      <c r="ONK1" s="404"/>
      <c r="ONL1" s="404"/>
      <c r="ONM1" s="404"/>
      <c r="ONN1" s="404"/>
      <c r="ONO1" s="404"/>
      <c r="ONP1" s="405"/>
      <c r="ONQ1" s="408" t="s">
        <v>41</v>
      </c>
      <c r="ONR1" s="404"/>
      <c r="ONS1" s="404"/>
      <c r="ONT1" s="404"/>
      <c r="ONU1" s="404"/>
      <c r="ONV1" s="404"/>
      <c r="ONW1" s="404"/>
      <c r="ONX1" s="405"/>
      <c r="ONY1" s="408" t="s">
        <v>41</v>
      </c>
      <c r="ONZ1" s="404"/>
      <c r="OOA1" s="404"/>
      <c r="OOB1" s="404"/>
      <c r="OOC1" s="404"/>
      <c r="OOD1" s="404"/>
      <c r="OOE1" s="404"/>
      <c r="OOF1" s="405"/>
      <c r="OOG1" s="408" t="s">
        <v>41</v>
      </c>
      <c r="OOH1" s="404"/>
      <c r="OOI1" s="404"/>
      <c r="OOJ1" s="404"/>
      <c r="OOK1" s="404"/>
      <c r="OOL1" s="404"/>
      <c r="OOM1" s="404"/>
      <c r="OON1" s="405"/>
      <c r="OOO1" s="408" t="s">
        <v>41</v>
      </c>
      <c r="OOP1" s="404"/>
      <c r="OOQ1" s="404"/>
      <c r="OOR1" s="404"/>
      <c r="OOS1" s="404"/>
      <c r="OOT1" s="404"/>
      <c r="OOU1" s="404"/>
      <c r="OOV1" s="405"/>
      <c r="OOW1" s="408" t="s">
        <v>41</v>
      </c>
      <c r="OOX1" s="404"/>
      <c r="OOY1" s="404"/>
      <c r="OOZ1" s="404"/>
      <c r="OPA1" s="404"/>
      <c r="OPB1" s="404"/>
      <c r="OPC1" s="404"/>
      <c r="OPD1" s="405"/>
      <c r="OPE1" s="408" t="s">
        <v>41</v>
      </c>
      <c r="OPF1" s="404"/>
      <c r="OPG1" s="404"/>
      <c r="OPH1" s="404"/>
      <c r="OPI1" s="404"/>
      <c r="OPJ1" s="404"/>
      <c r="OPK1" s="404"/>
      <c r="OPL1" s="405"/>
      <c r="OPM1" s="408" t="s">
        <v>41</v>
      </c>
      <c r="OPN1" s="404"/>
      <c r="OPO1" s="404"/>
      <c r="OPP1" s="404"/>
      <c r="OPQ1" s="404"/>
      <c r="OPR1" s="404"/>
      <c r="OPS1" s="404"/>
      <c r="OPT1" s="405"/>
      <c r="OPU1" s="408" t="s">
        <v>41</v>
      </c>
      <c r="OPV1" s="404"/>
      <c r="OPW1" s="404"/>
      <c r="OPX1" s="404"/>
      <c r="OPY1" s="404"/>
      <c r="OPZ1" s="404"/>
      <c r="OQA1" s="404"/>
      <c r="OQB1" s="405"/>
      <c r="OQC1" s="408" t="s">
        <v>41</v>
      </c>
      <c r="OQD1" s="404"/>
      <c r="OQE1" s="404"/>
      <c r="OQF1" s="404"/>
      <c r="OQG1" s="404"/>
      <c r="OQH1" s="404"/>
      <c r="OQI1" s="404"/>
      <c r="OQJ1" s="405"/>
      <c r="OQK1" s="408" t="s">
        <v>41</v>
      </c>
      <c r="OQL1" s="404"/>
      <c r="OQM1" s="404"/>
      <c r="OQN1" s="404"/>
      <c r="OQO1" s="404"/>
      <c r="OQP1" s="404"/>
      <c r="OQQ1" s="404"/>
      <c r="OQR1" s="405"/>
      <c r="OQS1" s="408" t="s">
        <v>41</v>
      </c>
      <c r="OQT1" s="404"/>
      <c r="OQU1" s="404"/>
      <c r="OQV1" s="404"/>
      <c r="OQW1" s="404"/>
      <c r="OQX1" s="404"/>
      <c r="OQY1" s="404"/>
      <c r="OQZ1" s="405"/>
      <c r="ORA1" s="408" t="s">
        <v>41</v>
      </c>
      <c r="ORB1" s="404"/>
      <c r="ORC1" s="404"/>
      <c r="ORD1" s="404"/>
      <c r="ORE1" s="404"/>
      <c r="ORF1" s="404"/>
      <c r="ORG1" s="404"/>
      <c r="ORH1" s="405"/>
      <c r="ORI1" s="408" t="s">
        <v>41</v>
      </c>
      <c r="ORJ1" s="404"/>
      <c r="ORK1" s="404"/>
      <c r="ORL1" s="404"/>
      <c r="ORM1" s="404"/>
      <c r="ORN1" s="404"/>
      <c r="ORO1" s="404"/>
      <c r="ORP1" s="405"/>
      <c r="ORQ1" s="408" t="s">
        <v>41</v>
      </c>
      <c r="ORR1" s="404"/>
      <c r="ORS1" s="404"/>
      <c r="ORT1" s="404"/>
      <c r="ORU1" s="404"/>
      <c r="ORV1" s="404"/>
      <c r="ORW1" s="404"/>
      <c r="ORX1" s="405"/>
      <c r="ORY1" s="408" t="s">
        <v>41</v>
      </c>
      <c r="ORZ1" s="404"/>
      <c r="OSA1" s="404"/>
      <c r="OSB1" s="404"/>
      <c r="OSC1" s="404"/>
      <c r="OSD1" s="404"/>
      <c r="OSE1" s="404"/>
      <c r="OSF1" s="405"/>
      <c r="OSG1" s="408" t="s">
        <v>41</v>
      </c>
      <c r="OSH1" s="404"/>
      <c r="OSI1" s="404"/>
      <c r="OSJ1" s="404"/>
      <c r="OSK1" s="404"/>
      <c r="OSL1" s="404"/>
      <c r="OSM1" s="404"/>
      <c r="OSN1" s="405"/>
      <c r="OSO1" s="408" t="s">
        <v>41</v>
      </c>
      <c r="OSP1" s="404"/>
      <c r="OSQ1" s="404"/>
      <c r="OSR1" s="404"/>
      <c r="OSS1" s="404"/>
      <c r="OST1" s="404"/>
      <c r="OSU1" s="404"/>
      <c r="OSV1" s="405"/>
      <c r="OSW1" s="408" t="s">
        <v>41</v>
      </c>
      <c r="OSX1" s="404"/>
      <c r="OSY1" s="404"/>
      <c r="OSZ1" s="404"/>
      <c r="OTA1" s="404"/>
      <c r="OTB1" s="404"/>
      <c r="OTC1" s="404"/>
      <c r="OTD1" s="405"/>
      <c r="OTE1" s="408" t="s">
        <v>41</v>
      </c>
      <c r="OTF1" s="404"/>
      <c r="OTG1" s="404"/>
      <c r="OTH1" s="404"/>
      <c r="OTI1" s="404"/>
      <c r="OTJ1" s="404"/>
      <c r="OTK1" s="404"/>
      <c r="OTL1" s="405"/>
      <c r="OTM1" s="408" t="s">
        <v>41</v>
      </c>
      <c r="OTN1" s="404"/>
      <c r="OTO1" s="404"/>
      <c r="OTP1" s="404"/>
      <c r="OTQ1" s="404"/>
      <c r="OTR1" s="404"/>
      <c r="OTS1" s="404"/>
      <c r="OTT1" s="405"/>
      <c r="OTU1" s="408" t="s">
        <v>41</v>
      </c>
      <c r="OTV1" s="404"/>
      <c r="OTW1" s="404"/>
      <c r="OTX1" s="404"/>
      <c r="OTY1" s="404"/>
      <c r="OTZ1" s="404"/>
      <c r="OUA1" s="404"/>
      <c r="OUB1" s="405"/>
      <c r="OUC1" s="408" t="s">
        <v>41</v>
      </c>
      <c r="OUD1" s="404"/>
      <c r="OUE1" s="404"/>
      <c r="OUF1" s="404"/>
      <c r="OUG1" s="404"/>
      <c r="OUH1" s="404"/>
      <c r="OUI1" s="404"/>
      <c r="OUJ1" s="405"/>
      <c r="OUK1" s="408" t="s">
        <v>41</v>
      </c>
      <c r="OUL1" s="404"/>
      <c r="OUM1" s="404"/>
      <c r="OUN1" s="404"/>
      <c r="OUO1" s="404"/>
      <c r="OUP1" s="404"/>
      <c r="OUQ1" s="404"/>
      <c r="OUR1" s="405"/>
      <c r="OUS1" s="408" t="s">
        <v>41</v>
      </c>
      <c r="OUT1" s="404"/>
      <c r="OUU1" s="404"/>
      <c r="OUV1" s="404"/>
      <c r="OUW1" s="404"/>
      <c r="OUX1" s="404"/>
      <c r="OUY1" s="404"/>
      <c r="OUZ1" s="405"/>
      <c r="OVA1" s="408" t="s">
        <v>41</v>
      </c>
      <c r="OVB1" s="404"/>
      <c r="OVC1" s="404"/>
      <c r="OVD1" s="404"/>
      <c r="OVE1" s="404"/>
      <c r="OVF1" s="404"/>
      <c r="OVG1" s="404"/>
      <c r="OVH1" s="405"/>
      <c r="OVI1" s="408" t="s">
        <v>41</v>
      </c>
      <c r="OVJ1" s="404"/>
      <c r="OVK1" s="404"/>
      <c r="OVL1" s="404"/>
      <c r="OVM1" s="404"/>
      <c r="OVN1" s="404"/>
      <c r="OVO1" s="404"/>
      <c r="OVP1" s="405"/>
      <c r="OVQ1" s="408" t="s">
        <v>41</v>
      </c>
      <c r="OVR1" s="404"/>
      <c r="OVS1" s="404"/>
      <c r="OVT1" s="404"/>
      <c r="OVU1" s="404"/>
      <c r="OVV1" s="404"/>
      <c r="OVW1" s="404"/>
      <c r="OVX1" s="405"/>
      <c r="OVY1" s="408" t="s">
        <v>41</v>
      </c>
      <c r="OVZ1" s="404"/>
      <c r="OWA1" s="404"/>
      <c r="OWB1" s="404"/>
      <c r="OWC1" s="404"/>
      <c r="OWD1" s="404"/>
      <c r="OWE1" s="404"/>
      <c r="OWF1" s="405"/>
      <c r="OWG1" s="408" t="s">
        <v>41</v>
      </c>
      <c r="OWH1" s="404"/>
      <c r="OWI1" s="404"/>
      <c r="OWJ1" s="404"/>
      <c r="OWK1" s="404"/>
      <c r="OWL1" s="404"/>
      <c r="OWM1" s="404"/>
      <c r="OWN1" s="405"/>
      <c r="OWO1" s="408" t="s">
        <v>41</v>
      </c>
      <c r="OWP1" s="404"/>
      <c r="OWQ1" s="404"/>
      <c r="OWR1" s="404"/>
      <c r="OWS1" s="404"/>
      <c r="OWT1" s="404"/>
      <c r="OWU1" s="404"/>
      <c r="OWV1" s="405"/>
      <c r="OWW1" s="408" t="s">
        <v>41</v>
      </c>
      <c r="OWX1" s="404"/>
      <c r="OWY1" s="404"/>
      <c r="OWZ1" s="404"/>
      <c r="OXA1" s="404"/>
      <c r="OXB1" s="404"/>
      <c r="OXC1" s="404"/>
      <c r="OXD1" s="405"/>
      <c r="OXE1" s="408" t="s">
        <v>41</v>
      </c>
      <c r="OXF1" s="404"/>
      <c r="OXG1" s="404"/>
      <c r="OXH1" s="404"/>
      <c r="OXI1" s="404"/>
      <c r="OXJ1" s="404"/>
      <c r="OXK1" s="404"/>
      <c r="OXL1" s="405"/>
      <c r="OXM1" s="408" t="s">
        <v>41</v>
      </c>
      <c r="OXN1" s="404"/>
      <c r="OXO1" s="404"/>
      <c r="OXP1" s="404"/>
      <c r="OXQ1" s="404"/>
      <c r="OXR1" s="404"/>
      <c r="OXS1" s="404"/>
      <c r="OXT1" s="405"/>
      <c r="OXU1" s="408" t="s">
        <v>41</v>
      </c>
      <c r="OXV1" s="404"/>
      <c r="OXW1" s="404"/>
      <c r="OXX1" s="404"/>
      <c r="OXY1" s="404"/>
      <c r="OXZ1" s="404"/>
      <c r="OYA1" s="404"/>
      <c r="OYB1" s="405"/>
      <c r="OYC1" s="408" t="s">
        <v>41</v>
      </c>
      <c r="OYD1" s="404"/>
      <c r="OYE1" s="404"/>
      <c r="OYF1" s="404"/>
      <c r="OYG1" s="404"/>
      <c r="OYH1" s="404"/>
      <c r="OYI1" s="404"/>
      <c r="OYJ1" s="405"/>
      <c r="OYK1" s="408" t="s">
        <v>41</v>
      </c>
      <c r="OYL1" s="404"/>
      <c r="OYM1" s="404"/>
      <c r="OYN1" s="404"/>
      <c r="OYO1" s="404"/>
      <c r="OYP1" s="404"/>
      <c r="OYQ1" s="404"/>
      <c r="OYR1" s="405"/>
      <c r="OYS1" s="408" t="s">
        <v>41</v>
      </c>
      <c r="OYT1" s="404"/>
      <c r="OYU1" s="404"/>
      <c r="OYV1" s="404"/>
      <c r="OYW1" s="404"/>
      <c r="OYX1" s="404"/>
      <c r="OYY1" s="404"/>
      <c r="OYZ1" s="405"/>
      <c r="OZA1" s="408" t="s">
        <v>41</v>
      </c>
      <c r="OZB1" s="404"/>
      <c r="OZC1" s="404"/>
      <c r="OZD1" s="404"/>
      <c r="OZE1" s="404"/>
      <c r="OZF1" s="404"/>
      <c r="OZG1" s="404"/>
      <c r="OZH1" s="405"/>
      <c r="OZI1" s="408" t="s">
        <v>41</v>
      </c>
      <c r="OZJ1" s="404"/>
      <c r="OZK1" s="404"/>
      <c r="OZL1" s="404"/>
      <c r="OZM1" s="404"/>
      <c r="OZN1" s="404"/>
      <c r="OZO1" s="404"/>
      <c r="OZP1" s="405"/>
      <c r="OZQ1" s="408" t="s">
        <v>41</v>
      </c>
      <c r="OZR1" s="404"/>
      <c r="OZS1" s="404"/>
      <c r="OZT1" s="404"/>
      <c r="OZU1" s="404"/>
      <c r="OZV1" s="404"/>
      <c r="OZW1" s="404"/>
      <c r="OZX1" s="405"/>
      <c r="OZY1" s="408" t="s">
        <v>41</v>
      </c>
      <c r="OZZ1" s="404"/>
      <c r="PAA1" s="404"/>
      <c r="PAB1" s="404"/>
      <c r="PAC1" s="404"/>
      <c r="PAD1" s="404"/>
      <c r="PAE1" s="404"/>
      <c r="PAF1" s="405"/>
      <c r="PAG1" s="408" t="s">
        <v>41</v>
      </c>
      <c r="PAH1" s="404"/>
      <c r="PAI1" s="404"/>
      <c r="PAJ1" s="404"/>
      <c r="PAK1" s="404"/>
      <c r="PAL1" s="404"/>
      <c r="PAM1" s="404"/>
      <c r="PAN1" s="405"/>
      <c r="PAO1" s="408" t="s">
        <v>41</v>
      </c>
      <c r="PAP1" s="404"/>
      <c r="PAQ1" s="404"/>
      <c r="PAR1" s="404"/>
      <c r="PAS1" s="404"/>
      <c r="PAT1" s="404"/>
      <c r="PAU1" s="404"/>
      <c r="PAV1" s="405"/>
      <c r="PAW1" s="408" t="s">
        <v>41</v>
      </c>
      <c r="PAX1" s="404"/>
      <c r="PAY1" s="404"/>
      <c r="PAZ1" s="404"/>
      <c r="PBA1" s="404"/>
      <c r="PBB1" s="404"/>
      <c r="PBC1" s="404"/>
      <c r="PBD1" s="405"/>
      <c r="PBE1" s="408" t="s">
        <v>41</v>
      </c>
      <c r="PBF1" s="404"/>
      <c r="PBG1" s="404"/>
      <c r="PBH1" s="404"/>
      <c r="PBI1" s="404"/>
      <c r="PBJ1" s="404"/>
      <c r="PBK1" s="404"/>
      <c r="PBL1" s="405"/>
      <c r="PBM1" s="408" t="s">
        <v>41</v>
      </c>
      <c r="PBN1" s="404"/>
      <c r="PBO1" s="404"/>
      <c r="PBP1" s="404"/>
      <c r="PBQ1" s="404"/>
      <c r="PBR1" s="404"/>
      <c r="PBS1" s="404"/>
      <c r="PBT1" s="405"/>
      <c r="PBU1" s="408" t="s">
        <v>41</v>
      </c>
      <c r="PBV1" s="404"/>
      <c r="PBW1" s="404"/>
      <c r="PBX1" s="404"/>
      <c r="PBY1" s="404"/>
      <c r="PBZ1" s="404"/>
      <c r="PCA1" s="404"/>
      <c r="PCB1" s="405"/>
      <c r="PCC1" s="408" t="s">
        <v>41</v>
      </c>
      <c r="PCD1" s="404"/>
      <c r="PCE1" s="404"/>
      <c r="PCF1" s="404"/>
      <c r="PCG1" s="404"/>
      <c r="PCH1" s="404"/>
      <c r="PCI1" s="404"/>
      <c r="PCJ1" s="405"/>
      <c r="PCK1" s="408" t="s">
        <v>41</v>
      </c>
      <c r="PCL1" s="404"/>
      <c r="PCM1" s="404"/>
      <c r="PCN1" s="404"/>
      <c r="PCO1" s="404"/>
      <c r="PCP1" s="404"/>
      <c r="PCQ1" s="404"/>
      <c r="PCR1" s="405"/>
      <c r="PCS1" s="408" t="s">
        <v>41</v>
      </c>
      <c r="PCT1" s="404"/>
      <c r="PCU1" s="404"/>
      <c r="PCV1" s="404"/>
      <c r="PCW1" s="404"/>
      <c r="PCX1" s="404"/>
      <c r="PCY1" s="404"/>
      <c r="PCZ1" s="405"/>
      <c r="PDA1" s="408" t="s">
        <v>41</v>
      </c>
      <c r="PDB1" s="404"/>
      <c r="PDC1" s="404"/>
      <c r="PDD1" s="404"/>
      <c r="PDE1" s="404"/>
      <c r="PDF1" s="404"/>
      <c r="PDG1" s="404"/>
      <c r="PDH1" s="405"/>
      <c r="PDI1" s="408" t="s">
        <v>41</v>
      </c>
      <c r="PDJ1" s="404"/>
      <c r="PDK1" s="404"/>
      <c r="PDL1" s="404"/>
      <c r="PDM1" s="404"/>
      <c r="PDN1" s="404"/>
      <c r="PDO1" s="404"/>
      <c r="PDP1" s="405"/>
      <c r="PDQ1" s="408" t="s">
        <v>41</v>
      </c>
      <c r="PDR1" s="404"/>
      <c r="PDS1" s="404"/>
      <c r="PDT1" s="404"/>
      <c r="PDU1" s="404"/>
      <c r="PDV1" s="404"/>
      <c r="PDW1" s="404"/>
      <c r="PDX1" s="405"/>
      <c r="PDY1" s="408" t="s">
        <v>41</v>
      </c>
      <c r="PDZ1" s="404"/>
      <c r="PEA1" s="404"/>
      <c r="PEB1" s="404"/>
      <c r="PEC1" s="404"/>
      <c r="PED1" s="404"/>
      <c r="PEE1" s="404"/>
      <c r="PEF1" s="405"/>
      <c r="PEG1" s="408" t="s">
        <v>41</v>
      </c>
      <c r="PEH1" s="404"/>
      <c r="PEI1" s="404"/>
      <c r="PEJ1" s="404"/>
      <c r="PEK1" s="404"/>
      <c r="PEL1" s="404"/>
      <c r="PEM1" s="404"/>
      <c r="PEN1" s="405"/>
      <c r="PEO1" s="408" t="s">
        <v>41</v>
      </c>
      <c r="PEP1" s="404"/>
      <c r="PEQ1" s="404"/>
      <c r="PER1" s="404"/>
      <c r="PES1" s="404"/>
      <c r="PET1" s="404"/>
      <c r="PEU1" s="404"/>
      <c r="PEV1" s="405"/>
      <c r="PEW1" s="408" t="s">
        <v>41</v>
      </c>
      <c r="PEX1" s="404"/>
      <c r="PEY1" s="404"/>
      <c r="PEZ1" s="404"/>
      <c r="PFA1" s="404"/>
      <c r="PFB1" s="404"/>
      <c r="PFC1" s="404"/>
      <c r="PFD1" s="405"/>
      <c r="PFE1" s="408" t="s">
        <v>41</v>
      </c>
      <c r="PFF1" s="404"/>
      <c r="PFG1" s="404"/>
      <c r="PFH1" s="404"/>
      <c r="PFI1" s="404"/>
      <c r="PFJ1" s="404"/>
      <c r="PFK1" s="404"/>
      <c r="PFL1" s="405"/>
      <c r="PFM1" s="408" t="s">
        <v>41</v>
      </c>
      <c r="PFN1" s="404"/>
      <c r="PFO1" s="404"/>
      <c r="PFP1" s="404"/>
      <c r="PFQ1" s="404"/>
      <c r="PFR1" s="404"/>
      <c r="PFS1" s="404"/>
      <c r="PFT1" s="405"/>
      <c r="PFU1" s="408" t="s">
        <v>41</v>
      </c>
      <c r="PFV1" s="404"/>
      <c r="PFW1" s="404"/>
      <c r="PFX1" s="404"/>
      <c r="PFY1" s="404"/>
      <c r="PFZ1" s="404"/>
      <c r="PGA1" s="404"/>
      <c r="PGB1" s="405"/>
      <c r="PGC1" s="408" t="s">
        <v>41</v>
      </c>
      <c r="PGD1" s="404"/>
      <c r="PGE1" s="404"/>
      <c r="PGF1" s="404"/>
      <c r="PGG1" s="404"/>
      <c r="PGH1" s="404"/>
      <c r="PGI1" s="404"/>
      <c r="PGJ1" s="405"/>
      <c r="PGK1" s="408" t="s">
        <v>41</v>
      </c>
      <c r="PGL1" s="404"/>
      <c r="PGM1" s="404"/>
      <c r="PGN1" s="404"/>
      <c r="PGO1" s="404"/>
      <c r="PGP1" s="404"/>
      <c r="PGQ1" s="404"/>
      <c r="PGR1" s="405"/>
      <c r="PGS1" s="408" t="s">
        <v>41</v>
      </c>
      <c r="PGT1" s="404"/>
      <c r="PGU1" s="404"/>
      <c r="PGV1" s="404"/>
      <c r="PGW1" s="404"/>
      <c r="PGX1" s="404"/>
      <c r="PGY1" s="404"/>
      <c r="PGZ1" s="405"/>
      <c r="PHA1" s="408" t="s">
        <v>41</v>
      </c>
      <c r="PHB1" s="404"/>
      <c r="PHC1" s="404"/>
      <c r="PHD1" s="404"/>
      <c r="PHE1" s="404"/>
      <c r="PHF1" s="404"/>
      <c r="PHG1" s="404"/>
      <c r="PHH1" s="405"/>
      <c r="PHI1" s="408" t="s">
        <v>41</v>
      </c>
      <c r="PHJ1" s="404"/>
      <c r="PHK1" s="404"/>
      <c r="PHL1" s="404"/>
      <c r="PHM1" s="404"/>
      <c r="PHN1" s="404"/>
      <c r="PHO1" s="404"/>
      <c r="PHP1" s="405"/>
      <c r="PHQ1" s="408" t="s">
        <v>41</v>
      </c>
      <c r="PHR1" s="404"/>
      <c r="PHS1" s="404"/>
      <c r="PHT1" s="404"/>
      <c r="PHU1" s="404"/>
      <c r="PHV1" s="404"/>
      <c r="PHW1" s="404"/>
      <c r="PHX1" s="405"/>
      <c r="PHY1" s="408" t="s">
        <v>41</v>
      </c>
      <c r="PHZ1" s="404"/>
      <c r="PIA1" s="404"/>
      <c r="PIB1" s="404"/>
      <c r="PIC1" s="404"/>
      <c r="PID1" s="404"/>
      <c r="PIE1" s="404"/>
      <c r="PIF1" s="405"/>
      <c r="PIG1" s="408" t="s">
        <v>41</v>
      </c>
      <c r="PIH1" s="404"/>
      <c r="PII1" s="404"/>
      <c r="PIJ1" s="404"/>
      <c r="PIK1" s="404"/>
      <c r="PIL1" s="404"/>
      <c r="PIM1" s="404"/>
      <c r="PIN1" s="405"/>
      <c r="PIO1" s="408" t="s">
        <v>41</v>
      </c>
      <c r="PIP1" s="404"/>
      <c r="PIQ1" s="404"/>
      <c r="PIR1" s="404"/>
      <c r="PIS1" s="404"/>
      <c r="PIT1" s="404"/>
      <c r="PIU1" s="404"/>
      <c r="PIV1" s="405"/>
      <c r="PIW1" s="408" t="s">
        <v>41</v>
      </c>
      <c r="PIX1" s="404"/>
      <c r="PIY1" s="404"/>
      <c r="PIZ1" s="404"/>
      <c r="PJA1" s="404"/>
      <c r="PJB1" s="404"/>
      <c r="PJC1" s="404"/>
      <c r="PJD1" s="405"/>
      <c r="PJE1" s="408" t="s">
        <v>41</v>
      </c>
      <c r="PJF1" s="404"/>
      <c r="PJG1" s="404"/>
      <c r="PJH1" s="404"/>
      <c r="PJI1" s="404"/>
      <c r="PJJ1" s="404"/>
      <c r="PJK1" s="404"/>
      <c r="PJL1" s="405"/>
      <c r="PJM1" s="408" t="s">
        <v>41</v>
      </c>
      <c r="PJN1" s="404"/>
      <c r="PJO1" s="404"/>
      <c r="PJP1" s="404"/>
      <c r="PJQ1" s="404"/>
      <c r="PJR1" s="404"/>
      <c r="PJS1" s="404"/>
      <c r="PJT1" s="405"/>
      <c r="PJU1" s="408" t="s">
        <v>41</v>
      </c>
      <c r="PJV1" s="404"/>
      <c r="PJW1" s="404"/>
      <c r="PJX1" s="404"/>
      <c r="PJY1" s="404"/>
      <c r="PJZ1" s="404"/>
      <c r="PKA1" s="404"/>
      <c r="PKB1" s="405"/>
      <c r="PKC1" s="408" t="s">
        <v>41</v>
      </c>
      <c r="PKD1" s="404"/>
      <c r="PKE1" s="404"/>
      <c r="PKF1" s="404"/>
      <c r="PKG1" s="404"/>
      <c r="PKH1" s="404"/>
      <c r="PKI1" s="404"/>
      <c r="PKJ1" s="405"/>
      <c r="PKK1" s="408" t="s">
        <v>41</v>
      </c>
      <c r="PKL1" s="404"/>
      <c r="PKM1" s="404"/>
      <c r="PKN1" s="404"/>
      <c r="PKO1" s="404"/>
      <c r="PKP1" s="404"/>
      <c r="PKQ1" s="404"/>
      <c r="PKR1" s="405"/>
      <c r="PKS1" s="408" t="s">
        <v>41</v>
      </c>
      <c r="PKT1" s="404"/>
      <c r="PKU1" s="404"/>
      <c r="PKV1" s="404"/>
      <c r="PKW1" s="404"/>
      <c r="PKX1" s="404"/>
      <c r="PKY1" s="404"/>
      <c r="PKZ1" s="405"/>
      <c r="PLA1" s="408" t="s">
        <v>41</v>
      </c>
      <c r="PLB1" s="404"/>
      <c r="PLC1" s="404"/>
      <c r="PLD1" s="404"/>
      <c r="PLE1" s="404"/>
      <c r="PLF1" s="404"/>
      <c r="PLG1" s="404"/>
      <c r="PLH1" s="405"/>
      <c r="PLI1" s="408" t="s">
        <v>41</v>
      </c>
      <c r="PLJ1" s="404"/>
      <c r="PLK1" s="404"/>
      <c r="PLL1" s="404"/>
      <c r="PLM1" s="404"/>
      <c r="PLN1" s="404"/>
      <c r="PLO1" s="404"/>
      <c r="PLP1" s="405"/>
      <c r="PLQ1" s="408" t="s">
        <v>41</v>
      </c>
      <c r="PLR1" s="404"/>
      <c r="PLS1" s="404"/>
      <c r="PLT1" s="404"/>
      <c r="PLU1" s="404"/>
      <c r="PLV1" s="404"/>
      <c r="PLW1" s="404"/>
      <c r="PLX1" s="405"/>
      <c r="PLY1" s="408" t="s">
        <v>41</v>
      </c>
      <c r="PLZ1" s="404"/>
      <c r="PMA1" s="404"/>
      <c r="PMB1" s="404"/>
      <c r="PMC1" s="404"/>
      <c r="PMD1" s="404"/>
      <c r="PME1" s="404"/>
      <c r="PMF1" s="405"/>
      <c r="PMG1" s="408" t="s">
        <v>41</v>
      </c>
      <c r="PMH1" s="404"/>
      <c r="PMI1" s="404"/>
      <c r="PMJ1" s="404"/>
      <c r="PMK1" s="404"/>
      <c r="PML1" s="404"/>
      <c r="PMM1" s="404"/>
      <c r="PMN1" s="405"/>
      <c r="PMO1" s="408" t="s">
        <v>41</v>
      </c>
      <c r="PMP1" s="404"/>
      <c r="PMQ1" s="404"/>
      <c r="PMR1" s="404"/>
      <c r="PMS1" s="404"/>
      <c r="PMT1" s="404"/>
      <c r="PMU1" s="404"/>
      <c r="PMV1" s="405"/>
      <c r="PMW1" s="408" t="s">
        <v>41</v>
      </c>
      <c r="PMX1" s="404"/>
      <c r="PMY1" s="404"/>
      <c r="PMZ1" s="404"/>
      <c r="PNA1" s="404"/>
      <c r="PNB1" s="404"/>
      <c r="PNC1" s="404"/>
      <c r="PND1" s="405"/>
      <c r="PNE1" s="408" t="s">
        <v>41</v>
      </c>
      <c r="PNF1" s="404"/>
      <c r="PNG1" s="404"/>
      <c r="PNH1" s="404"/>
      <c r="PNI1" s="404"/>
      <c r="PNJ1" s="404"/>
      <c r="PNK1" s="404"/>
      <c r="PNL1" s="405"/>
      <c r="PNM1" s="408" t="s">
        <v>41</v>
      </c>
      <c r="PNN1" s="404"/>
      <c r="PNO1" s="404"/>
      <c r="PNP1" s="404"/>
      <c r="PNQ1" s="404"/>
      <c r="PNR1" s="404"/>
      <c r="PNS1" s="404"/>
      <c r="PNT1" s="405"/>
      <c r="PNU1" s="408" t="s">
        <v>41</v>
      </c>
      <c r="PNV1" s="404"/>
      <c r="PNW1" s="404"/>
      <c r="PNX1" s="404"/>
      <c r="PNY1" s="404"/>
      <c r="PNZ1" s="404"/>
      <c r="POA1" s="404"/>
      <c r="POB1" s="405"/>
      <c r="POC1" s="408" t="s">
        <v>41</v>
      </c>
      <c r="POD1" s="404"/>
      <c r="POE1" s="404"/>
      <c r="POF1" s="404"/>
      <c r="POG1" s="404"/>
      <c r="POH1" s="404"/>
      <c r="POI1" s="404"/>
      <c r="POJ1" s="405"/>
      <c r="POK1" s="408" t="s">
        <v>41</v>
      </c>
      <c r="POL1" s="404"/>
      <c r="POM1" s="404"/>
      <c r="PON1" s="404"/>
      <c r="POO1" s="404"/>
      <c r="POP1" s="404"/>
      <c r="POQ1" s="404"/>
      <c r="POR1" s="405"/>
      <c r="POS1" s="408" t="s">
        <v>41</v>
      </c>
      <c r="POT1" s="404"/>
      <c r="POU1" s="404"/>
      <c r="POV1" s="404"/>
      <c r="POW1" s="404"/>
      <c r="POX1" s="404"/>
      <c r="POY1" s="404"/>
      <c r="POZ1" s="405"/>
      <c r="PPA1" s="408" t="s">
        <v>41</v>
      </c>
      <c r="PPB1" s="404"/>
      <c r="PPC1" s="404"/>
      <c r="PPD1" s="404"/>
      <c r="PPE1" s="404"/>
      <c r="PPF1" s="404"/>
      <c r="PPG1" s="404"/>
      <c r="PPH1" s="405"/>
      <c r="PPI1" s="408" t="s">
        <v>41</v>
      </c>
      <c r="PPJ1" s="404"/>
      <c r="PPK1" s="404"/>
      <c r="PPL1" s="404"/>
      <c r="PPM1" s="404"/>
      <c r="PPN1" s="404"/>
      <c r="PPO1" s="404"/>
      <c r="PPP1" s="405"/>
      <c r="PPQ1" s="408" t="s">
        <v>41</v>
      </c>
      <c r="PPR1" s="404"/>
      <c r="PPS1" s="404"/>
      <c r="PPT1" s="404"/>
      <c r="PPU1" s="404"/>
      <c r="PPV1" s="404"/>
      <c r="PPW1" s="404"/>
      <c r="PPX1" s="405"/>
      <c r="PPY1" s="408" t="s">
        <v>41</v>
      </c>
      <c r="PPZ1" s="404"/>
      <c r="PQA1" s="404"/>
      <c r="PQB1" s="404"/>
      <c r="PQC1" s="404"/>
      <c r="PQD1" s="404"/>
      <c r="PQE1" s="404"/>
      <c r="PQF1" s="405"/>
      <c r="PQG1" s="408" t="s">
        <v>41</v>
      </c>
      <c r="PQH1" s="404"/>
      <c r="PQI1" s="404"/>
      <c r="PQJ1" s="404"/>
      <c r="PQK1" s="404"/>
      <c r="PQL1" s="404"/>
      <c r="PQM1" s="404"/>
      <c r="PQN1" s="405"/>
      <c r="PQO1" s="408" t="s">
        <v>41</v>
      </c>
      <c r="PQP1" s="404"/>
      <c r="PQQ1" s="404"/>
      <c r="PQR1" s="404"/>
      <c r="PQS1" s="404"/>
      <c r="PQT1" s="404"/>
      <c r="PQU1" s="404"/>
      <c r="PQV1" s="405"/>
      <c r="PQW1" s="408" t="s">
        <v>41</v>
      </c>
      <c r="PQX1" s="404"/>
      <c r="PQY1" s="404"/>
      <c r="PQZ1" s="404"/>
      <c r="PRA1" s="404"/>
      <c r="PRB1" s="404"/>
      <c r="PRC1" s="404"/>
      <c r="PRD1" s="405"/>
      <c r="PRE1" s="408" t="s">
        <v>41</v>
      </c>
      <c r="PRF1" s="404"/>
      <c r="PRG1" s="404"/>
      <c r="PRH1" s="404"/>
      <c r="PRI1" s="404"/>
      <c r="PRJ1" s="404"/>
      <c r="PRK1" s="404"/>
      <c r="PRL1" s="405"/>
      <c r="PRM1" s="408" t="s">
        <v>41</v>
      </c>
      <c r="PRN1" s="404"/>
      <c r="PRO1" s="404"/>
      <c r="PRP1" s="404"/>
      <c r="PRQ1" s="404"/>
      <c r="PRR1" s="404"/>
      <c r="PRS1" s="404"/>
      <c r="PRT1" s="405"/>
      <c r="PRU1" s="408" t="s">
        <v>41</v>
      </c>
      <c r="PRV1" s="404"/>
      <c r="PRW1" s="404"/>
      <c r="PRX1" s="404"/>
      <c r="PRY1" s="404"/>
      <c r="PRZ1" s="404"/>
      <c r="PSA1" s="404"/>
      <c r="PSB1" s="405"/>
      <c r="PSC1" s="408" t="s">
        <v>41</v>
      </c>
      <c r="PSD1" s="404"/>
      <c r="PSE1" s="404"/>
      <c r="PSF1" s="404"/>
      <c r="PSG1" s="404"/>
      <c r="PSH1" s="404"/>
      <c r="PSI1" s="404"/>
      <c r="PSJ1" s="405"/>
      <c r="PSK1" s="408" t="s">
        <v>41</v>
      </c>
      <c r="PSL1" s="404"/>
      <c r="PSM1" s="404"/>
      <c r="PSN1" s="404"/>
      <c r="PSO1" s="404"/>
      <c r="PSP1" s="404"/>
      <c r="PSQ1" s="404"/>
      <c r="PSR1" s="405"/>
      <c r="PSS1" s="408" t="s">
        <v>41</v>
      </c>
      <c r="PST1" s="404"/>
      <c r="PSU1" s="404"/>
      <c r="PSV1" s="404"/>
      <c r="PSW1" s="404"/>
      <c r="PSX1" s="404"/>
      <c r="PSY1" s="404"/>
      <c r="PSZ1" s="405"/>
      <c r="PTA1" s="408" t="s">
        <v>41</v>
      </c>
      <c r="PTB1" s="404"/>
      <c r="PTC1" s="404"/>
      <c r="PTD1" s="404"/>
      <c r="PTE1" s="404"/>
      <c r="PTF1" s="404"/>
      <c r="PTG1" s="404"/>
      <c r="PTH1" s="405"/>
      <c r="PTI1" s="408" t="s">
        <v>41</v>
      </c>
      <c r="PTJ1" s="404"/>
      <c r="PTK1" s="404"/>
      <c r="PTL1" s="404"/>
      <c r="PTM1" s="404"/>
      <c r="PTN1" s="404"/>
      <c r="PTO1" s="404"/>
      <c r="PTP1" s="405"/>
      <c r="PTQ1" s="408" t="s">
        <v>41</v>
      </c>
      <c r="PTR1" s="404"/>
      <c r="PTS1" s="404"/>
      <c r="PTT1" s="404"/>
      <c r="PTU1" s="404"/>
      <c r="PTV1" s="404"/>
      <c r="PTW1" s="404"/>
      <c r="PTX1" s="405"/>
      <c r="PTY1" s="408" t="s">
        <v>41</v>
      </c>
      <c r="PTZ1" s="404"/>
      <c r="PUA1" s="404"/>
      <c r="PUB1" s="404"/>
      <c r="PUC1" s="404"/>
      <c r="PUD1" s="404"/>
      <c r="PUE1" s="404"/>
      <c r="PUF1" s="405"/>
      <c r="PUG1" s="408" t="s">
        <v>41</v>
      </c>
      <c r="PUH1" s="404"/>
      <c r="PUI1" s="404"/>
      <c r="PUJ1" s="404"/>
      <c r="PUK1" s="404"/>
      <c r="PUL1" s="404"/>
      <c r="PUM1" s="404"/>
      <c r="PUN1" s="405"/>
      <c r="PUO1" s="408" t="s">
        <v>41</v>
      </c>
      <c r="PUP1" s="404"/>
      <c r="PUQ1" s="404"/>
      <c r="PUR1" s="404"/>
      <c r="PUS1" s="404"/>
      <c r="PUT1" s="404"/>
      <c r="PUU1" s="404"/>
      <c r="PUV1" s="405"/>
      <c r="PUW1" s="408" t="s">
        <v>41</v>
      </c>
      <c r="PUX1" s="404"/>
      <c r="PUY1" s="404"/>
      <c r="PUZ1" s="404"/>
      <c r="PVA1" s="404"/>
      <c r="PVB1" s="404"/>
      <c r="PVC1" s="404"/>
      <c r="PVD1" s="405"/>
      <c r="PVE1" s="408" t="s">
        <v>41</v>
      </c>
      <c r="PVF1" s="404"/>
      <c r="PVG1" s="404"/>
      <c r="PVH1" s="404"/>
      <c r="PVI1" s="404"/>
      <c r="PVJ1" s="404"/>
      <c r="PVK1" s="404"/>
      <c r="PVL1" s="405"/>
      <c r="PVM1" s="408" t="s">
        <v>41</v>
      </c>
      <c r="PVN1" s="404"/>
      <c r="PVO1" s="404"/>
      <c r="PVP1" s="404"/>
      <c r="PVQ1" s="404"/>
      <c r="PVR1" s="404"/>
      <c r="PVS1" s="404"/>
      <c r="PVT1" s="405"/>
      <c r="PVU1" s="408" t="s">
        <v>41</v>
      </c>
      <c r="PVV1" s="404"/>
      <c r="PVW1" s="404"/>
      <c r="PVX1" s="404"/>
      <c r="PVY1" s="404"/>
      <c r="PVZ1" s="404"/>
      <c r="PWA1" s="404"/>
      <c r="PWB1" s="405"/>
      <c r="PWC1" s="408" t="s">
        <v>41</v>
      </c>
      <c r="PWD1" s="404"/>
      <c r="PWE1" s="404"/>
      <c r="PWF1" s="404"/>
      <c r="PWG1" s="404"/>
      <c r="PWH1" s="404"/>
      <c r="PWI1" s="404"/>
      <c r="PWJ1" s="405"/>
      <c r="PWK1" s="408" t="s">
        <v>41</v>
      </c>
      <c r="PWL1" s="404"/>
      <c r="PWM1" s="404"/>
      <c r="PWN1" s="404"/>
      <c r="PWO1" s="404"/>
      <c r="PWP1" s="404"/>
      <c r="PWQ1" s="404"/>
      <c r="PWR1" s="405"/>
      <c r="PWS1" s="408" t="s">
        <v>41</v>
      </c>
      <c r="PWT1" s="404"/>
      <c r="PWU1" s="404"/>
      <c r="PWV1" s="404"/>
      <c r="PWW1" s="404"/>
      <c r="PWX1" s="404"/>
      <c r="PWY1" s="404"/>
      <c r="PWZ1" s="405"/>
      <c r="PXA1" s="408" t="s">
        <v>41</v>
      </c>
      <c r="PXB1" s="404"/>
      <c r="PXC1" s="404"/>
      <c r="PXD1" s="404"/>
      <c r="PXE1" s="404"/>
      <c r="PXF1" s="404"/>
      <c r="PXG1" s="404"/>
      <c r="PXH1" s="405"/>
      <c r="PXI1" s="408" t="s">
        <v>41</v>
      </c>
      <c r="PXJ1" s="404"/>
      <c r="PXK1" s="404"/>
      <c r="PXL1" s="404"/>
      <c r="PXM1" s="404"/>
      <c r="PXN1" s="404"/>
      <c r="PXO1" s="404"/>
      <c r="PXP1" s="405"/>
      <c r="PXQ1" s="408" t="s">
        <v>41</v>
      </c>
      <c r="PXR1" s="404"/>
      <c r="PXS1" s="404"/>
      <c r="PXT1" s="404"/>
      <c r="PXU1" s="404"/>
      <c r="PXV1" s="404"/>
      <c r="PXW1" s="404"/>
      <c r="PXX1" s="405"/>
      <c r="PXY1" s="408" t="s">
        <v>41</v>
      </c>
      <c r="PXZ1" s="404"/>
      <c r="PYA1" s="404"/>
      <c r="PYB1" s="404"/>
      <c r="PYC1" s="404"/>
      <c r="PYD1" s="404"/>
      <c r="PYE1" s="404"/>
      <c r="PYF1" s="405"/>
      <c r="PYG1" s="408" t="s">
        <v>41</v>
      </c>
      <c r="PYH1" s="404"/>
      <c r="PYI1" s="404"/>
      <c r="PYJ1" s="404"/>
      <c r="PYK1" s="404"/>
      <c r="PYL1" s="404"/>
      <c r="PYM1" s="404"/>
      <c r="PYN1" s="405"/>
      <c r="PYO1" s="408" t="s">
        <v>41</v>
      </c>
      <c r="PYP1" s="404"/>
      <c r="PYQ1" s="404"/>
      <c r="PYR1" s="404"/>
      <c r="PYS1" s="404"/>
      <c r="PYT1" s="404"/>
      <c r="PYU1" s="404"/>
      <c r="PYV1" s="405"/>
      <c r="PYW1" s="408" t="s">
        <v>41</v>
      </c>
      <c r="PYX1" s="404"/>
      <c r="PYY1" s="404"/>
      <c r="PYZ1" s="404"/>
      <c r="PZA1" s="404"/>
      <c r="PZB1" s="404"/>
      <c r="PZC1" s="404"/>
      <c r="PZD1" s="405"/>
      <c r="PZE1" s="408" t="s">
        <v>41</v>
      </c>
      <c r="PZF1" s="404"/>
      <c r="PZG1" s="404"/>
      <c r="PZH1" s="404"/>
      <c r="PZI1" s="404"/>
      <c r="PZJ1" s="404"/>
      <c r="PZK1" s="404"/>
      <c r="PZL1" s="405"/>
      <c r="PZM1" s="408" t="s">
        <v>41</v>
      </c>
      <c r="PZN1" s="404"/>
      <c r="PZO1" s="404"/>
      <c r="PZP1" s="404"/>
      <c r="PZQ1" s="404"/>
      <c r="PZR1" s="404"/>
      <c r="PZS1" s="404"/>
      <c r="PZT1" s="405"/>
      <c r="PZU1" s="408" t="s">
        <v>41</v>
      </c>
      <c r="PZV1" s="404"/>
      <c r="PZW1" s="404"/>
      <c r="PZX1" s="404"/>
      <c r="PZY1" s="404"/>
      <c r="PZZ1" s="404"/>
      <c r="QAA1" s="404"/>
      <c r="QAB1" s="405"/>
      <c r="QAC1" s="408" t="s">
        <v>41</v>
      </c>
      <c r="QAD1" s="404"/>
      <c r="QAE1" s="404"/>
      <c r="QAF1" s="404"/>
      <c r="QAG1" s="404"/>
      <c r="QAH1" s="404"/>
      <c r="QAI1" s="404"/>
      <c r="QAJ1" s="405"/>
      <c r="QAK1" s="408" t="s">
        <v>41</v>
      </c>
      <c r="QAL1" s="404"/>
      <c r="QAM1" s="404"/>
      <c r="QAN1" s="404"/>
      <c r="QAO1" s="404"/>
      <c r="QAP1" s="404"/>
      <c r="QAQ1" s="404"/>
      <c r="QAR1" s="405"/>
      <c r="QAS1" s="408" t="s">
        <v>41</v>
      </c>
      <c r="QAT1" s="404"/>
      <c r="QAU1" s="404"/>
      <c r="QAV1" s="404"/>
      <c r="QAW1" s="404"/>
      <c r="QAX1" s="404"/>
      <c r="QAY1" s="404"/>
      <c r="QAZ1" s="405"/>
      <c r="QBA1" s="408" t="s">
        <v>41</v>
      </c>
      <c r="QBB1" s="404"/>
      <c r="QBC1" s="404"/>
      <c r="QBD1" s="404"/>
      <c r="QBE1" s="404"/>
      <c r="QBF1" s="404"/>
      <c r="QBG1" s="404"/>
      <c r="QBH1" s="405"/>
      <c r="QBI1" s="408" t="s">
        <v>41</v>
      </c>
      <c r="QBJ1" s="404"/>
      <c r="QBK1" s="404"/>
      <c r="QBL1" s="404"/>
      <c r="QBM1" s="404"/>
      <c r="QBN1" s="404"/>
      <c r="QBO1" s="404"/>
      <c r="QBP1" s="405"/>
      <c r="QBQ1" s="408" t="s">
        <v>41</v>
      </c>
      <c r="QBR1" s="404"/>
      <c r="QBS1" s="404"/>
      <c r="QBT1" s="404"/>
      <c r="QBU1" s="404"/>
      <c r="QBV1" s="404"/>
      <c r="QBW1" s="404"/>
      <c r="QBX1" s="405"/>
      <c r="QBY1" s="408" t="s">
        <v>41</v>
      </c>
      <c r="QBZ1" s="404"/>
      <c r="QCA1" s="404"/>
      <c r="QCB1" s="404"/>
      <c r="QCC1" s="404"/>
      <c r="QCD1" s="404"/>
      <c r="QCE1" s="404"/>
      <c r="QCF1" s="405"/>
      <c r="QCG1" s="408" t="s">
        <v>41</v>
      </c>
      <c r="QCH1" s="404"/>
      <c r="QCI1" s="404"/>
      <c r="QCJ1" s="404"/>
      <c r="QCK1" s="404"/>
      <c r="QCL1" s="404"/>
      <c r="QCM1" s="404"/>
      <c r="QCN1" s="405"/>
      <c r="QCO1" s="408" t="s">
        <v>41</v>
      </c>
      <c r="QCP1" s="404"/>
      <c r="QCQ1" s="404"/>
      <c r="QCR1" s="404"/>
      <c r="QCS1" s="404"/>
      <c r="QCT1" s="404"/>
      <c r="QCU1" s="404"/>
      <c r="QCV1" s="405"/>
      <c r="QCW1" s="408" t="s">
        <v>41</v>
      </c>
      <c r="QCX1" s="404"/>
      <c r="QCY1" s="404"/>
      <c r="QCZ1" s="404"/>
      <c r="QDA1" s="404"/>
      <c r="QDB1" s="404"/>
      <c r="QDC1" s="404"/>
      <c r="QDD1" s="405"/>
      <c r="QDE1" s="408" t="s">
        <v>41</v>
      </c>
      <c r="QDF1" s="404"/>
      <c r="QDG1" s="404"/>
      <c r="QDH1" s="404"/>
      <c r="QDI1" s="404"/>
      <c r="QDJ1" s="404"/>
      <c r="QDK1" s="404"/>
      <c r="QDL1" s="405"/>
      <c r="QDM1" s="408" t="s">
        <v>41</v>
      </c>
      <c r="QDN1" s="404"/>
      <c r="QDO1" s="404"/>
      <c r="QDP1" s="404"/>
      <c r="QDQ1" s="404"/>
      <c r="QDR1" s="404"/>
      <c r="QDS1" s="404"/>
      <c r="QDT1" s="405"/>
      <c r="QDU1" s="408" t="s">
        <v>41</v>
      </c>
      <c r="QDV1" s="404"/>
      <c r="QDW1" s="404"/>
      <c r="QDX1" s="404"/>
      <c r="QDY1" s="404"/>
      <c r="QDZ1" s="404"/>
      <c r="QEA1" s="404"/>
      <c r="QEB1" s="405"/>
      <c r="QEC1" s="408" t="s">
        <v>41</v>
      </c>
      <c r="QED1" s="404"/>
      <c r="QEE1" s="404"/>
      <c r="QEF1" s="404"/>
      <c r="QEG1" s="404"/>
      <c r="QEH1" s="404"/>
      <c r="QEI1" s="404"/>
      <c r="QEJ1" s="405"/>
      <c r="QEK1" s="408" t="s">
        <v>41</v>
      </c>
      <c r="QEL1" s="404"/>
      <c r="QEM1" s="404"/>
      <c r="QEN1" s="404"/>
      <c r="QEO1" s="404"/>
      <c r="QEP1" s="404"/>
      <c r="QEQ1" s="404"/>
      <c r="QER1" s="405"/>
      <c r="QES1" s="408" t="s">
        <v>41</v>
      </c>
      <c r="QET1" s="404"/>
      <c r="QEU1" s="404"/>
      <c r="QEV1" s="404"/>
      <c r="QEW1" s="404"/>
      <c r="QEX1" s="404"/>
      <c r="QEY1" s="404"/>
      <c r="QEZ1" s="405"/>
      <c r="QFA1" s="408" t="s">
        <v>41</v>
      </c>
      <c r="QFB1" s="404"/>
      <c r="QFC1" s="404"/>
      <c r="QFD1" s="404"/>
      <c r="QFE1" s="404"/>
      <c r="QFF1" s="404"/>
      <c r="QFG1" s="404"/>
      <c r="QFH1" s="405"/>
      <c r="QFI1" s="408" t="s">
        <v>41</v>
      </c>
      <c r="QFJ1" s="404"/>
      <c r="QFK1" s="404"/>
      <c r="QFL1" s="404"/>
      <c r="QFM1" s="404"/>
      <c r="QFN1" s="404"/>
      <c r="QFO1" s="404"/>
      <c r="QFP1" s="405"/>
      <c r="QFQ1" s="408" t="s">
        <v>41</v>
      </c>
      <c r="QFR1" s="404"/>
      <c r="QFS1" s="404"/>
      <c r="QFT1" s="404"/>
      <c r="QFU1" s="404"/>
      <c r="QFV1" s="404"/>
      <c r="QFW1" s="404"/>
      <c r="QFX1" s="405"/>
      <c r="QFY1" s="408" t="s">
        <v>41</v>
      </c>
      <c r="QFZ1" s="404"/>
      <c r="QGA1" s="404"/>
      <c r="QGB1" s="404"/>
      <c r="QGC1" s="404"/>
      <c r="QGD1" s="404"/>
      <c r="QGE1" s="404"/>
      <c r="QGF1" s="405"/>
      <c r="QGG1" s="408" t="s">
        <v>41</v>
      </c>
      <c r="QGH1" s="404"/>
      <c r="QGI1" s="404"/>
      <c r="QGJ1" s="404"/>
      <c r="QGK1" s="404"/>
      <c r="QGL1" s="404"/>
      <c r="QGM1" s="404"/>
      <c r="QGN1" s="405"/>
      <c r="QGO1" s="408" t="s">
        <v>41</v>
      </c>
      <c r="QGP1" s="404"/>
      <c r="QGQ1" s="404"/>
      <c r="QGR1" s="404"/>
      <c r="QGS1" s="404"/>
      <c r="QGT1" s="404"/>
      <c r="QGU1" s="404"/>
      <c r="QGV1" s="405"/>
      <c r="QGW1" s="408" t="s">
        <v>41</v>
      </c>
      <c r="QGX1" s="404"/>
      <c r="QGY1" s="404"/>
      <c r="QGZ1" s="404"/>
      <c r="QHA1" s="404"/>
      <c r="QHB1" s="404"/>
      <c r="QHC1" s="404"/>
      <c r="QHD1" s="405"/>
      <c r="QHE1" s="408" t="s">
        <v>41</v>
      </c>
      <c r="QHF1" s="404"/>
      <c r="QHG1" s="404"/>
      <c r="QHH1" s="404"/>
      <c r="QHI1" s="404"/>
      <c r="QHJ1" s="404"/>
      <c r="QHK1" s="404"/>
      <c r="QHL1" s="405"/>
      <c r="QHM1" s="408" t="s">
        <v>41</v>
      </c>
      <c r="QHN1" s="404"/>
      <c r="QHO1" s="404"/>
      <c r="QHP1" s="404"/>
      <c r="QHQ1" s="404"/>
      <c r="QHR1" s="404"/>
      <c r="QHS1" s="404"/>
      <c r="QHT1" s="405"/>
      <c r="QHU1" s="408" t="s">
        <v>41</v>
      </c>
      <c r="QHV1" s="404"/>
      <c r="QHW1" s="404"/>
      <c r="QHX1" s="404"/>
      <c r="QHY1" s="404"/>
      <c r="QHZ1" s="404"/>
      <c r="QIA1" s="404"/>
      <c r="QIB1" s="405"/>
      <c r="QIC1" s="408" t="s">
        <v>41</v>
      </c>
      <c r="QID1" s="404"/>
      <c r="QIE1" s="404"/>
      <c r="QIF1" s="404"/>
      <c r="QIG1" s="404"/>
      <c r="QIH1" s="404"/>
      <c r="QII1" s="404"/>
      <c r="QIJ1" s="405"/>
      <c r="QIK1" s="408" t="s">
        <v>41</v>
      </c>
      <c r="QIL1" s="404"/>
      <c r="QIM1" s="404"/>
      <c r="QIN1" s="404"/>
      <c r="QIO1" s="404"/>
      <c r="QIP1" s="404"/>
      <c r="QIQ1" s="404"/>
      <c r="QIR1" s="405"/>
      <c r="QIS1" s="408" t="s">
        <v>41</v>
      </c>
      <c r="QIT1" s="404"/>
      <c r="QIU1" s="404"/>
      <c r="QIV1" s="404"/>
      <c r="QIW1" s="404"/>
      <c r="QIX1" s="404"/>
      <c r="QIY1" s="404"/>
      <c r="QIZ1" s="405"/>
      <c r="QJA1" s="408" t="s">
        <v>41</v>
      </c>
      <c r="QJB1" s="404"/>
      <c r="QJC1" s="404"/>
      <c r="QJD1" s="404"/>
      <c r="QJE1" s="404"/>
      <c r="QJF1" s="404"/>
      <c r="QJG1" s="404"/>
      <c r="QJH1" s="405"/>
      <c r="QJI1" s="408" t="s">
        <v>41</v>
      </c>
      <c r="QJJ1" s="404"/>
      <c r="QJK1" s="404"/>
      <c r="QJL1" s="404"/>
      <c r="QJM1" s="404"/>
      <c r="QJN1" s="404"/>
      <c r="QJO1" s="404"/>
      <c r="QJP1" s="405"/>
      <c r="QJQ1" s="408" t="s">
        <v>41</v>
      </c>
      <c r="QJR1" s="404"/>
      <c r="QJS1" s="404"/>
      <c r="QJT1" s="404"/>
      <c r="QJU1" s="404"/>
      <c r="QJV1" s="404"/>
      <c r="QJW1" s="404"/>
      <c r="QJX1" s="405"/>
      <c r="QJY1" s="408" t="s">
        <v>41</v>
      </c>
      <c r="QJZ1" s="404"/>
      <c r="QKA1" s="404"/>
      <c r="QKB1" s="404"/>
      <c r="QKC1" s="404"/>
      <c r="QKD1" s="404"/>
      <c r="QKE1" s="404"/>
      <c r="QKF1" s="405"/>
      <c r="QKG1" s="408" t="s">
        <v>41</v>
      </c>
      <c r="QKH1" s="404"/>
      <c r="QKI1" s="404"/>
      <c r="QKJ1" s="404"/>
      <c r="QKK1" s="404"/>
      <c r="QKL1" s="404"/>
      <c r="QKM1" s="404"/>
      <c r="QKN1" s="405"/>
      <c r="QKO1" s="408" t="s">
        <v>41</v>
      </c>
      <c r="QKP1" s="404"/>
      <c r="QKQ1" s="404"/>
      <c r="QKR1" s="404"/>
      <c r="QKS1" s="404"/>
      <c r="QKT1" s="404"/>
      <c r="QKU1" s="404"/>
      <c r="QKV1" s="405"/>
      <c r="QKW1" s="408" t="s">
        <v>41</v>
      </c>
      <c r="QKX1" s="404"/>
      <c r="QKY1" s="404"/>
      <c r="QKZ1" s="404"/>
      <c r="QLA1" s="404"/>
      <c r="QLB1" s="404"/>
      <c r="QLC1" s="404"/>
      <c r="QLD1" s="405"/>
      <c r="QLE1" s="408" t="s">
        <v>41</v>
      </c>
      <c r="QLF1" s="404"/>
      <c r="QLG1" s="404"/>
      <c r="QLH1" s="404"/>
      <c r="QLI1" s="404"/>
      <c r="QLJ1" s="404"/>
      <c r="QLK1" s="404"/>
      <c r="QLL1" s="405"/>
      <c r="QLM1" s="408" t="s">
        <v>41</v>
      </c>
      <c r="QLN1" s="404"/>
      <c r="QLO1" s="404"/>
      <c r="QLP1" s="404"/>
      <c r="QLQ1" s="404"/>
      <c r="QLR1" s="404"/>
      <c r="QLS1" s="404"/>
      <c r="QLT1" s="405"/>
      <c r="QLU1" s="408" t="s">
        <v>41</v>
      </c>
      <c r="QLV1" s="404"/>
      <c r="QLW1" s="404"/>
      <c r="QLX1" s="404"/>
      <c r="QLY1" s="404"/>
      <c r="QLZ1" s="404"/>
      <c r="QMA1" s="404"/>
      <c r="QMB1" s="405"/>
      <c r="QMC1" s="408" t="s">
        <v>41</v>
      </c>
      <c r="QMD1" s="404"/>
      <c r="QME1" s="404"/>
      <c r="QMF1" s="404"/>
      <c r="QMG1" s="404"/>
      <c r="QMH1" s="404"/>
      <c r="QMI1" s="404"/>
      <c r="QMJ1" s="405"/>
      <c r="QMK1" s="408" t="s">
        <v>41</v>
      </c>
      <c r="QML1" s="404"/>
      <c r="QMM1" s="404"/>
      <c r="QMN1" s="404"/>
      <c r="QMO1" s="404"/>
      <c r="QMP1" s="404"/>
      <c r="QMQ1" s="404"/>
      <c r="QMR1" s="405"/>
      <c r="QMS1" s="408" t="s">
        <v>41</v>
      </c>
      <c r="QMT1" s="404"/>
      <c r="QMU1" s="404"/>
      <c r="QMV1" s="404"/>
      <c r="QMW1" s="404"/>
      <c r="QMX1" s="404"/>
      <c r="QMY1" s="404"/>
      <c r="QMZ1" s="405"/>
      <c r="QNA1" s="408" t="s">
        <v>41</v>
      </c>
      <c r="QNB1" s="404"/>
      <c r="QNC1" s="404"/>
      <c r="QND1" s="404"/>
      <c r="QNE1" s="404"/>
      <c r="QNF1" s="404"/>
      <c r="QNG1" s="404"/>
      <c r="QNH1" s="405"/>
      <c r="QNI1" s="408" t="s">
        <v>41</v>
      </c>
      <c r="QNJ1" s="404"/>
      <c r="QNK1" s="404"/>
      <c r="QNL1" s="404"/>
      <c r="QNM1" s="404"/>
      <c r="QNN1" s="404"/>
      <c r="QNO1" s="404"/>
      <c r="QNP1" s="405"/>
      <c r="QNQ1" s="408" t="s">
        <v>41</v>
      </c>
      <c r="QNR1" s="404"/>
      <c r="QNS1" s="404"/>
      <c r="QNT1" s="404"/>
      <c r="QNU1" s="404"/>
      <c r="QNV1" s="404"/>
      <c r="QNW1" s="404"/>
      <c r="QNX1" s="405"/>
      <c r="QNY1" s="408" t="s">
        <v>41</v>
      </c>
      <c r="QNZ1" s="404"/>
      <c r="QOA1" s="404"/>
      <c r="QOB1" s="404"/>
      <c r="QOC1" s="404"/>
      <c r="QOD1" s="404"/>
      <c r="QOE1" s="404"/>
      <c r="QOF1" s="405"/>
      <c r="QOG1" s="408" t="s">
        <v>41</v>
      </c>
      <c r="QOH1" s="404"/>
      <c r="QOI1" s="404"/>
      <c r="QOJ1" s="404"/>
      <c r="QOK1" s="404"/>
      <c r="QOL1" s="404"/>
      <c r="QOM1" s="404"/>
      <c r="QON1" s="405"/>
      <c r="QOO1" s="408" t="s">
        <v>41</v>
      </c>
      <c r="QOP1" s="404"/>
      <c r="QOQ1" s="404"/>
      <c r="QOR1" s="404"/>
      <c r="QOS1" s="404"/>
      <c r="QOT1" s="404"/>
      <c r="QOU1" s="404"/>
      <c r="QOV1" s="405"/>
      <c r="QOW1" s="408" t="s">
        <v>41</v>
      </c>
      <c r="QOX1" s="404"/>
      <c r="QOY1" s="404"/>
      <c r="QOZ1" s="404"/>
      <c r="QPA1" s="404"/>
      <c r="QPB1" s="404"/>
      <c r="QPC1" s="404"/>
      <c r="QPD1" s="405"/>
      <c r="QPE1" s="408" t="s">
        <v>41</v>
      </c>
      <c r="QPF1" s="404"/>
      <c r="QPG1" s="404"/>
      <c r="QPH1" s="404"/>
      <c r="QPI1" s="404"/>
      <c r="QPJ1" s="404"/>
      <c r="QPK1" s="404"/>
      <c r="QPL1" s="405"/>
      <c r="QPM1" s="408" t="s">
        <v>41</v>
      </c>
      <c r="QPN1" s="404"/>
      <c r="QPO1" s="404"/>
      <c r="QPP1" s="404"/>
      <c r="QPQ1" s="404"/>
      <c r="QPR1" s="404"/>
      <c r="QPS1" s="404"/>
      <c r="QPT1" s="405"/>
      <c r="QPU1" s="408" t="s">
        <v>41</v>
      </c>
      <c r="QPV1" s="404"/>
      <c r="QPW1" s="404"/>
      <c r="QPX1" s="404"/>
      <c r="QPY1" s="404"/>
      <c r="QPZ1" s="404"/>
      <c r="QQA1" s="404"/>
      <c r="QQB1" s="405"/>
      <c r="QQC1" s="408" t="s">
        <v>41</v>
      </c>
      <c r="QQD1" s="404"/>
      <c r="QQE1" s="404"/>
      <c r="QQF1" s="404"/>
      <c r="QQG1" s="404"/>
      <c r="QQH1" s="404"/>
      <c r="QQI1" s="404"/>
      <c r="QQJ1" s="405"/>
      <c r="QQK1" s="408" t="s">
        <v>41</v>
      </c>
      <c r="QQL1" s="404"/>
      <c r="QQM1" s="404"/>
      <c r="QQN1" s="404"/>
      <c r="QQO1" s="404"/>
      <c r="QQP1" s="404"/>
      <c r="QQQ1" s="404"/>
      <c r="QQR1" s="405"/>
      <c r="QQS1" s="408" t="s">
        <v>41</v>
      </c>
      <c r="QQT1" s="404"/>
      <c r="QQU1" s="404"/>
      <c r="QQV1" s="404"/>
      <c r="QQW1" s="404"/>
      <c r="QQX1" s="404"/>
      <c r="QQY1" s="404"/>
      <c r="QQZ1" s="405"/>
      <c r="QRA1" s="408" t="s">
        <v>41</v>
      </c>
      <c r="QRB1" s="404"/>
      <c r="QRC1" s="404"/>
      <c r="QRD1" s="404"/>
      <c r="QRE1" s="404"/>
      <c r="QRF1" s="404"/>
      <c r="QRG1" s="404"/>
      <c r="QRH1" s="405"/>
      <c r="QRI1" s="408" t="s">
        <v>41</v>
      </c>
      <c r="QRJ1" s="404"/>
      <c r="QRK1" s="404"/>
      <c r="QRL1" s="404"/>
      <c r="QRM1" s="404"/>
      <c r="QRN1" s="404"/>
      <c r="QRO1" s="404"/>
      <c r="QRP1" s="405"/>
      <c r="QRQ1" s="408" t="s">
        <v>41</v>
      </c>
      <c r="QRR1" s="404"/>
      <c r="QRS1" s="404"/>
      <c r="QRT1" s="404"/>
      <c r="QRU1" s="404"/>
      <c r="QRV1" s="404"/>
      <c r="QRW1" s="404"/>
      <c r="QRX1" s="405"/>
      <c r="QRY1" s="408" t="s">
        <v>41</v>
      </c>
      <c r="QRZ1" s="404"/>
      <c r="QSA1" s="404"/>
      <c r="QSB1" s="404"/>
      <c r="QSC1" s="404"/>
      <c r="QSD1" s="404"/>
      <c r="QSE1" s="404"/>
      <c r="QSF1" s="405"/>
      <c r="QSG1" s="408" t="s">
        <v>41</v>
      </c>
      <c r="QSH1" s="404"/>
      <c r="QSI1" s="404"/>
      <c r="QSJ1" s="404"/>
      <c r="QSK1" s="404"/>
      <c r="QSL1" s="404"/>
      <c r="QSM1" s="404"/>
      <c r="QSN1" s="405"/>
      <c r="QSO1" s="408" t="s">
        <v>41</v>
      </c>
      <c r="QSP1" s="404"/>
      <c r="QSQ1" s="404"/>
      <c r="QSR1" s="404"/>
      <c r="QSS1" s="404"/>
      <c r="QST1" s="404"/>
      <c r="QSU1" s="404"/>
      <c r="QSV1" s="405"/>
      <c r="QSW1" s="408" t="s">
        <v>41</v>
      </c>
      <c r="QSX1" s="404"/>
      <c r="QSY1" s="404"/>
      <c r="QSZ1" s="404"/>
      <c r="QTA1" s="404"/>
      <c r="QTB1" s="404"/>
      <c r="QTC1" s="404"/>
      <c r="QTD1" s="405"/>
      <c r="QTE1" s="408" t="s">
        <v>41</v>
      </c>
      <c r="QTF1" s="404"/>
      <c r="QTG1" s="404"/>
      <c r="QTH1" s="404"/>
      <c r="QTI1" s="404"/>
      <c r="QTJ1" s="404"/>
      <c r="QTK1" s="404"/>
      <c r="QTL1" s="405"/>
      <c r="QTM1" s="408" t="s">
        <v>41</v>
      </c>
      <c r="QTN1" s="404"/>
      <c r="QTO1" s="404"/>
      <c r="QTP1" s="404"/>
      <c r="QTQ1" s="404"/>
      <c r="QTR1" s="404"/>
      <c r="QTS1" s="404"/>
      <c r="QTT1" s="405"/>
      <c r="QTU1" s="408" t="s">
        <v>41</v>
      </c>
      <c r="QTV1" s="404"/>
      <c r="QTW1" s="404"/>
      <c r="QTX1" s="404"/>
      <c r="QTY1" s="404"/>
      <c r="QTZ1" s="404"/>
      <c r="QUA1" s="404"/>
      <c r="QUB1" s="405"/>
      <c r="QUC1" s="408" t="s">
        <v>41</v>
      </c>
      <c r="QUD1" s="404"/>
      <c r="QUE1" s="404"/>
      <c r="QUF1" s="404"/>
      <c r="QUG1" s="404"/>
      <c r="QUH1" s="404"/>
      <c r="QUI1" s="404"/>
      <c r="QUJ1" s="405"/>
      <c r="QUK1" s="408" t="s">
        <v>41</v>
      </c>
      <c r="QUL1" s="404"/>
      <c r="QUM1" s="404"/>
      <c r="QUN1" s="404"/>
      <c r="QUO1" s="404"/>
      <c r="QUP1" s="404"/>
      <c r="QUQ1" s="404"/>
      <c r="QUR1" s="405"/>
      <c r="QUS1" s="408" t="s">
        <v>41</v>
      </c>
      <c r="QUT1" s="404"/>
      <c r="QUU1" s="404"/>
      <c r="QUV1" s="404"/>
      <c r="QUW1" s="404"/>
      <c r="QUX1" s="404"/>
      <c r="QUY1" s="404"/>
      <c r="QUZ1" s="405"/>
      <c r="QVA1" s="408" t="s">
        <v>41</v>
      </c>
      <c r="QVB1" s="404"/>
      <c r="QVC1" s="404"/>
      <c r="QVD1" s="404"/>
      <c r="QVE1" s="404"/>
      <c r="QVF1" s="404"/>
      <c r="QVG1" s="404"/>
      <c r="QVH1" s="405"/>
      <c r="QVI1" s="408" t="s">
        <v>41</v>
      </c>
      <c r="QVJ1" s="404"/>
      <c r="QVK1" s="404"/>
      <c r="QVL1" s="404"/>
      <c r="QVM1" s="404"/>
      <c r="QVN1" s="404"/>
      <c r="QVO1" s="404"/>
      <c r="QVP1" s="405"/>
      <c r="QVQ1" s="408" t="s">
        <v>41</v>
      </c>
      <c r="QVR1" s="404"/>
      <c r="QVS1" s="404"/>
      <c r="QVT1" s="404"/>
      <c r="QVU1" s="404"/>
      <c r="QVV1" s="404"/>
      <c r="QVW1" s="404"/>
      <c r="QVX1" s="405"/>
      <c r="QVY1" s="408" t="s">
        <v>41</v>
      </c>
      <c r="QVZ1" s="404"/>
      <c r="QWA1" s="404"/>
      <c r="QWB1" s="404"/>
      <c r="QWC1" s="404"/>
      <c r="QWD1" s="404"/>
      <c r="QWE1" s="404"/>
      <c r="QWF1" s="405"/>
      <c r="QWG1" s="408" t="s">
        <v>41</v>
      </c>
      <c r="QWH1" s="404"/>
      <c r="QWI1" s="404"/>
      <c r="QWJ1" s="404"/>
      <c r="QWK1" s="404"/>
      <c r="QWL1" s="404"/>
      <c r="QWM1" s="404"/>
      <c r="QWN1" s="405"/>
      <c r="QWO1" s="408" t="s">
        <v>41</v>
      </c>
      <c r="QWP1" s="404"/>
      <c r="QWQ1" s="404"/>
      <c r="QWR1" s="404"/>
      <c r="QWS1" s="404"/>
      <c r="QWT1" s="404"/>
      <c r="QWU1" s="404"/>
      <c r="QWV1" s="405"/>
      <c r="QWW1" s="408" t="s">
        <v>41</v>
      </c>
      <c r="QWX1" s="404"/>
      <c r="QWY1" s="404"/>
      <c r="QWZ1" s="404"/>
      <c r="QXA1" s="404"/>
      <c r="QXB1" s="404"/>
      <c r="QXC1" s="404"/>
      <c r="QXD1" s="405"/>
      <c r="QXE1" s="408" t="s">
        <v>41</v>
      </c>
      <c r="QXF1" s="404"/>
      <c r="QXG1" s="404"/>
      <c r="QXH1" s="404"/>
      <c r="QXI1" s="404"/>
      <c r="QXJ1" s="404"/>
      <c r="QXK1" s="404"/>
      <c r="QXL1" s="405"/>
      <c r="QXM1" s="408" t="s">
        <v>41</v>
      </c>
      <c r="QXN1" s="404"/>
      <c r="QXO1" s="404"/>
      <c r="QXP1" s="404"/>
      <c r="QXQ1" s="404"/>
      <c r="QXR1" s="404"/>
      <c r="QXS1" s="404"/>
      <c r="QXT1" s="405"/>
      <c r="QXU1" s="408" t="s">
        <v>41</v>
      </c>
      <c r="QXV1" s="404"/>
      <c r="QXW1" s="404"/>
      <c r="QXX1" s="404"/>
      <c r="QXY1" s="404"/>
      <c r="QXZ1" s="404"/>
      <c r="QYA1" s="404"/>
      <c r="QYB1" s="405"/>
      <c r="QYC1" s="408" t="s">
        <v>41</v>
      </c>
      <c r="QYD1" s="404"/>
      <c r="QYE1" s="404"/>
      <c r="QYF1" s="404"/>
      <c r="QYG1" s="404"/>
      <c r="QYH1" s="404"/>
      <c r="QYI1" s="404"/>
      <c r="QYJ1" s="405"/>
      <c r="QYK1" s="408" t="s">
        <v>41</v>
      </c>
      <c r="QYL1" s="404"/>
      <c r="QYM1" s="404"/>
      <c r="QYN1" s="404"/>
      <c r="QYO1" s="404"/>
      <c r="QYP1" s="404"/>
      <c r="QYQ1" s="404"/>
      <c r="QYR1" s="405"/>
      <c r="QYS1" s="408" t="s">
        <v>41</v>
      </c>
      <c r="QYT1" s="404"/>
      <c r="QYU1" s="404"/>
      <c r="QYV1" s="404"/>
      <c r="QYW1" s="404"/>
      <c r="QYX1" s="404"/>
      <c r="QYY1" s="404"/>
      <c r="QYZ1" s="405"/>
      <c r="QZA1" s="408" t="s">
        <v>41</v>
      </c>
      <c r="QZB1" s="404"/>
      <c r="QZC1" s="404"/>
      <c r="QZD1" s="404"/>
      <c r="QZE1" s="404"/>
      <c r="QZF1" s="404"/>
      <c r="QZG1" s="404"/>
      <c r="QZH1" s="405"/>
      <c r="QZI1" s="408" t="s">
        <v>41</v>
      </c>
      <c r="QZJ1" s="404"/>
      <c r="QZK1" s="404"/>
      <c r="QZL1" s="404"/>
      <c r="QZM1" s="404"/>
      <c r="QZN1" s="404"/>
      <c r="QZO1" s="404"/>
      <c r="QZP1" s="405"/>
      <c r="QZQ1" s="408" t="s">
        <v>41</v>
      </c>
      <c r="QZR1" s="404"/>
      <c r="QZS1" s="404"/>
      <c r="QZT1" s="404"/>
      <c r="QZU1" s="404"/>
      <c r="QZV1" s="404"/>
      <c r="QZW1" s="404"/>
      <c r="QZX1" s="405"/>
      <c r="QZY1" s="408" t="s">
        <v>41</v>
      </c>
      <c r="QZZ1" s="404"/>
      <c r="RAA1" s="404"/>
      <c r="RAB1" s="404"/>
      <c r="RAC1" s="404"/>
      <c r="RAD1" s="404"/>
      <c r="RAE1" s="404"/>
      <c r="RAF1" s="405"/>
      <c r="RAG1" s="408" t="s">
        <v>41</v>
      </c>
      <c r="RAH1" s="404"/>
      <c r="RAI1" s="404"/>
      <c r="RAJ1" s="404"/>
      <c r="RAK1" s="404"/>
      <c r="RAL1" s="404"/>
      <c r="RAM1" s="404"/>
      <c r="RAN1" s="405"/>
      <c r="RAO1" s="408" t="s">
        <v>41</v>
      </c>
      <c r="RAP1" s="404"/>
      <c r="RAQ1" s="404"/>
      <c r="RAR1" s="404"/>
      <c r="RAS1" s="404"/>
      <c r="RAT1" s="404"/>
      <c r="RAU1" s="404"/>
      <c r="RAV1" s="405"/>
      <c r="RAW1" s="408" t="s">
        <v>41</v>
      </c>
      <c r="RAX1" s="404"/>
      <c r="RAY1" s="404"/>
      <c r="RAZ1" s="404"/>
      <c r="RBA1" s="404"/>
      <c r="RBB1" s="404"/>
      <c r="RBC1" s="404"/>
      <c r="RBD1" s="405"/>
      <c r="RBE1" s="408" t="s">
        <v>41</v>
      </c>
      <c r="RBF1" s="404"/>
      <c r="RBG1" s="404"/>
      <c r="RBH1" s="404"/>
      <c r="RBI1" s="404"/>
      <c r="RBJ1" s="404"/>
      <c r="RBK1" s="404"/>
      <c r="RBL1" s="405"/>
      <c r="RBM1" s="408" t="s">
        <v>41</v>
      </c>
      <c r="RBN1" s="404"/>
      <c r="RBO1" s="404"/>
      <c r="RBP1" s="404"/>
      <c r="RBQ1" s="404"/>
      <c r="RBR1" s="404"/>
      <c r="RBS1" s="404"/>
      <c r="RBT1" s="405"/>
      <c r="RBU1" s="408" t="s">
        <v>41</v>
      </c>
      <c r="RBV1" s="404"/>
      <c r="RBW1" s="404"/>
      <c r="RBX1" s="404"/>
      <c r="RBY1" s="404"/>
      <c r="RBZ1" s="404"/>
      <c r="RCA1" s="404"/>
      <c r="RCB1" s="405"/>
      <c r="RCC1" s="408" t="s">
        <v>41</v>
      </c>
      <c r="RCD1" s="404"/>
      <c r="RCE1" s="404"/>
      <c r="RCF1" s="404"/>
      <c r="RCG1" s="404"/>
      <c r="RCH1" s="404"/>
      <c r="RCI1" s="404"/>
      <c r="RCJ1" s="405"/>
      <c r="RCK1" s="408" t="s">
        <v>41</v>
      </c>
      <c r="RCL1" s="404"/>
      <c r="RCM1" s="404"/>
      <c r="RCN1" s="404"/>
      <c r="RCO1" s="404"/>
      <c r="RCP1" s="404"/>
      <c r="RCQ1" s="404"/>
      <c r="RCR1" s="405"/>
      <c r="RCS1" s="408" t="s">
        <v>41</v>
      </c>
      <c r="RCT1" s="404"/>
      <c r="RCU1" s="404"/>
      <c r="RCV1" s="404"/>
      <c r="RCW1" s="404"/>
      <c r="RCX1" s="404"/>
      <c r="RCY1" s="404"/>
      <c r="RCZ1" s="405"/>
      <c r="RDA1" s="408" t="s">
        <v>41</v>
      </c>
      <c r="RDB1" s="404"/>
      <c r="RDC1" s="404"/>
      <c r="RDD1" s="404"/>
      <c r="RDE1" s="404"/>
      <c r="RDF1" s="404"/>
      <c r="RDG1" s="404"/>
      <c r="RDH1" s="405"/>
      <c r="RDI1" s="408" t="s">
        <v>41</v>
      </c>
      <c r="RDJ1" s="404"/>
      <c r="RDK1" s="404"/>
      <c r="RDL1" s="404"/>
      <c r="RDM1" s="404"/>
      <c r="RDN1" s="404"/>
      <c r="RDO1" s="404"/>
      <c r="RDP1" s="405"/>
      <c r="RDQ1" s="408" t="s">
        <v>41</v>
      </c>
      <c r="RDR1" s="404"/>
      <c r="RDS1" s="404"/>
      <c r="RDT1" s="404"/>
      <c r="RDU1" s="404"/>
      <c r="RDV1" s="404"/>
      <c r="RDW1" s="404"/>
      <c r="RDX1" s="405"/>
      <c r="RDY1" s="408" t="s">
        <v>41</v>
      </c>
      <c r="RDZ1" s="404"/>
      <c r="REA1" s="404"/>
      <c r="REB1" s="404"/>
      <c r="REC1" s="404"/>
      <c r="RED1" s="404"/>
      <c r="REE1" s="404"/>
      <c r="REF1" s="405"/>
      <c r="REG1" s="408" t="s">
        <v>41</v>
      </c>
      <c r="REH1" s="404"/>
      <c r="REI1" s="404"/>
      <c r="REJ1" s="404"/>
      <c r="REK1" s="404"/>
      <c r="REL1" s="404"/>
      <c r="REM1" s="404"/>
      <c r="REN1" s="405"/>
      <c r="REO1" s="408" t="s">
        <v>41</v>
      </c>
      <c r="REP1" s="404"/>
      <c r="REQ1" s="404"/>
      <c r="RER1" s="404"/>
      <c r="RES1" s="404"/>
      <c r="RET1" s="404"/>
      <c r="REU1" s="404"/>
      <c r="REV1" s="405"/>
      <c r="REW1" s="408" t="s">
        <v>41</v>
      </c>
      <c r="REX1" s="404"/>
      <c r="REY1" s="404"/>
      <c r="REZ1" s="404"/>
      <c r="RFA1" s="404"/>
      <c r="RFB1" s="404"/>
      <c r="RFC1" s="404"/>
      <c r="RFD1" s="405"/>
      <c r="RFE1" s="408" t="s">
        <v>41</v>
      </c>
      <c r="RFF1" s="404"/>
      <c r="RFG1" s="404"/>
      <c r="RFH1" s="404"/>
      <c r="RFI1" s="404"/>
      <c r="RFJ1" s="404"/>
      <c r="RFK1" s="404"/>
      <c r="RFL1" s="405"/>
      <c r="RFM1" s="408" t="s">
        <v>41</v>
      </c>
      <c r="RFN1" s="404"/>
      <c r="RFO1" s="404"/>
      <c r="RFP1" s="404"/>
      <c r="RFQ1" s="404"/>
      <c r="RFR1" s="404"/>
      <c r="RFS1" s="404"/>
      <c r="RFT1" s="405"/>
      <c r="RFU1" s="408" t="s">
        <v>41</v>
      </c>
      <c r="RFV1" s="404"/>
      <c r="RFW1" s="404"/>
      <c r="RFX1" s="404"/>
      <c r="RFY1" s="404"/>
      <c r="RFZ1" s="404"/>
      <c r="RGA1" s="404"/>
      <c r="RGB1" s="405"/>
      <c r="RGC1" s="408" t="s">
        <v>41</v>
      </c>
      <c r="RGD1" s="404"/>
      <c r="RGE1" s="404"/>
      <c r="RGF1" s="404"/>
      <c r="RGG1" s="404"/>
      <c r="RGH1" s="404"/>
      <c r="RGI1" s="404"/>
      <c r="RGJ1" s="405"/>
      <c r="RGK1" s="408" t="s">
        <v>41</v>
      </c>
      <c r="RGL1" s="404"/>
      <c r="RGM1" s="404"/>
      <c r="RGN1" s="404"/>
      <c r="RGO1" s="404"/>
      <c r="RGP1" s="404"/>
      <c r="RGQ1" s="404"/>
      <c r="RGR1" s="405"/>
      <c r="RGS1" s="408" t="s">
        <v>41</v>
      </c>
      <c r="RGT1" s="404"/>
      <c r="RGU1" s="404"/>
      <c r="RGV1" s="404"/>
      <c r="RGW1" s="404"/>
      <c r="RGX1" s="404"/>
      <c r="RGY1" s="404"/>
      <c r="RGZ1" s="405"/>
      <c r="RHA1" s="408" t="s">
        <v>41</v>
      </c>
      <c r="RHB1" s="404"/>
      <c r="RHC1" s="404"/>
      <c r="RHD1" s="404"/>
      <c r="RHE1" s="404"/>
      <c r="RHF1" s="404"/>
      <c r="RHG1" s="404"/>
      <c r="RHH1" s="405"/>
      <c r="RHI1" s="408" t="s">
        <v>41</v>
      </c>
      <c r="RHJ1" s="404"/>
      <c r="RHK1" s="404"/>
      <c r="RHL1" s="404"/>
      <c r="RHM1" s="404"/>
      <c r="RHN1" s="404"/>
      <c r="RHO1" s="404"/>
      <c r="RHP1" s="405"/>
      <c r="RHQ1" s="408" t="s">
        <v>41</v>
      </c>
      <c r="RHR1" s="404"/>
      <c r="RHS1" s="404"/>
      <c r="RHT1" s="404"/>
      <c r="RHU1" s="404"/>
      <c r="RHV1" s="404"/>
      <c r="RHW1" s="404"/>
      <c r="RHX1" s="405"/>
      <c r="RHY1" s="408" t="s">
        <v>41</v>
      </c>
      <c r="RHZ1" s="404"/>
      <c r="RIA1" s="404"/>
      <c r="RIB1" s="404"/>
      <c r="RIC1" s="404"/>
      <c r="RID1" s="404"/>
      <c r="RIE1" s="404"/>
      <c r="RIF1" s="405"/>
      <c r="RIG1" s="408" t="s">
        <v>41</v>
      </c>
      <c r="RIH1" s="404"/>
      <c r="RII1" s="404"/>
      <c r="RIJ1" s="404"/>
      <c r="RIK1" s="404"/>
      <c r="RIL1" s="404"/>
      <c r="RIM1" s="404"/>
      <c r="RIN1" s="405"/>
      <c r="RIO1" s="408" t="s">
        <v>41</v>
      </c>
      <c r="RIP1" s="404"/>
      <c r="RIQ1" s="404"/>
      <c r="RIR1" s="404"/>
      <c r="RIS1" s="404"/>
      <c r="RIT1" s="404"/>
      <c r="RIU1" s="404"/>
      <c r="RIV1" s="405"/>
      <c r="RIW1" s="408" t="s">
        <v>41</v>
      </c>
      <c r="RIX1" s="404"/>
      <c r="RIY1" s="404"/>
      <c r="RIZ1" s="404"/>
      <c r="RJA1" s="404"/>
      <c r="RJB1" s="404"/>
      <c r="RJC1" s="404"/>
      <c r="RJD1" s="405"/>
      <c r="RJE1" s="408" t="s">
        <v>41</v>
      </c>
      <c r="RJF1" s="404"/>
      <c r="RJG1" s="404"/>
      <c r="RJH1" s="404"/>
      <c r="RJI1" s="404"/>
      <c r="RJJ1" s="404"/>
      <c r="RJK1" s="404"/>
      <c r="RJL1" s="405"/>
      <c r="RJM1" s="408" t="s">
        <v>41</v>
      </c>
      <c r="RJN1" s="404"/>
      <c r="RJO1" s="404"/>
      <c r="RJP1" s="404"/>
      <c r="RJQ1" s="404"/>
      <c r="RJR1" s="404"/>
      <c r="RJS1" s="404"/>
      <c r="RJT1" s="405"/>
      <c r="RJU1" s="408" t="s">
        <v>41</v>
      </c>
      <c r="RJV1" s="404"/>
      <c r="RJW1" s="404"/>
      <c r="RJX1" s="404"/>
      <c r="RJY1" s="404"/>
      <c r="RJZ1" s="404"/>
      <c r="RKA1" s="404"/>
      <c r="RKB1" s="405"/>
      <c r="RKC1" s="408" t="s">
        <v>41</v>
      </c>
      <c r="RKD1" s="404"/>
      <c r="RKE1" s="404"/>
      <c r="RKF1" s="404"/>
      <c r="RKG1" s="404"/>
      <c r="RKH1" s="404"/>
      <c r="RKI1" s="404"/>
      <c r="RKJ1" s="405"/>
      <c r="RKK1" s="408" t="s">
        <v>41</v>
      </c>
      <c r="RKL1" s="404"/>
      <c r="RKM1" s="404"/>
      <c r="RKN1" s="404"/>
      <c r="RKO1" s="404"/>
      <c r="RKP1" s="404"/>
      <c r="RKQ1" s="404"/>
      <c r="RKR1" s="405"/>
      <c r="RKS1" s="408" t="s">
        <v>41</v>
      </c>
      <c r="RKT1" s="404"/>
      <c r="RKU1" s="404"/>
      <c r="RKV1" s="404"/>
      <c r="RKW1" s="404"/>
      <c r="RKX1" s="404"/>
      <c r="RKY1" s="404"/>
      <c r="RKZ1" s="405"/>
      <c r="RLA1" s="408" t="s">
        <v>41</v>
      </c>
      <c r="RLB1" s="404"/>
      <c r="RLC1" s="404"/>
      <c r="RLD1" s="404"/>
      <c r="RLE1" s="404"/>
      <c r="RLF1" s="404"/>
      <c r="RLG1" s="404"/>
      <c r="RLH1" s="405"/>
      <c r="RLI1" s="408" t="s">
        <v>41</v>
      </c>
      <c r="RLJ1" s="404"/>
      <c r="RLK1" s="404"/>
      <c r="RLL1" s="404"/>
      <c r="RLM1" s="404"/>
      <c r="RLN1" s="404"/>
      <c r="RLO1" s="404"/>
      <c r="RLP1" s="405"/>
      <c r="RLQ1" s="408" t="s">
        <v>41</v>
      </c>
      <c r="RLR1" s="404"/>
      <c r="RLS1" s="404"/>
      <c r="RLT1" s="404"/>
      <c r="RLU1" s="404"/>
      <c r="RLV1" s="404"/>
      <c r="RLW1" s="404"/>
      <c r="RLX1" s="405"/>
      <c r="RLY1" s="408" t="s">
        <v>41</v>
      </c>
      <c r="RLZ1" s="404"/>
      <c r="RMA1" s="404"/>
      <c r="RMB1" s="404"/>
      <c r="RMC1" s="404"/>
      <c r="RMD1" s="404"/>
      <c r="RME1" s="404"/>
      <c r="RMF1" s="405"/>
      <c r="RMG1" s="408" t="s">
        <v>41</v>
      </c>
      <c r="RMH1" s="404"/>
      <c r="RMI1" s="404"/>
      <c r="RMJ1" s="404"/>
      <c r="RMK1" s="404"/>
      <c r="RML1" s="404"/>
      <c r="RMM1" s="404"/>
      <c r="RMN1" s="405"/>
      <c r="RMO1" s="408" t="s">
        <v>41</v>
      </c>
      <c r="RMP1" s="404"/>
      <c r="RMQ1" s="404"/>
      <c r="RMR1" s="404"/>
      <c r="RMS1" s="404"/>
      <c r="RMT1" s="404"/>
      <c r="RMU1" s="404"/>
      <c r="RMV1" s="405"/>
      <c r="RMW1" s="408" t="s">
        <v>41</v>
      </c>
      <c r="RMX1" s="404"/>
      <c r="RMY1" s="404"/>
      <c r="RMZ1" s="404"/>
      <c r="RNA1" s="404"/>
      <c r="RNB1" s="404"/>
      <c r="RNC1" s="404"/>
      <c r="RND1" s="405"/>
      <c r="RNE1" s="408" t="s">
        <v>41</v>
      </c>
      <c r="RNF1" s="404"/>
      <c r="RNG1" s="404"/>
      <c r="RNH1" s="404"/>
      <c r="RNI1" s="404"/>
      <c r="RNJ1" s="404"/>
      <c r="RNK1" s="404"/>
      <c r="RNL1" s="405"/>
      <c r="RNM1" s="408" t="s">
        <v>41</v>
      </c>
      <c r="RNN1" s="404"/>
      <c r="RNO1" s="404"/>
      <c r="RNP1" s="404"/>
      <c r="RNQ1" s="404"/>
      <c r="RNR1" s="404"/>
      <c r="RNS1" s="404"/>
      <c r="RNT1" s="405"/>
      <c r="RNU1" s="408" t="s">
        <v>41</v>
      </c>
      <c r="RNV1" s="404"/>
      <c r="RNW1" s="404"/>
      <c r="RNX1" s="404"/>
      <c r="RNY1" s="404"/>
      <c r="RNZ1" s="404"/>
      <c r="ROA1" s="404"/>
      <c r="ROB1" s="405"/>
      <c r="ROC1" s="408" t="s">
        <v>41</v>
      </c>
      <c r="ROD1" s="404"/>
      <c r="ROE1" s="404"/>
      <c r="ROF1" s="404"/>
      <c r="ROG1" s="404"/>
      <c r="ROH1" s="404"/>
      <c r="ROI1" s="404"/>
      <c r="ROJ1" s="405"/>
      <c r="ROK1" s="408" t="s">
        <v>41</v>
      </c>
      <c r="ROL1" s="404"/>
      <c r="ROM1" s="404"/>
      <c r="RON1" s="404"/>
      <c r="ROO1" s="404"/>
      <c r="ROP1" s="404"/>
      <c r="ROQ1" s="404"/>
      <c r="ROR1" s="405"/>
      <c r="ROS1" s="408" t="s">
        <v>41</v>
      </c>
      <c r="ROT1" s="404"/>
      <c r="ROU1" s="404"/>
      <c r="ROV1" s="404"/>
      <c r="ROW1" s="404"/>
      <c r="ROX1" s="404"/>
      <c r="ROY1" s="404"/>
      <c r="ROZ1" s="405"/>
      <c r="RPA1" s="408" t="s">
        <v>41</v>
      </c>
      <c r="RPB1" s="404"/>
      <c r="RPC1" s="404"/>
      <c r="RPD1" s="404"/>
      <c r="RPE1" s="404"/>
      <c r="RPF1" s="404"/>
      <c r="RPG1" s="404"/>
      <c r="RPH1" s="405"/>
      <c r="RPI1" s="408" t="s">
        <v>41</v>
      </c>
      <c r="RPJ1" s="404"/>
      <c r="RPK1" s="404"/>
      <c r="RPL1" s="404"/>
      <c r="RPM1" s="404"/>
      <c r="RPN1" s="404"/>
      <c r="RPO1" s="404"/>
      <c r="RPP1" s="405"/>
      <c r="RPQ1" s="408" t="s">
        <v>41</v>
      </c>
      <c r="RPR1" s="404"/>
      <c r="RPS1" s="404"/>
      <c r="RPT1" s="404"/>
      <c r="RPU1" s="404"/>
      <c r="RPV1" s="404"/>
      <c r="RPW1" s="404"/>
      <c r="RPX1" s="405"/>
      <c r="RPY1" s="408" t="s">
        <v>41</v>
      </c>
      <c r="RPZ1" s="404"/>
      <c r="RQA1" s="404"/>
      <c r="RQB1" s="404"/>
      <c r="RQC1" s="404"/>
      <c r="RQD1" s="404"/>
      <c r="RQE1" s="404"/>
      <c r="RQF1" s="405"/>
      <c r="RQG1" s="408" t="s">
        <v>41</v>
      </c>
      <c r="RQH1" s="404"/>
      <c r="RQI1" s="404"/>
      <c r="RQJ1" s="404"/>
      <c r="RQK1" s="404"/>
      <c r="RQL1" s="404"/>
      <c r="RQM1" s="404"/>
      <c r="RQN1" s="405"/>
      <c r="RQO1" s="408" t="s">
        <v>41</v>
      </c>
      <c r="RQP1" s="404"/>
      <c r="RQQ1" s="404"/>
      <c r="RQR1" s="404"/>
      <c r="RQS1" s="404"/>
      <c r="RQT1" s="404"/>
      <c r="RQU1" s="404"/>
      <c r="RQV1" s="405"/>
      <c r="RQW1" s="408" t="s">
        <v>41</v>
      </c>
      <c r="RQX1" s="404"/>
      <c r="RQY1" s="404"/>
      <c r="RQZ1" s="404"/>
      <c r="RRA1" s="404"/>
      <c r="RRB1" s="404"/>
      <c r="RRC1" s="404"/>
      <c r="RRD1" s="405"/>
      <c r="RRE1" s="408" t="s">
        <v>41</v>
      </c>
      <c r="RRF1" s="404"/>
      <c r="RRG1" s="404"/>
      <c r="RRH1" s="404"/>
      <c r="RRI1" s="404"/>
      <c r="RRJ1" s="404"/>
      <c r="RRK1" s="404"/>
      <c r="RRL1" s="405"/>
      <c r="RRM1" s="408" t="s">
        <v>41</v>
      </c>
      <c r="RRN1" s="404"/>
      <c r="RRO1" s="404"/>
      <c r="RRP1" s="404"/>
      <c r="RRQ1" s="404"/>
      <c r="RRR1" s="404"/>
      <c r="RRS1" s="404"/>
      <c r="RRT1" s="405"/>
      <c r="RRU1" s="408" t="s">
        <v>41</v>
      </c>
      <c r="RRV1" s="404"/>
      <c r="RRW1" s="404"/>
      <c r="RRX1" s="404"/>
      <c r="RRY1" s="404"/>
      <c r="RRZ1" s="404"/>
      <c r="RSA1" s="404"/>
      <c r="RSB1" s="405"/>
      <c r="RSC1" s="408" t="s">
        <v>41</v>
      </c>
      <c r="RSD1" s="404"/>
      <c r="RSE1" s="404"/>
      <c r="RSF1" s="404"/>
      <c r="RSG1" s="404"/>
      <c r="RSH1" s="404"/>
      <c r="RSI1" s="404"/>
      <c r="RSJ1" s="405"/>
      <c r="RSK1" s="408" t="s">
        <v>41</v>
      </c>
      <c r="RSL1" s="404"/>
      <c r="RSM1" s="404"/>
      <c r="RSN1" s="404"/>
      <c r="RSO1" s="404"/>
      <c r="RSP1" s="404"/>
      <c r="RSQ1" s="404"/>
      <c r="RSR1" s="405"/>
      <c r="RSS1" s="408" t="s">
        <v>41</v>
      </c>
      <c r="RST1" s="404"/>
      <c r="RSU1" s="404"/>
      <c r="RSV1" s="404"/>
      <c r="RSW1" s="404"/>
      <c r="RSX1" s="404"/>
      <c r="RSY1" s="404"/>
      <c r="RSZ1" s="405"/>
      <c r="RTA1" s="408" t="s">
        <v>41</v>
      </c>
      <c r="RTB1" s="404"/>
      <c r="RTC1" s="404"/>
      <c r="RTD1" s="404"/>
      <c r="RTE1" s="404"/>
      <c r="RTF1" s="404"/>
      <c r="RTG1" s="404"/>
      <c r="RTH1" s="405"/>
      <c r="RTI1" s="408" t="s">
        <v>41</v>
      </c>
      <c r="RTJ1" s="404"/>
      <c r="RTK1" s="404"/>
      <c r="RTL1" s="404"/>
      <c r="RTM1" s="404"/>
      <c r="RTN1" s="404"/>
      <c r="RTO1" s="404"/>
      <c r="RTP1" s="405"/>
      <c r="RTQ1" s="408" t="s">
        <v>41</v>
      </c>
      <c r="RTR1" s="404"/>
      <c r="RTS1" s="404"/>
      <c r="RTT1" s="404"/>
      <c r="RTU1" s="404"/>
      <c r="RTV1" s="404"/>
      <c r="RTW1" s="404"/>
      <c r="RTX1" s="405"/>
      <c r="RTY1" s="408" t="s">
        <v>41</v>
      </c>
      <c r="RTZ1" s="404"/>
      <c r="RUA1" s="404"/>
      <c r="RUB1" s="404"/>
      <c r="RUC1" s="404"/>
      <c r="RUD1" s="404"/>
      <c r="RUE1" s="404"/>
      <c r="RUF1" s="405"/>
      <c r="RUG1" s="408" t="s">
        <v>41</v>
      </c>
      <c r="RUH1" s="404"/>
      <c r="RUI1" s="404"/>
      <c r="RUJ1" s="404"/>
      <c r="RUK1" s="404"/>
      <c r="RUL1" s="404"/>
      <c r="RUM1" s="404"/>
      <c r="RUN1" s="405"/>
      <c r="RUO1" s="408" t="s">
        <v>41</v>
      </c>
      <c r="RUP1" s="404"/>
      <c r="RUQ1" s="404"/>
      <c r="RUR1" s="404"/>
      <c r="RUS1" s="404"/>
      <c r="RUT1" s="404"/>
      <c r="RUU1" s="404"/>
      <c r="RUV1" s="405"/>
      <c r="RUW1" s="408" t="s">
        <v>41</v>
      </c>
      <c r="RUX1" s="404"/>
      <c r="RUY1" s="404"/>
      <c r="RUZ1" s="404"/>
      <c r="RVA1" s="404"/>
      <c r="RVB1" s="404"/>
      <c r="RVC1" s="404"/>
      <c r="RVD1" s="405"/>
      <c r="RVE1" s="408" t="s">
        <v>41</v>
      </c>
      <c r="RVF1" s="404"/>
      <c r="RVG1" s="404"/>
      <c r="RVH1" s="404"/>
      <c r="RVI1" s="404"/>
      <c r="RVJ1" s="404"/>
      <c r="RVK1" s="404"/>
      <c r="RVL1" s="405"/>
      <c r="RVM1" s="408" t="s">
        <v>41</v>
      </c>
      <c r="RVN1" s="404"/>
      <c r="RVO1" s="404"/>
      <c r="RVP1" s="404"/>
      <c r="RVQ1" s="404"/>
      <c r="RVR1" s="404"/>
      <c r="RVS1" s="404"/>
      <c r="RVT1" s="405"/>
      <c r="RVU1" s="408" t="s">
        <v>41</v>
      </c>
      <c r="RVV1" s="404"/>
      <c r="RVW1" s="404"/>
      <c r="RVX1" s="404"/>
      <c r="RVY1" s="404"/>
      <c r="RVZ1" s="404"/>
      <c r="RWA1" s="404"/>
      <c r="RWB1" s="405"/>
      <c r="RWC1" s="408" t="s">
        <v>41</v>
      </c>
      <c r="RWD1" s="404"/>
      <c r="RWE1" s="404"/>
      <c r="RWF1" s="404"/>
      <c r="RWG1" s="404"/>
      <c r="RWH1" s="404"/>
      <c r="RWI1" s="404"/>
      <c r="RWJ1" s="405"/>
      <c r="RWK1" s="408" t="s">
        <v>41</v>
      </c>
      <c r="RWL1" s="404"/>
      <c r="RWM1" s="404"/>
      <c r="RWN1" s="404"/>
      <c r="RWO1" s="404"/>
      <c r="RWP1" s="404"/>
      <c r="RWQ1" s="404"/>
      <c r="RWR1" s="405"/>
      <c r="RWS1" s="408" t="s">
        <v>41</v>
      </c>
      <c r="RWT1" s="404"/>
      <c r="RWU1" s="404"/>
      <c r="RWV1" s="404"/>
      <c r="RWW1" s="404"/>
      <c r="RWX1" s="404"/>
      <c r="RWY1" s="404"/>
      <c r="RWZ1" s="405"/>
      <c r="RXA1" s="408" t="s">
        <v>41</v>
      </c>
      <c r="RXB1" s="404"/>
      <c r="RXC1" s="404"/>
      <c r="RXD1" s="404"/>
      <c r="RXE1" s="404"/>
      <c r="RXF1" s="404"/>
      <c r="RXG1" s="404"/>
      <c r="RXH1" s="405"/>
      <c r="RXI1" s="408" t="s">
        <v>41</v>
      </c>
      <c r="RXJ1" s="404"/>
      <c r="RXK1" s="404"/>
      <c r="RXL1" s="404"/>
      <c r="RXM1" s="404"/>
      <c r="RXN1" s="404"/>
      <c r="RXO1" s="404"/>
      <c r="RXP1" s="405"/>
      <c r="RXQ1" s="408" t="s">
        <v>41</v>
      </c>
      <c r="RXR1" s="404"/>
      <c r="RXS1" s="404"/>
      <c r="RXT1" s="404"/>
      <c r="RXU1" s="404"/>
      <c r="RXV1" s="404"/>
      <c r="RXW1" s="404"/>
      <c r="RXX1" s="405"/>
      <c r="RXY1" s="408" t="s">
        <v>41</v>
      </c>
      <c r="RXZ1" s="404"/>
      <c r="RYA1" s="404"/>
      <c r="RYB1" s="404"/>
      <c r="RYC1" s="404"/>
      <c r="RYD1" s="404"/>
      <c r="RYE1" s="404"/>
      <c r="RYF1" s="405"/>
      <c r="RYG1" s="408" t="s">
        <v>41</v>
      </c>
      <c r="RYH1" s="404"/>
      <c r="RYI1" s="404"/>
      <c r="RYJ1" s="404"/>
      <c r="RYK1" s="404"/>
      <c r="RYL1" s="404"/>
      <c r="RYM1" s="404"/>
      <c r="RYN1" s="405"/>
      <c r="RYO1" s="408" t="s">
        <v>41</v>
      </c>
      <c r="RYP1" s="404"/>
      <c r="RYQ1" s="404"/>
      <c r="RYR1" s="404"/>
      <c r="RYS1" s="404"/>
      <c r="RYT1" s="404"/>
      <c r="RYU1" s="404"/>
      <c r="RYV1" s="405"/>
      <c r="RYW1" s="408" t="s">
        <v>41</v>
      </c>
      <c r="RYX1" s="404"/>
      <c r="RYY1" s="404"/>
      <c r="RYZ1" s="404"/>
      <c r="RZA1" s="404"/>
      <c r="RZB1" s="404"/>
      <c r="RZC1" s="404"/>
      <c r="RZD1" s="405"/>
      <c r="RZE1" s="408" t="s">
        <v>41</v>
      </c>
      <c r="RZF1" s="404"/>
      <c r="RZG1" s="404"/>
      <c r="RZH1" s="404"/>
      <c r="RZI1" s="404"/>
      <c r="RZJ1" s="404"/>
      <c r="RZK1" s="404"/>
      <c r="RZL1" s="405"/>
      <c r="RZM1" s="408" t="s">
        <v>41</v>
      </c>
      <c r="RZN1" s="404"/>
      <c r="RZO1" s="404"/>
      <c r="RZP1" s="404"/>
      <c r="RZQ1" s="404"/>
      <c r="RZR1" s="404"/>
      <c r="RZS1" s="404"/>
      <c r="RZT1" s="405"/>
      <c r="RZU1" s="408" t="s">
        <v>41</v>
      </c>
      <c r="RZV1" s="404"/>
      <c r="RZW1" s="404"/>
      <c r="RZX1" s="404"/>
      <c r="RZY1" s="404"/>
      <c r="RZZ1" s="404"/>
      <c r="SAA1" s="404"/>
      <c r="SAB1" s="405"/>
      <c r="SAC1" s="408" t="s">
        <v>41</v>
      </c>
      <c r="SAD1" s="404"/>
      <c r="SAE1" s="404"/>
      <c r="SAF1" s="404"/>
      <c r="SAG1" s="404"/>
      <c r="SAH1" s="404"/>
      <c r="SAI1" s="404"/>
      <c r="SAJ1" s="405"/>
      <c r="SAK1" s="408" t="s">
        <v>41</v>
      </c>
      <c r="SAL1" s="404"/>
      <c r="SAM1" s="404"/>
      <c r="SAN1" s="404"/>
      <c r="SAO1" s="404"/>
      <c r="SAP1" s="404"/>
      <c r="SAQ1" s="404"/>
      <c r="SAR1" s="405"/>
      <c r="SAS1" s="408" t="s">
        <v>41</v>
      </c>
      <c r="SAT1" s="404"/>
      <c r="SAU1" s="404"/>
      <c r="SAV1" s="404"/>
      <c r="SAW1" s="404"/>
      <c r="SAX1" s="404"/>
      <c r="SAY1" s="404"/>
      <c r="SAZ1" s="405"/>
      <c r="SBA1" s="408" t="s">
        <v>41</v>
      </c>
      <c r="SBB1" s="404"/>
      <c r="SBC1" s="404"/>
      <c r="SBD1" s="404"/>
      <c r="SBE1" s="404"/>
      <c r="SBF1" s="404"/>
      <c r="SBG1" s="404"/>
      <c r="SBH1" s="405"/>
      <c r="SBI1" s="408" t="s">
        <v>41</v>
      </c>
      <c r="SBJ1" s="404"/>
      <c r="SBK1" s="404"/>
      <c r="SBL1" s="404"/>
      <c r="SBM1" s="404"/>
      <c r="SBN1" s="404"/>
      <c r="SBO1" s="404"/>
      <c r="SBP1" s="405"/>
      <c r="SBQ1" s="408" t="s">
        <v>41</v>
      </c>
      <c r="SBR1" s="404"/>
      <c r="SBS1" s="404"/>
      <c r="SBT1" s="404"/>
      <c r="SBU1" s="404"/>
      <c r="SBV1" s="404"/>
      <c r="SBW1" s="404"/>
      <c r="SBX1" s="405"/>
      <c r="SBY1" s="408" t="s">
        <v>41</v>
      </c>
      <c r="SBZ1" s="404"/>
      <c r="SCA1" s="404"/>
      <c r="SCB1" s="404"/>
      <c r="SCC1" s="404"/>
      <c r="SCD1" s="404"/>
      <c r="SCE1" s="404"/>
      <c r="SCF1" s="405"/>
      <c r="SCG1" s="408" t="s">
        <v>41</v>
      </c>
      <c r="SCH1" s="404"/>
      <c r="SCI1" s="404"/>
      <c r="SCJ1" s="404"/>
      <c r="SCK1" s="404"/>
      <c r="SCL1" s="404"/>
      <c r="SCM1" s="404"/>
      <c r="SCN1" s="405"/>
      <c r="SCO1" s="408" t="s">
        <v>41</v>
      </c>
      <c r="SCP1" s="404"/>
      <c r="SCQ1" s="404"/>
      <c r="SCR1" s="404"/>
      <c r="SCS1" s="404"/>
      <c r="SCT1" s="404"/>
      <c r="SCU1" s="404"/>
      <c r="SCV1" s="405"/>
      <c r="SCW1" s="408" t="s">
        <v>41</v>
      </c>
      <c r="SCX1" s="404"/>
      <c r="SCY1" s="404"/>
      <c r="SCZ1" s="404"/>
      <c r="SDA1" s="404"/>
      <c r="SDB1" s="404"/>
      <c r="SDC1" s="404"/>
      <c r="SDD1" s="405"/>
      <c r="SDE1" s="408" t="s">
        <v>41</v>
      </c>
      <c r="SDF1" s="404"/>
      <c r="SDG1" s="404"/>
      <c r="SDH1" s="404"/>
      <c r="SDI1" s="404"/>
      <c r="SDJ1" s="404"/>
      <c r="SDK1" s="404"/>
      <c r="SDL1" s="405"/>
      <c r="SDM1" s="408" t="s">
        <v>41</v>
      </c>
      <c r="SDN1" s="404"/>
      <c r="SDO1" s="404"/>
      <c r="SDP1" s="404"/>
      <c r="SDQ1" s="404"/>
      <c r="SDR1" s="404"/>
      <c r="SDS1" s="404"/>
      <c r="SDT1" s="405"/>
      <c r="SDU1" s="408" t="s">
        <v>41</v>
      </c>
      <c r="SDV1" s="404"/>
      <c r="SDW1" s="404"/>
      <c r="SDX1" s="404"/>
      <c r="SDY1" s="404"/>
      <c r="SDZ1" s="404"/>
      <c r="SEA1" s="404"/>
      <c r="SEB1" s="405"/>
      <c r="SEC1" s="408" t="s">
        <v>41</v>
      </c>
      <c r="SED1" s="404"/>
      <c r="SEE1" s="404"/>
      <c r="SEF1" s="404"/>
      <c r="SEG1" s="404"/>
      <c r="SEH1" s="404"/>
      <c r="SEI1" s="404"/>
      <c r="SEJ1" s="405"/>
      <c r="SEK1" s="408" t="s">
        <v>41</v>
      </c>
      <c r="SEL1" s="404"/>
      <c r="SEM1" s="404"/>
      <c r="SEN1" s="404"/>
      <c r="SEO1" s="404"/>
      <c r="SEP1" s="404"/>
      <c r="SEQ1" s="404"/>
      <c r="SER1" s="405"/>
      <c r="SES1" s="408" t="s">
        <v>41</v>
      </c>
      <c r="SET1" s="404"/>
      <c r="SEU1" s="404"/>
      <c r="SEV1" s="404"/>
      <c r="SEW1" s="404"/>
      <c r="SEX1" s="404"/>
      <c r="SEY1" s="404"/>
      <c r="SEZ1" s="405"/>
      <c r="SFA1" s="408" t="s">
        <v>41</v>
      </c>
      <c r="SFB1" s="404"/>
      <c r="SFC1" s="404"/>
      <c r="SFD1" s="404"/>
      <c r="SFE1" s="404"/>
      <c r="SFF1" s="404"/>
      <c r="SFG1" s="404"/>
      <c r="SFH1" s="405"/>
      <c r="SFI1" s="408" t="s">
        <v>41</v>
      </c>
      <c r="SFJ1" s="404"/>
      <c r="SFK1" s="404"/>
      <c r="SFL1" s="404"/>
      <c r="SFM1" s="404"/>
      <c r="SFN1" s="404"/>
      <c r="SFO1" s="404"/>
      <c r="SFP1" s="405"/>
      <c r="SFQ1" s="408" t="s">
        <v>41</v>
      </c>
      <c r="SFR1" s="404"/>
      <c r="SFS1" s="404"/>
      <c r="SFT1" s="404"/>
      <c r="SFU1" s="404"/>
      <c r="SFV1" s="404"/>
      <c r="SFW1" s="404"/>
      <c r="SFX1" s="405"/>
      <c r="SFY1" s="408" t="s">
        <v>41</v>
      </c>
      <c r="SFZ1" s="404"/>
      <c r="SGA1" s="404"/>
      <c r="SGB1" s="404"/>
      <c r="SGC1" s="404"/>
      <c r="SGD1" s="404"/>
      <c r="SGE1" s="404"/>
      <c r="SGF1" s="405"/>
      <c r="SGG1" s="408" t="s">
        <v>41</v>
      </c>
      <c r="SGH1" s="404"/>
      <c r="SGI1" s="404"/>
      <c r="SGJ1" s="404"/>
      <c r="SGK1" s="404"/>
      <c r="SGL1" s="404"/>
      <c r="SGM1" s="404"/>
      <c r="SGN1" s="405"/>
      <c r="SGO1" s="408" t="s">
        <v>41</v>
      </c>
      <c r="SGP1" s="404"/>
      <c r="SGQ1" s="404"/>
      <c r="SGR1" s="404"/>
      <c r="SGS1" s="404"/>
      <c r="SGT1" s="404"/>
      <c r="SGU1" s="404"/>
      <c r="SGV1" s="405"/>
      <c r="SGW1" s="408" t="s">
        <v>41</v>
      </c>
      <c r="SGX1" s="404"/>
      <c r="SGY1" s="404"/>
      <c r="SGZ1" s="404"/>
      <c r="SHA1" s="404"/>
      <c r="SHB1" s="404"/>
      <c r="SHC1" s="404"/>
      <c r="SHD1" s="405"/>
      <c r="SHE1" s="408" t="s">
        <v>41</v>
      </c>
      <c r="SHF1" s="404"/>
      <c r="SHG1" s="404"/>
      <c r="SHH1" s="404"/>
      <c r="SHI1" s="404"/>
      <c r="SHJ1" s="404"/>
      <c r="SHK1" s="404"/>
      <c r="SHL1" s="405"/>
      <c r="SHM1" s="408" t="s">
        <v>41</v>
      </c>
      <c r="SHN1" s="404"/>
      <c r="SHO1" s="404"/>
      <c r="SHP1" s="404"/>
      <c r="SHQ1" s="404"/>
      <c r="SHR1" s="404"/>
      <c r="SHS1" s="404"/>
      <c r="SHT1" s="405"/>
      <c r="SHU1" s="408" t="s">
        <v>41</v>
      </c>
      <c r="SHV1" s="404"/>
      <c r="SHW1" s="404"/>
      <c r="SHX1" s="404"/>
      <c r="SHY1" s="404"/>
      <c r="SHZ1" s="404"/>
      <c r="SIA1" s="404"/>
      <c r="SIB1" s="405"/>
      <c r="SIC1" s="408" t="s">
        <v>41</v>
      </c>
      <c r="SID1" s="404"/>
      <c r="SIE1" s="404"/>
      <c r="SIF1" s="404"/>
      <c r="SIG1" s="404"/>
      <c r="SIH1" s="404"/>
      <c r="SII1" s="404"/>
      <c r="SIJ1" s="405"/>
      <c r="SIK1" s="408" t="s">
        <v>41</v>
      </c>
      <c r="SIL1" s="404"/>
      <c r="SIM1" s="404"/>
      <c r="SIN1" s="404"/>
      <c r="SIO1" s="404"/>
      <c r="SIP1" s="404"/>
      <c r="SIQ1" s="404"/>
      <c r="SIR1" s="405"/>
      <c r="SIS1" s="408" t="s">
        <v>41</v>
      </c>
      <c r="SIT1" s="404"/>
      <c r="SIU1" s="404"/>
      <c r="SIV1" s="404"/>
      <c r="SIW1" s="404"/>
      <c r="SIX1" s="404"/>
      <c r="SIY1" s="404"/>
      <c r="SIZ1" s="405"/>
      <c r="SJA1" s="408" t="s">
        <v>41</v>
      </c>
      <c r="SJB1" s="404"/>
      <c r="SJC1" s="404"/>
      <c r="SJD1" s="404"/>
      <c r="SJE1" s="404"/>
      <c r="SJF1" s="404"/>
      <c r="SJG1" s="404"/>
      <c r="SJH1" s="405"/>
      <c r="SJI1" s="408" t="s">
        <v>41</v>
      </c>
      <c r="SJJ1" s="404"/>
      <c r="SJK1" s="404"/>
      <c r="SJL1" s="404"/>
      <c r="SJM1" s="404"/>
      <c r="SJN1" s="404"/>
      <c r="SJO1" s="404"/>
      <c r="SJP1" s="405"/>
      <c r="SJQ1" s="408" t="s">
        <v>41</v>
      </c>
      <c r="SJR1" s="404"/>
      <c r="SJS1" s="404"/>
      <c r="SJT1" s="404"/>
      <c r="SJU1" s="404"/>
      <c r="SJV1" s="404"/>
      <c r="SJW1" s="404"/>
      <c r="SJX1" s="405"/>
      <c r="SJY1" s="408" t="s">
        <v>41</v>
      </c>
      <c r="SJZ1" s="404"/>
      <c r="SKA1" s="404"/>
      <c r="SKB1" s="404"/>
      <c r="SKC1" s="404"/>
      <c r="SKD1" s="404"/>
      <c r="SKE1" s="404"/>
      <c r="SKF1" s="405"/>
      <c r="SKG1" s="408" t="s">
        <v>41</v>
      </c>
      <c r="SKH1" s="404"/>
      <c r="SKI1" s="404"/>
      <c r="SKJ1" s="404"/>
      <c r="SKK1" s="404"/>
      <c r="SKL1" s="404"/>
      <c r="SKM1" s="404"/>
      <c r="SKN1" s="405"/>
      <c r="SKO1" s="408" t="s">
        <v>41</v>
      </c>
      <c r="SKP1" s="404"/>
      <c r="SKQ1" s="404"/>
      <c r="SKR1" s="404"/>
      <c r="SKS1" s="404"/>
      <c r="SKT1" s="404"/>
      <c r="SKU1" s="404"/>
      <c r="SKV1" s="405"/>
      <c r="SKW1" s="408" t="s">
        <v>41</v>
      </c>
      <c r="SKX1" s="404"/>
      <c r="SKY1" s="404"/>
      <c r="SKZ1" s="404"/>
      <c r="SLA1" s="404"/>
      <c r="SLB1" s="404"/>
      <c r="SLC1" s="404"/>
      <c r="SLD1" s="405"/>
      <c r="SLE1" s="408" t="s">
        <v>41</v>
      </c>
      <c r="SLF1" s="404"/>
      <c r="SLG1" s="404"/>
      <c r="SLH1" s="404"/>
      <c r="SLI1" s="404"/>
      <c r="SLJ1" s="404"/>
      <c r="SLK1" s="404"/>
      <c r="SLL1" s="405"/>
      <c r="SLM1" s="408" t="s">
        <v>41</v>
      </c>
      <c r="SLN1" s="404"/>
      <c r="SLO1" s="404"/>
      <c r="SLP1" s="404"/>
      <c r="SLQ1" s="404"/>
      <c r="SLR1" s="404"/>
      <c r="SLS1" s="404"/>
      <c r="SLT1" s="405"/>
      <c r="SLU1" s="408" t="s">
        <v>41</v>
      </c>
      <c r="SLV1" s="404"/>
      <c r="SLW1" s="404"/>
      <c r="SLX1" s="404"/>
      <c r="SLY1" s="404"/>
      <c r="SLZ1" s="404"/>
      <c r="SMA1" s="404"/>
      <c r="SMB1" s="405"/>
      <c r="SMC1" s="408" t="s">
        <v>41</v>
      </c>
      <c r="SMD1" s="404"/>
      <c r="SME1" s="404"/>
      <c r="SMF1" s="404"/>
      <c r="SMG1" s="404"/>
      <c r="SMH1" s="404"/>
      <c r="SMI1" s="404"/>
      <c r="SMJ1" s="405"/>
      <c r="SMK1" s="408" t="s">
        <v>41</v>
      </c>
      <c r="SML1" s="404"/>
      <c r="SMM1" s="404"/>
      <c r="SMN1" s="404"/>
      <c r="SMO1" s="404"/>
      <c r="SMP1" s="404"/>
      <c r="SMQ1" s="404"/>
      <c r="SMR1" s="405"/>
      <c r="SMS1" s="408" t="s">
        <v>41</v>
      </c>
      <c r="SMT1" s="404"/>
      <c r="SMU1" s="404"/>
      <c r="SMV1" s="404"/>
      <c r="SMW1" s="404"/>
      <c r="SMX1" s="404"/>
      <c r="SMY1" s="404"/>
      <c r="SMZ1" s="405"/>
      <c r="SNA1" s="408" t="s">
        <v>41</v>
      </c>
      <c r="SNB1" s="404"/>
      <c r="SNC1" s="404"/>
      <c r="SND1" s="404"/>
      <c r="SNE1" s="404"/>
      <c r="SNF1" s="404"/>
      <c r="SNG1" s="404"/>
      <c r="SNH1" s="405"/>
      <c r="SNI1" s="408" t="s">
        <v>41</v>
      </c>
      <c r="SNJ1" s="404"/>
      <c r="SNK1" s="404"/>
      <c r="SNL1" s="404"/>
      <c r="SNM1" s="404"/>
      <c r="SNN1" s="404"/>
      <c r="SNO1" s="404"/>
      <c r="SNP1" s="405"/>
      <c r="SNQ1" s="408" t="s">
        <v>41</v>
      </c>
      <c r="SNR1" s="404"/>
      <c r="SNS1" s="404"/>
      <c r="SNT1" s="404"/>
      <c r="SNU1" s="404"/>
      <c r="SNV1" s="404"/>
      <c r="SNW1" s="404"/>
      <c r="SNX1" s="405"/>
      <c r="SNY1" s="408" t="s">
        <v>41</v>
      </c>
      <c r="SNZ1" s="404"/>
      <c r="SOA1" s="404"/>
      <c r="SOB1" s="404"/>
      <c r="SOC1" s="404"/>
      <c r="SOD1" s="404"/>
      <c r="SOE1" s="404"/>
      <c r="SOF1" s="405"/>
      <c r="SOG1" s="408" t="s">
        <v>41</v>
      </c>
      <c r="SOH1" s="404"/>
      <c r="SOI1" s="404"/>
      <c r="SOJ1" s="404"/>
      <c r="SOK1" s="404"/>
      <c r="SOL1" s="404"/>
      <c r="SOM1" s="404"/>
      <c r="SON1" s="405"/>
      <c r="SOO1" s="408" t="s">
        <v>41</v>
      </c>
      <c r="SOP1" s="404"/>
      <c r="SOQ1" s="404"/>
      <c r="SOR1" s="404"/>
      <c r="SOS1" s="404"/>
      <c r="SOT1" s="404"/>
      <c r="SOU1" s="404"/>
      <c r="SOV1" s="405"/>
      <c r="SOW1" s="408" t="s">
        <v>41</v>
      </c>
      <c r="SOX1" s="404"/>
      <c r="SOY1" s="404"/>
      <c r="SOZ1" s="404"/>
      <c r="SPA1" s="404"/>
      <c r="SPB1" s="404"/>
      <c r="SPC1" s="404"/>
      <c r="SPD1" s="405"/>
      <c r="SPE1" s="408" t="s">
        <v>41</v>
      </c>
      <c r="SPF1" s="404"/>
      <c r="SPG1" s="404"/>
      <c r="SPH1" s="404"/>
      <c r="SPI1" s="404"/>
      <c r="SPJ1" s="404"/>
      <c r="SPK1" s="404"/>
      <c r="SPL1" s="405"/>
      <c r="SPM1" s="408" t="s">
        <v>41</v>
      </c>
      <c r="SPN1" s="404"/>
      <c r="SPO1" s="404"/>
      <c r="SPP1" s="404"/>
      <c r="SPQ1" s="404"/>
      <c r="SPR1" s="404"/>
      <c r="SPS1" s="404"/>
      <c r="SPT1" s="405"/>
      <c r="SPU1" s="408" t="s">
        <v>41</v>
      </c>
      <c r="SPV1" s="404"/>
      <c r="SPW1" s="404"/>
      <c r="SPX1" s="404"/>
      <c r="SPY1" s="404"/>
      <c r="SPZ1" s="404"/>
      <c r="SQA1" s="404"/>
      <c r="SQB1" s="405"/>
      <c r="SQC1" s="408" t="s">
        <v>41</v>
      </c>
      <c r="SQD1" s="404"/>
      <c r="SQE1" s="404"/>
      <c r="SQF1" s="404"/>
      <c r="SQG1" s="404"/>
      <c r="SQH1" s="404"/>
      <c r="SQI1" s="404"/>
      <c r="SQJ1" s="405"/>
      <c r="SQK1" s="408" t="s">
        <v>41</v>
      </c>
      <c r="SQL1" s="404"/>
      <c r="SQM1" s="404"/>
      <c r="SQN1" s="404"/>
      <c r="SQO1" s="404"/>
      <c r="SQP1" s="404"/>
      <c r="SQQ1" s="404"/>
      <c r="SQR1" s="405"/>
      <c r="SQS1" s="408" t="s">
        <v>41</v>
      </c>
      <c r="SQT1" s="404"/>
      <c r="SQU1" s="404"/>
      <c r="SQV1" s="404"/>
      <c r="SQW1" s="404"/>
      <c r="SQX1" s="404"/>
      <c r="SQY1" s="404"/>
      <c r="SQZ1" s="405"/>
      <c r="SRA1" s="408" t="s">
        <v>41</v>
      </c>
      <c r="SRB1" s="404"/>
      <c r="SRC1" s="404"/>
      <c r="SRD1" s="404"/>
      <c r="SRE1" s="404"/>
      <c r="SRF1" s="404"/>
      <c r="SRG1" s="404"/>
      <c r="SRH1" s="405"/>
      <c r="SRI1" s="408" t="s">
        <v>41</v>
      </c>
      <c r="SRJ1" s="404"/>
      <c r="SRK1" s="404"/>
      <c r="SRL1" s="404"/>
      <c r="SRM1" s="404"/>
      <c r="SRN1" s="404"/>
      <c r="SRO1" s="404"/>
      <c r="SRP1" s="405"/>
      <c r="SRQ1" s="408" t="s">
        <v>41</v>
      </c>
      <c r="SRR1" s="404"/>
      <c r="SRS1" s="404"/>
      <c r="SRT1" s="404"/>
      <c r="SRU1" s="404"/>
      <c r="SRV1" s="404"/>
      <c r="SRW1" s="404"/>
      <c r="SRX1" s="405"/>
      <c r="SRY1" s="408" t="s">
        <v>41</v>
      </c>
      <c r="SRZ1" s="404"/>
      <c r="SSA1" s="404"/>
      <c r="SSB1" s="404"/>
      <c r="SSC1" s="404"/>
      <c r="SSD1" s="404"/>
      <c r="SSE1" s="404"/>
      <c r="SSF1" s="405"/>
      <c r="SSG1" s="408" t="s">
        <v>41</v>
      </c>
      <c r="SSH1" s="404"/>
      <c r="SSI1" s="404"/>
      <c r="SSJ1" s="404"/>
      <c r="SSK1" s="404"/>
      <c r="SSL1" s="404"/>
      <c r="SSM1" s="404"/>
      <c r="SSN1" s="405"/>
      <c r="SSO1" s="408" t="s">
        <v>41</v>
      </c>
      <c r="SSP1" s="404"/>
      <c r="SSQ1" s="404"/>
      <c r="SSR1" s="404"/>
      <c r="SSS1" s="404"/>
      <c r="SST1" s="404"/>
      <c r="SSU1" s="404"/>
      <c r="SSV1" s="405"/>
      <c r="SSW1" s="408" t="s">
        <v>41</v>
      </c>
      <c r="SSX1" s="404"/>
      <c r="SSY1" s="404"/>
      <c r="SSZ1" s="404"/>
      <c r="STA1" s="404"/>
      <c r="STB1" s="404"/>
      <c r="STC1" s="404"/>
      <c r="STD1" s="405"/>
      <c r="STE1" s="408" t="s">
        <v>41</v>
      </c>
      <c r="STF1" s="404"/>
      <c r="STG1" s="404"/>
      <c r="STH1" s="404"/>
      <c r="STI1" s="404"/>
      <c r="STJ1" s="404"/>
      <c r="STK1" s="404"/>
      <c r="STL1" s="405"/>
      <c r="STM1" s="408" t="s">
        <v>41</v>
      </c>
      <c r="STN1" s="404"/>
      <c r="STO1" s="404"/>
      <c r="STP1" s="404"/>
      <c r="STQ1" s="404"/>
      <c r="STR1" s="404"/>
      <c r="STS1" s="404"/>
      <c r="STT1" s="405"/>
      <c r="STU1" s="408" t="s">
        <v>41</v>
      </c>
      <c r="STV1" s="404"/>
      <c r="STW1" s="404"/>
      <c r="STX1" s="404"/>
      <c r="STY1" s="404"/>
      <c r="STZ1" s="404"/>
      <c r="SUA1" s="404"/>
      <c r="SUB1" s="405"/>
      <c r="SUC1" s="408" t="s">
        <v>41</v>
      </c>
      <c r="SUD1" s="404"/>
      <c r="SUE1" s="404"/>
      <c r="SUF1" s="404"/>
      <c r="SUG1" s="404"/>
      <c r="SUH1" s="404"/>
      <c r="SUI1" s="404"/>
      <c r="SUJ1" s="405"/>
      <c r="SUK1" s="408" t="s">
        <v>41</v>
      </c>
      <c r="SUL1" s="404"/>
      <c r="SUM1" s="404"/>
      <c r="SUN1" s="404"/>
      <c r="SUO1" s="404"/>
      <c r="SUP1" s="404"/>
      <c r="SUQ1" s="404"/>
      <c r="SUR1" s="405"/>
      <c r="SUS1" s="408" t="s">
        <v>41</v>
      </c>
      <c r="SUT1" s="404"/>
      <c r="SUU1" s="404"/>
      <c r="SUV1" s="404"/>
      <c r="SUW1" s="404"/>
      <c r="SUX1" s="404"/>
      <c r="SUY1" s="404"/>
      <c r="SUZ1" s="405"/>
      <c r="SVA1" s="408" t="s">
        <v>41</v>
      </c>
      <c r="SVB1" s="404"/>
      <c r="SVC1" s="404"/>
      <c r="SVD1" s="404"/>
      <c r="SVE1" s="404"/>
      <c r="SVF1" s="404"/>
      <c r="SVG1" s="404"/>
      <c r="SVH1" s="405"/>
      <c r="SVI1" s="408" t="s">
        <v>41</v>
      </c>
      <c r="SVJ1" s="404"/>
      <c r="SVK1" s="404"/>
      <c r="SVL1" s="404"/>
      <c r="SVM1" s="404"/>
      <c r="SVN1" s="404"/>
      <c r="SVO1" s="404"/>
      <c r="SVP1" s="405"/>
      <c r="SVQ1" s="408" t="s">
        <v>41</v>
      </c>
      <c r="SVR1" s="404"/>
      <c r="SVS1" s="404"/>
      <c r="SVT1" s="404"/>
      <c r="SVU1" s="404"/>
      <c r="SVV1" s="404"/>
      <c r="SVW1" s="404"/>
      <c r="SVX1" s="405"/>
      <c r="SVY1" s="408" t="s">
        <v>41</v>
      </c>
      <c r="SVZ1" s="404"/>
      <c r="SWA1" s="404"/>
      <c r="SWB1" s="404"/>
      <c r="SWC1" s="404"/>
      <c r="SWD1" s="404"/>
      <c r="SWE1" s="404"/>
      <c r="SWF1" s="405"/>
      <c r="SWG1" s="408" t="s">
        <v>41</v>
      </c>
      <c r="SWH1" s="404"/>
      <c r="SWI1" s="404"/>
      <c r="SWJ1" s="404"/>
      <c r="SWK1" s="404"/>
      <c r="SWL1" s="404"/>
      <c r="SWM1" s="404"/>
      <c r="SWN1" s="405"/>
      <c r="SWO1" s="408" t="s">
        <v>41</v>
      </c>
      <c r="SWP1" s="404"/>
      <c r="SWQ1" s="404"/>
      <c r="SWR1" s="404"/>
      <c r="SWS1" s="404"/>
      <c r="SWT1" s="404"/>
      <c r="SWU1" s="404"/>
      <c r="SWV1" s="405"/>
      <c r="SWW1" s="408" t="s">
        <v>41</v>
      </c>
      <c r="SWX1" s="404"/>
      <c r="SWY1" s="404"/>
      <c r="SWZ1" s="404"/>
      <c r="SXA1" s="404"/>
      <c r="SXB1" s="404"/>
      <c r="SXC1" s="404"/>
      <c r="SXD1" s="405"/>
      <c r="SXE1" s="408" t="s">
        <v>41</v>
      </c>
      <c r="SXF1" s="404"/>
      <c r="SXG1" s="404"/>
      <c r="SXH1" s="404"/>
      <c r="SXI1" s="404"/>
      <c r="SXJ1" s="404"/>
      <c r="SXK1" s="404"/>
      <c r="SXL1" s="405"/>
      <c r="SXM1" s="408" t="s">
        <v>41</v>
      </c>
      <c r="SXN1" s="404"/>
      <c r="SXO1" s="404"/>
      <c r="SXP1" s="404"/>
      <c r="SXQ1" s="404"/>
      <c r="SXR1" s="404"/>
      <c r="SXS1" s="404"/>
      <c r="SXT1" s="405"/>
      <c r="SXU1" s="408" t="s">
        <v>41</v>
      </c>
      <c r="SXV1" s="404"/>
      <c r="SXW1" s="404"/>
      <c r="SXX1" s="404"/>
      <c r="SXY1" s="404"/>
      <c r="SXZ1" s="404"/>
      <c r="SYA1" s="404"/>
      <c r="SYB1" s="405"/>
      <c r="SYC1" s="408" t="s">
        <v>41</v>
      </c>
      <c r="SYD1" s="404"/>
      <c r="SYE1" s="404"/>
      <c r="SYF1" s="404"/>
      <c r="SYG1" s="404"/>
      <c r="SYH1" s="404"/>
      <c r="SYI1" s="404"/>
      <c r="SYJ1" s="405"/>
      <c r="SYK1" s="408" t="s">
        <v>41</v>
      </c>
      <c r="SYL1" s="404"/>
      <c r="SYM1" s="404"/>
      <c r="SYN1" s="404"/>
      <c r="SYO1" s="404"/>
      <c r="SYP1" s="404"/>
      <c r="SYQ1" s="404"/>
      <c r="SYR1" s="405"/>
      <c r="SYS1" s="408" t="s">
        <v>41</v>
      </c>
      <c r="SYT1" s="404"/>
      <c r="SYU1" s="404"/>
      <c r="SYV1" s="404"/>
      <c r="SYW1" s="404"/>
      <c r="SYX1" s="404"/>
      <c r="SYY1" s="404"/>
      <c r="SYZ1" s="405"/>
      <c r="SZA1" s="408" t="s">
        <v>41</v>
      </c>
      <c r="SZB1" s="404"/>
      <c r="SZC1" s="404"/>
      <c r="SZD1" s="404"/>
      <c r="SZE1" s="404"/>
      <c r="SZF1" s="404"/>
      <c r="SZG1" s="404"/>
      <c r="SZH1" s="405"/>
      <c r="SZI1" s="408" t="s">
        <v>41</v>
      </c>
      <c r="SZJ1" s="404"/>
      <c r="SZK1" s="404"/>
      <c r="SZL1" s="404"/>
      <c r="SZM1" s="404"/>
      <c r="SZN1" s="404"/>
      <c r="SZO1" s="404"/>
      <c r="SZP1" s="405"/>
      <c r="SZQ1" s="408" t="s">
        <v>41</v>
      </c>
      <c r="SZR1" s="404"/>
      <c r="SZS1" s="404"/>
      <c r="SZT1" s="404"/>
      <c r="SZU1" s="404"/>
      <c r="SZV1" s="404"/>
      <c r="SZW1" s="404"/>
      <c r="SZX1" s="405"/>
      <c r="SZY1" s="408" t="s">
        <v>41</v>
      </c>
      <c r="SZZ1" s="404"/>
      <c r="TAA1" s="404"/>
      <c r="TAB1" s="404"/>
      <c r="TAC1" s="404"/>
      <c r="TAD1" s="404"/>
      <c r="TAE1" s="404"/>
      <c r="TAF1" s="405"/>
      <c r="TAG1" s="408" t="s">
        <v>41</v>
      </c>
      <c r="TAH1" s="404"/>
      <c r="TAI1" s="404"/>
      <c r="TAJ1" s="404"/>
      <c r="TAK1" s="404"/>
      <c r="TAL1" s="404"/>
      <c r="TAM1" s="404"/>
      <c r="TAN1" s="405"/>
      <c r="TAO1" s="408" t="s">
        <v>41</v>
      </c>
      <c r="TAP1" s="404"/>
      <c r="TAQ1" s="404"/>
      <c r="TAR1" s="404"/>
      <c r="TAS1" s="404"/>
      <c r="TAT1" s="404"/>
      <c r="TAU1" s="404"/>
      <c r="TAV1" s="405"/>
      <c r="TAW1" s="408" t="s">
        <v>41</v>
      </c>
      <c r="TAX1" s="404"/>
      <c r="TAY1" s="404"/>
      <c r="TAZ1" s="404"/>
      <c r="TBA1" s="404"/>
      <c r="TBB1" s="404"/>
      <c r="TBC1" s="404"/>
      <c r="TBD1" s="405"/>
      <c r="TBE1" s="408" t="s">
        <v>41</v>
      </c>
      <c r="TBF1" s="404"/>
      <c r="TBG1" s="404"/>
      <c r="TBH1" s="404"/>
      <c r="TBI1" s="404"/>
      <c r="TBJ1" s="404"/>
      <c r="TBK1" s="404"/>
      <c r="TBL1" s="405"/>
      <c r="TBM1" s="408" t="s">
        <v>41</v>
      </c>
      <c r="TBN1" s="404"/>
      <c r="TBO1" s="404"/>
      <c r="TBP1" s="404"/>
      <c r="TBQ1" s="404"/>
      <c r="TBR1" s="404"/>
      <c r="TBS1" s="404"/>
      <c r="TBT1" s="405"/>
      <c r="TBU1" s="408" t="s">
        <v>41</v>
      </c>
      <c r="TBV1" s="404"/>
      <c r="TBW1" s="404"/>
      <c r="TBX1" s="404"/>
      <c r="TBY1" s="404"/>
      <c r="TBZ1" s="404"/>
      <c r="TCA1" s="404"/>
      <c r="TCB1" s="405"/>
      <c r="TCC1" s="408" t="s">
        <v>41</v>
      </c>
      <c r="TCD1" s="404"/>
      <c r="TCE1" s="404"/>
      <c r="TCF1" s="404"/>
      <c r="TCG1" s="404"/>
      <c r="TCH1" s="404"/>
      <c r="TCI1" s="404"/>
      <c r="TCJ1" s="405"/>
      <c r="TCK1" s="408" t="s">
        <v>41</v>
      </c>
      <c r="TCL1" s="404"/>
      <c r="TCM1" s="404"/>
      <c r="TCN1" s="404"/>
      <c r="TCO1" s="404"/>
      <c r="TCP1" s="404"/>
      <c r="TCQ1" s="404"/>
      <c r="TCR1" s="405"/>
      <c r="TCS1" s="408" t="s">
        <v>41</v>
      </c>
      <c r="TCT1" s="404"/>
      <c r="TCU1" s="404"/>
      <c r="TCV1" s="404"/>
      <c r="TCW1" s="404"/>
      <c r="TCX1" s="404"/>
      <c r="TCY1" s="404"/>
      <c r="TCZ1" s="405"/>
      <c r="TDA1" s="408" t="s">
        <v>41</v>
      </c>
      <c r="TDB1" s="404"/>
      <c r="TDC1" s="404"/>
      <c r="TDD1" s="404"/>
      <c r="TDE1" s="404"/>
      <c r="TDF1" s="404"/>
      <c r="TDG1" s="404"/>
      <c r="TDH1" s="405"/>
      <c r="TDI1" s="408" t="s">
        <v>41</v>
      </c>
      <c r="TDJ1" s="404"/>
      <c r="TDK1" s="404"/>
      <c r="TDL1" s="404"/>
      <c r="TDM1" s="404"/>
      <c r="TDN1" s="404"/>
      <c r="TDO1" s="404"/>
      <c r="TDP1" s="405"/>
      <c r="TDQ1" s="408" t="s">
        <v>41</v>
      </c>
      <c r="TDR1" s="404"/>
      <c r="TDS1" s="404"/>
      <c r="TDT1" s="404"/>
      <c r="TDU1" s="404"/>
      <c r="TDV1" s="404"/>
      <c r="TDW1" s="404"/>
      <c r="TDX1" s="405"/>
      <c r="TDY1" s="408" t="s">
        <v>41</v>
      </c>
      <c r="TDZ1" s="404"/>
      <c r="TEA1" s="404"/>
      <c r="TEB1" s="404"/>
      <c r="TEC1" s="404"/>
      <c r="TED1" s="404"/>
      <c r="TEE1" s="404"/>
      <c r="TEF1" s="405"/>
      <c r="TEG1" s="408" t="s">
        <v>41</v>
      </c>
      <c r="TEH1" s="404"/>
      <c r="TEI1" s="404"/>
      <c r="TEJ1" s="404"/>
      <c r="TEK1" s="404"/>
      <c r="TEL1" s="404"/>
      <c r="TEM1" s="404"/>
      <c r="TEN1" s="405"/>
      <c r="TEO1" s="408" t="s">
        <v>41</v>
      </c>
      <c r="TEP1" s="404"/>
      <c r="TEQ1" s="404"/>
      <c r="TER1" s="404"/>
      <c r="TES1" s="404"/>
      <c r="TET1" s="404"/>
      <c r="TEU1" s="404"/>
      <c r="TEV1" s="405"/>
      <c r="TEW1" s="408" t="s">
        <v>41</v>
      </c>
      <c r="TEX1" s="404"/>
      <c r="TEY1" s="404"/>
      <c r="TEZ1" s="404"/>
      <c r="TFA1" s="404"/>
      <c r="TFB1" s="404"/>
      <c r="TFC1" s="404"/>
      <c r="TFD1" s="405"/>
      <c r="TFE1" s="408" t="s">
        <v>41</v>
      </c>
      <c r="TFF1" s="404"/>
      <c r="TFG1" s="404"/>
      <c r="TFH1" s="404"/>
      <c r="TFI1" s="404"/>
      <c r="TFJ1" s="404"/>
      <c r="TFK1" s="404"/>
      <c r="TFL1" s="405"/>
      <c r="TFM1" s="408" t="s">
        <v>41</v>
      </c>
      <c r="TFN1" s="404"/>
      <c r="TFO1" s="404"/>
      <c r="TFP1" s="404"/>
      <c r="TFQ1" s="404"/>
      <c r="TFR1" s="404"/>
      <c r="TFS1" s="404"/>
      <c r="TFT1" s="405"/>
      <c r="TFU1" s="408" t="s">
        <v>41</v>
      </c>
      <c r="TFV1" s="404"/>
      <c r="TFW1" s="404"/>
      <c r="TFX1" s="404"/>
      <c r="TFY1" s="404"/>
      <c r="TFZ1" s="404"/>
      <c r="TGA1" s="404"/>
      <c r="TGB1" s="405"/>
      <c r="TGC1" s="408" t="s">
        <v>41</v>
      </c>
      <c r="TGD1" s="404"/>
      <c r="TGE1" s="404"/>
      <c r="TGF1" s="404"/>
      <c r="TGG1" s="404"/>
      <c r="TGH1" s="404"/>
      <c r="TGI1" s="404"/>
      <c r="TGJ1" s="405"/>
      <c r="TGK1" s="408" t="s">
        <v>41</v>
      </c>
      <c r="TGL1" s="404"/>
      <c r="TGM1" s="404"/>
      <c r="TGN1" s="404"/>
      <c r="TGO1" s="404"/>
      <c r="TGP1" s="404"/>
      <c r="TGQ1" s="404"/>
      <c r="TGR1" s="405"/>
      <c r="TGS1" s="408" t="s">
        <v>41</v>
      </c>
      <c r="TGT1" s="404"/>
      <c r="TGU1" s="404"/>
      <c r="TGV1" s="404"/>
      <c r="TGW1" s="404"/>
      <c r="TGX1" s="404"/>
      <c r="TGY1" s="404"/>
      <c r="TGZ1" s="405"/>
      <c r="THA1" s="408" t="s">
        <v>41</v>
      </c>
      <c r="THB1" s="404"/>
      <c r="THC1" s="404"/>
      <c r="THD1" s="404"/>
      <c r="THE1" s="404"/>
      <c r="THF1" s="404"/>
      <c r="THG1" s="404"/>
      <c r="THH1" s="405"/>
      <c r="THI1" s="408" t="s">
        <v>41</v>
      </c>
      <c r="THJ1" s="404"/>
      <c r="THK1" s="404"/>
      <c r="THL1" s="404"/>
      <c r="THM1" s="404"/>
      <c r="THN1" s="404"/>
      <c r="THO1" s="404"/>
      <c r="THP1" s="405"/>
      <c r="THQ1" s="408" t="s">
        <v>41</v>
      </c>
      <c r="THR1" s="404"/>
      <c r="THS1" s="404"/>
      <c r="THT1" s="404"/>
      <c r="THU1" s="404"/>
      <c r="THV1" s="404"/>
      <c r="THW1" s="404"/>
      <c r="THX1" s="405"/>
      <c r="THY1" s="408" t="s">
        <v>41</v>
      </c>
      <c r="THZ1" s="404"/>
      <c r="TIA1" s="404"/>
      <c r="TIB1" s="404"/>
      <c r="TIC1" s="404"/>
      <c r="TID1" s="404"/>
      <c r="TIE1" s="404"/>
      <c r="TIF1" s="405"/>
      <c r="TIG1" s="408" t="s">
        <v>41</v>
      </c>
      <c r="TIH1" s="404"/>
      <c r="TII1" s="404"/>
      <c r="TIJ1" s="404"/>
      <c r="TIK1" s="404"/>
      <c r="TIL1" s="404"/>
      <c r="TIM1" s="404"/>
      <c r="TIN1" s="405"/>
      <c r="TIO1" s="408" t="s">
        <v>41</v>
      </c>
      <c r="TIP1" s="404"/>
      <c r="TIQ1" s="404"/>
      <c r="TIR1" s="404"/>
      <c r="TIS1" s="404"/>
      <c r="TIT1" s="404"/>
      <c r="TIU1" s="404"/>
      <c r="TIV1" s="405"/>
      <c r="TIW1" s="408" t="s">
        <v>41</v>
      </c>
      <c r="TIX1" s="404"/>
      <c r="TIY1" s="404"/>
      <c r="TIZ1" s="404"/>
      <c r="TJA1" s="404"/>
      <c r="TJB1" s="404"/>
      <c r="TJC1" s="404"/>
      <c r="TJD1" s="405"/>
      <c r="TJE1" s="408" t="s">
        <v>41</v>
      </c>
      <c r="TJF1" s="404"/>
      <c r="TJG1" s="404"/>
      <c r="TJH1" s="404"/>
      <c r="TJI1" s="404"/>
      <c r="TJJ1" s="404"/>
      <c r="TJK1" s="404"/>
      <c r="TJL1" s="405"/>
      <c r="TJM1" s="408" t="s">
        <v>41</v>
      </c>
      <c r="TJN1" s="404"/>
      <c r="TJO1" s="404"/>
      <c r="TJP1" s="404"/>
      <c r="TJQ1" s="404"/>
      <c r="TJR1" s="404"/>
      <c r="TJS1" s="404"/>
      <c r="TJT1" s="405"/>
      <c r="TJU1" s="408" t="s">
        <v>41</v>
      </c>
      <c r="TJV1" s="404"/>
      <c r="TJW1" s="404"/>
      <c r="TJX1" s="404"/>
      <c r="TJY1" s="404"/>
      <c r="TJZ1" s="404"/>
      <c r="TKA1" s="404"/>
      <c r="TKB1" s="405"/>
      <c r="TKC1" s="408" t="s">
        <v>41</v>
      </c>
      <c r="TKD1" s="404"/>
      <c r="TKE1" s="404"/>
      <c r="TKF1" s="404"/>
      <c r="TKG1" s="404"/>
      <c r="TKH1" s="404"/>
      <c r="TKI1" s="404"/>
      <c r="TKJ1" s="405"/>
      <c r="TKK1" s="408" t="s">
        <v>41</v>
      </c>
      <c r="TKL1" s="404"/>
      <c r="TKM1" s="404"/>
      <c r="TKN1" s="404"/>
      <c r="TKO1" s="404"/>
      <c r="TKP1" s="404"/>
      <c r="TKQ1" s="404"/>
      <c r="TKR1" s="405"/>
      <c r="TKS1" s="408" t="s">
        <v>41</v>
      </c>
      <c r="TKT1" s="404"/>
      <c r="TKU1" s="404"/>
      <c r="TKV1" s="404"/>
      <c r="TKW1" s="404"/>
      <c r="TKX1" s="404"/>
      <c r="TKY1" s="404"/>
      <c r="TKZ1" s="405"/>
      <c r="TLA1" s="408" t="s">
        <v>41</v>
      </c>
      <c r="TLB1" s="404"/>
      <c r="TLC1" s="404"/>
      <c r="TLD1" s="404"/>
      <c r="TLE1" s="404"/>
      <c r="TLF1" s="404"/>
      <c r="TLG1" s="404"/>
      <c r="TLH1" s="405"/>
      <c r="TLI1" s="408" t="s">
        <v>41</v>
      </c>
      <c r="TLJ1" s="404"/>
      <c r="TLK1" s="404"/>
      <c r="TLL1" s="404"/>
      <c r="TLM1" s="404"/>
      <c r="TLN1" s="404"/>
      <c r="TLO1" s="404"/>
      <c r="TLP1" s="405"/>
      <c r="TLQ1" s="408" t="s">
        <v>41</v>
      </c>
      <c r="TLR1" s="404"/>
      <c r="TLS1" s="404"/>
      <c r="TLT1" s="404"/>
      <c r="TLU1" s="404"/>
      <c r="TLV1" s="404"/>
      <c r="TLW1" s="404"/>
      <c r="TLX1" s="405"/>
      <c r="TLY1" s="408" t="s">
        <v>41</v>
      </c>
      <c r="TLZ1" s="404"/>
      <c r="TMA1" s="404"/>
      <c r="TMB1" s="404"/>
      <c r="TMC1" s="404"/>
      <c r="TMD1" s="404"/>
      <c r="TME1" s="404"/>
      <c r="TMF1" s="405"/>
      <c r="TMG1" s="408" t="s">
        <v>41</v>
      </c>
      <c r="TMH1" s="404"/>
      <c r="TMI1" s="404"/>
      <c r="TMJ1" s="404"/>
      <c r="TMK1" s="404"/>
      <c r="TML1" s="404"/>
      <c r="TMM1" s="404"/>
      <c r="TMN1" s="405"/>
      <c r="TMO1" s="408" t="s">
        <v>41</v>
      </c>
      <c r="TMP1" s="404"/>
      <c r="TMQ1" s="404"/>
      <c r="TMR1" s="404"/>
      <c r="TMS1" s="404"/>
      <c r="TMT1" s="404"/>
      <c r="TMU1" s="404"/>
      <c r="TMV1" s="405"/>
      <c r="TMW1" s="408" t="s">
        <v>41</v>
      </c>
      <c r="TMX1" s="404"/>
      <c r="TMY1" s="404"/>
      <c r="TMZ1" s="404"/>
      <c r="TNA1" s="404"/>
      <c r="TNB1" s="404"/>
      <c r="TNC1" s="404"/>
      <c r="TND1" s="405"/>
      <c r="TNE1" s="408" t="s">
        <v>41</v>
      </c>
      <c r="TNF1" s="404"/>
      <c r="TNG1" s="404"/>
      <c r="TNH1" s="404"/>
      <c r="TNI1" s="404"/>
      <c r="TNJ1" s="404"/>
      <c r="TNK1" s="404"/>
      <c r="TNL1" s="405"/>
      <c r="TNM1" s="408" t="s">
        <v>41</v>
      </c>
      <c r="TNN1" s="404"/>
      <c r="TNO1" s="404"/>
      <c r="TNP1" s="404"/>
      <c r="TNQ1" s="404"/>
      <c r="TNR1" s="404"/>
      <c r="TNS1" s="404"/>
      <c r="TNT1" s="405"/>
      <c r="TNU1" s="408" t="s">
        <v>41</v>
      </c>
      <c r="TNV1" s="404"/>
      <c r="TNW1" s="404"/>
      <c r="TNX1" s="404"/>
      <c r="TNY1" s="404"/>
      <c r="TNZ1" s="404"/>
      <c r="TOA1" s="404"/>
      <c r="TOB1" s="405"/>
      <c r="TOC1" s="408" t="s">
        <v>41</v>
      </c>
      <c r="TOD1" s="404"/>
      <c r="TOE1" s="404"/>
      <c r="TOF1" s="404"/>
      <c r="TOG1" s="404"/>
      <c r="TOH1" s="404"/>
      <c r="TOI1" s="404"/>
      <c r="TOJ1" s="405"/>
      <c r="TOK1" s="408" t="s">
        <v>41</v>
      </c>
      <c r="TOL1" s="404"/>
      <c r="TOM1" s="404"/>
      <c r="TON1" s="404"/>
      <c r="TOO1" s="404"/>
      <c r="TOP1" s="404"/>
      <c r="TOQ1" s="404"/>
      <c r="TOR1" s="405"/>
      <c r="TOS1" s="408" t="s">
        <v>41</v>
      </c>
      <c r="TOT1" s="404"/>
      <c r="TOU1" s="404"/>
      <c r="TOV1" s="404"/>
      <c r="TOW1" s="404"/>
      <c r="TOX1" s="404"/>
      <c r="TOY1" s="404"/>
      <c r="TOZ1" s="405"/>
      <c r="TPA1" s="408" t="s">
        <v>41</v>
      </c>
      <c r="TPB1" s="404"/>
      <c r="TPC1" s="404"/>
      <c r="TPD1" s="404"/>
      <c r="TPE1" s="404"/>
      <c r="TPF1" s="404"/>
      <c r="TPG1" s="404"/>
      <c r="TPH1" s="405"/>
      <c r="TPI1" s="408" t="s">
        <v>41</v>
      </c>
      <c r="TPJ1" s="404"/>
      <c r="TPK1" s="404"/>
      <c r="TPL1" s="404"/>
      <c r="TPM1" s="404"/>
      <c r="TPN1" s="404"/>
      <c r="TPO1" s="404"/>
      <c r="TPP1" s="405"/>
      <c r="TPQ1" s="408" t="s">
        <v>41</v>
      </c>
      <c r="TPR1" s="404"/>
      <c r="TPS1" s="404"/>
      <c r="TPT1" s="404"/>
      <c r="TPU1" s="404"/>
      <c r="TPV1" s="404"/>
      <c r="TPW1" s="404"/>
      <c r="TPX1" s="405"/>
      <c r="TPY1" s="408" t="s">
        <v>41</v>
      </c>
      <c r="TPZ1" s="404"/>
      <c r="TQA1" s="404"/>
      <c r="TQB1" s="404"/>
      <c r="TQC1" s="404"/>
      <c r="TQD1" s="404"/>
      <c r="TQE1" s="404"/>
      <c r="TQF1" s="405"/>
      <c r="TQG1" s="408" t="s">
        <v>41</v>
      </c>
      <c r="TQH1" s="404"/>
      <c r="TQI1" s="404"/>
      <c r="TQJ1" s="404"/>
      <c r="TQK1" s="404"/>
      <c r="TQL1" s="404"/>
      <c r="TQM1" s="404"/>
      <c r="TQN1" s="405"/>
      <c r="TQO1" s="408" t="s">
        <v>41</v>
      </c>
      <c r="TQP1" s="404"/>
      <c r="TQQ1" s="404"/>
      <c r="TQR1" s="404"/>
      <c r="TQS1" s="404"/>
      <c r="TQT1" s="404"/>
      <c r="TQU1" s="404"/>
      <c r="TQV1" s="405"/>
      <c r="TQW1" s="408" t="s">
        <v>41</v>
      </c>
      <c r="TQX1" s="404"/>
      <c r="TQY1" s="404"/>
      <c r="TQZ1" s="404"/>
      <c r="TRA1" s="404"/>
      <c r="TRB1" s="404"/>
      <c r="TRC1" s="404"/>
      <c r="TRD1" s="405"/>
      <c r="TRE1" s="408" t="s">
        <v>41</v>
      </c>
      <c r="TRF1" s="404"/>
      <c r="TRG1" s="404"/>
      <c r="TRH1" s="404"/>
      <c r="TRI1" s="404"/>
      <c r="TRJ1" s="404"/>
      <c r="TRK1" s="404"/>
      <c r="TRL1" s="405"/>
      <c r="TRM1" s="408" t="s">
        <v>41</v>
      </c>
      <c r="TRN1" s="404"/>
      <c r="TRO1" s="404"/>
      <c r="TRP1" s="404"/>
      <c r="TRQ1" s="404"/>
      <c r="TRR1" s="404"/>
      <c r="TRS1" s="404"/>
      <c r="TRT1" s="405"/>
      <c r="TRU1" s="408" t="s">
        <v>41</v>
      </c>
      <c r="TRV1" s="404"/>
      <c r="TRW1" s="404"/>
      <c r="TRX1" s="404"/>
      <c r="TRY1" s="404"/>
      <c r="TRZ1" s="404"/>
      <c r="TSA1" s="404"/>
      <c r="TSB1" s="405"/>
      <c r="TSC1" s="408" t="s">
        <v>41</v>
      </c>
      <c r="TSD1" s="404"/>
      <c r="TSE1" s="404"/>
      <c r="TSF1" s="404"/>
      <c r="TSG1" s="404"/>
      <c r="TSH1" s="404"/>
      <c r="TSI1" s="404"/>
      <c r="TSJ1" s="405"/>
      <c r="TSK1" s="408" t="s">
        <v>41</v>
      </c>
      <c r="TSL1" s="404"/>
      <c r="TSM1" s="404"/>
      <c r="TSN1" s="404"/>
      <c r="TSO1" s="404"/>
      <c r="TSP1" s="404"/>
      <c r="TSQ1" s="404"/>
      <c r="TSR1" s="405"/>
      <c r="TSS1" s="408" t="s">
        <v>41</v>
      </c>
      <c r="TST1" s="404"/>
      <c r="TSU1" s="404"/>
      <c r="TSV1" s="404"/>
      <c r="TSW1" s="404"/>
      <c r="TSX1" s="404"/>
      <c r="TSY1" s="404"/>
      <c r="TSZ1" s="405"/>
      <c r="TTA1" s="408" t="s">
        <v>41</v>
      </c>
      <c r="TTB1" s="404"/>
      <c r="TTC1" s="404"/>
      <c r="TTD1" s="404"/>
      <c r="TTE1" s="404"/>
      <c r="TTF1" s="404"/>
      <c r="TTG1" s="404"/>
      <c r="TTH1" s="405"/>
      <c r="TTI1" s="408" t="s">
        <v>41</v>
      </c>
      <c r="TTJ1" s="404"/>
      <c r="TTK1" s="404"/>
      <c r="TTL1" s="404"/>
      <c r="TTM1" s="404"/>
      <c r="TTN1" s="404"/>
      <c r="TTO1" s="404"/>
      <c r="TTP1" s="405"/>
      <c r="TTQ1" s="408" t="s">
        <v>41</v>
      </c>
      <c r="TTR1" s="404"/>
      <c r="TTS1" s="404"/>
      <c r="TTT1" s="404"/>
      <c r="TTU1" s="404"/>
      <c r="TTV1" s="404"/>
      <c r="TTW1" s="404"/>
      <c r="TTX1" s="405"/>
      <c r="TTY1" s="408" t="s">
        <v>41</v>
      </c>
      <c r="TTZ1" s="404"/>
      <c r="TUA1" s="404"/>
      <c r="TUB1" s="404"/>
      <c r="TUC1" s="404"/>
      <c r="TUD1" s="404"/>
      <c r="TUE1" s="404"/>
      <c r="TUF1" s="405"/>
      <c r="TUG1" s="408" t="s">
        <v>41</v>
      </c>
      <c r="TUH1" s="404"/>
      <c r="TUI1" s="404"/>
      <c r="TUJ1" s="404"/>
      <c r="TUK1" s="404"/>
      <c r="TUL1" s="404"/>
      <c r="TUM1" s="404"/>
      <c r="TUN1" s="405"/>
      <c r="TUO1" s="408" t="s">
        <v>41</v>
      </c>
      <c r="TUP1" s="404"/>
      <c r="TUQ1" s="404"/>
      <c r="TUR1" s="404"/>
      <c r="TUS1" s="404"/>
      <c r="TUT1" s="404"/>
      <c r="TUU1" s="404"/>
      <c r="TUV1" s="405"/>
      <c r="TUW1" s="408" t="s">
        <v>41</v>
      </c>
      <c r="TUX1" s="404"/>
      <c r="TUY1" s="404"/>
      <c r="TUZ1" s="404"/>
      <c r="TVA1" s="404"/>
      <c r="TVB1" s="404"/>
      <c r="TVC1" s="404"/>
      <c r="TVD1" s="405"/>
      <c r="TVE1" s="408" t="s">
        <v>41</v>
      </c>
      <c r="TVF1" s="404"/>
      <c r="TVG1" s="404"/>
      <c r="TVH1" s="404"/>
      <c r="TVI1" s="404"/>
      <c r="TVJ1" s="404"/>
      <c r="TVK1" s="404"/>
      <c r="TVL1" s="405"/>
      <c r="TVM1" s="408" t="s">
        <v>41</v>
      </c>
      <c r="TVN1" s="404"/>
      <c r="TVO1" s="404"/>
      <c r="TVP1" s="404"/>
      <c r="TVQ1" s="404"/>
      <c r="TVR1" s="404"/>
      <c r="TVS1" s="404"/>
      <c r="TVT1" s="405"/>
      <c r="TVU1" s="408" t="s">
        <v>41</v>
      </c>
      <c r="TVV1" s="404"/>
      <c r="TVW1" s="404"/>
      <c r="TVX1" s="404"/>
      <c r="TVY1" s="404"/>
      <c r="TVZ1" s="404"/>
      <c r="TWA1" s="404"/>
      <c r="TWB1" s="405"/>
      <c r="TWC1" s="408" t="s">
        <v>41</v>
      </c>
      <c r="TWD1" s="404"/>
      <c r="TWE1" s="404"/>
      <c r="TWF1" s="404"/>
      <c r="TWG1" s="404"/>
      <c r="TWH1" s="404"/>
      <c r="TWI1" s="404"/>
      <c r="TWJ1" s="405"/>
      <c r="TWK1" s="408" t="s">
        <v>41</v>
      </c>
      <c r="TWL1" s="404"/>
      <c r="TWM1" s="404"/>
      <c r="TWN1" s="404"/>
      <c r="TWO1" s="404"/>
      <c r="TWP1" s="404"/>
      <c r="TWQ1" s="404"/>
      <c r="TWR1" s="405"/>
      <c r="TWS1" s="408" t="s">
        <v>41</v>
      </c>
      <c r="TWT1" s="404"/>
      <c r="TWU1" s="404"/>
      <c r="TWV1" s="404"/>
      <c r="TWW1" s="404"/>
      <c r="TWX1" s="404"/>
      <c r="TWY1" s="404"/>
      <c r="TWZ1" s="405"/>
      <c r="TXA1" s="408" t="s">
        <v>41</v>
      </c>
      <c r="TXB1" s="404"/>
      <c r="TXC1" s="404"/>
      <c r="TXD1" s="404"/>
      <c r="TXE1" s="404"/>
      <c r="TXF1" s="404"/>
      <c r="TXG1" s="404"/>
      <c r="TXH1" s="405"/>
      <c r="TXI1" s="408" t="s">
        <v>41</v>
      </c>
      <c r="TXJ1" s="404"/>
      <c r="TXK1" s="404"/>
      <c r="TXL1" s="404"/>
      <c r="TXM1" s="404"/>
      <c r="TXN1" s="404"/>
      <c r="TXO1" s="404"/>
      <c r="TXP1" s="405"/>
      <c r="TXQ1" s="408" t="s">
        <v>41</v>
      </c>
      <c r="TXR1" s="404"/>
      <c r="TXS1" s="404"/>
      <c r="TXT1" s="404"/>
      <c r="TXU1" s="404"/>
      <c r="TXV1" s="404"/>
      <c r="TXW1" s="404"/>
      <c r="TXX1" s="405"/>
      <c r="TXY1" s="408" t="s">
        <v>41</v>
      </c>
      <c r="TXZ1" s="404"/>
      <c r="TYA1" s="404"/>
      <c r="TYB1" s="404"/>
      <c r="TYC1" s="404"/>
      <c r="TYD1" s="404"/>
      <c r="TYE1" s="404"/>
      <c r="TYF1" s="405"/>
      <c r="TYG1" s="408" t="s">
        <v>41</v>
      </c>
      <c r="TYH1" s="404"/>
      <c r="TYI1" s="404"/>
      <c r="TYJ1" s="404"/>
      <c r="TYK1" s="404"/>
      <c r="TYL1" s="404"/>
      <c r="TYM1" s="404"/>
      <c r="TYN1" s="405"/>
      <c r="TYO1" s="408" t="s">
        <v>41</v>
      </c>
      <c r="TYP1" s="404"/>
      <c r="TYQ1" s="404"/>
      <c r="TYR1" s="404"/>
      <c r="TYS1" s="404"/>
      <c r="TYT1" s="404"/>
      <c r="TYU1" s="404"/>
      <c r="TYV1" s="405"/>
      <c r="TYW1" s="408" t="s">
        <v>41</v>
      </c>
      <c r="TYX1" s="404"/>
      <c r="TYY1" s="404"/>
      <c r="TYZ1" s="404"/>
      <c r="TZA1" s="404"/>
      <c r="TZB1" s="404"/>
      <c r="TZC1" s="404"/>
      <c r="TZD1" s="405"/>
      <c r="TZE1" s="408" t="s">
        <v>41</v>
      </c>
      <c r="TZF1" s="404"/>
      <c r="TZG1" s="404"/>
      <c r="TZH1" s="404"/>
      <c r="TZI1" s="404"/>
      <c r="TZJ1" s="404"/>
      <c r="TZK1" s="404"/>
      <c r="TZL1" s="405"/>
      <c r="TZM1" s="408" t="s">
        <v>41</v>
      </c>
      <c r="TZN1" s="404"/>
      <c r="TZO1" s="404"/>
      <c r="TZP1" s="404"/>
      <c r="TZQ1" s="404"/>
      <c r="TZR1" s="404"/>
      <c r="TZS1" s="404"/>
      <c r="TZT1" s="405"/>
      <c r="TZU1" s="408" t="s">
        <v>41</v>
      </c>
      <c r="TZV1" s="404"/>
      <c r="TZW1" s="404"/>
      <c r="TZX1" s="404"/>
      <c r="TZY1" s="404"/>
      <c r="TZZ1" s="404"/>
      <c r="UAA1" s="404"/>
      <c r="UAB1" s="405"/>
      <c r="UAC1" s="408" t="s">
        <v>41</v>
      </c>
      <c r="UAD1" s="404"/>
      <c r="UAE1" s="404"/>
      <c r="UAF1" s="404"/>
      <c r="UAG1" s="404"/>
      <c r="UAH1" s="404"/>
      <c r="UAI1" s="404"/>
      <c r="UAJ1" s="405"/>
      <c r="UAK1" s="408" t="s">
        <v>41</v>
      </c>
      <c r="UAL1" s="404"/>
      <c r="UAM1" s="404"/>
      <c r="UAN1" s="404"/>
      <c r="UAO1" s="404"/>
      <c r="UAP1" s="404"/>
      <c r="UAQ1" s="404"/>
      <c r="UAR1" s="405"/>
      <c r="UAS1" s="408" t="s">
        <v>41</v>
      </c>
      <c r="UAT1" s="404"/>
      <c r="UAU1" s="404"/>
      <c r="UAV1" s="404"/>
      <c r="UAW1" s="404"/>
      <c r="UAX1" s="404"/>
      <c r="UAY1" s="404"/>
      <c r="UAZ1" s="405"/>
      <c r="UBA1" s="408" t="s">
        <v>41</v>
      </c>
      <c r="UBB1" s="404"/>
      <c r="UBC1" s="404"/>
      <c r="UBD1" s="404"/>
      <c r="UBE1" s="404"/>
      <c r="UBF1" s="404"/>
      <c r="UBG1" s="404"/>
      <c r="UBH1" s="405"/>
      <c r="UBI1" s="408" t="s">
        <v>41</v>
      </c>
      <c r="UBJ1" s="404"/>
      <c r="UBK1" s="404"/>
      <c r="UBL1" s="404"/>
      <c r="UBM1" s="404"/>
      <c r="UBN1" s="404"/>
      <c r="UBO1" s="404"/>
      <c r="UBP1" s="405"/>
      <c r="UBQ1" s="408" t="s">
        <v>41</v>
      </c>
      <c r="UBR1" s="404"/>
      <c r="UBS1" s="404"/>
      <c r="UBT1" s="404"/>
      <c r="UBU1" s="404"/>
      <c r="UBV1" s="404"/>
      <c r="UBW1" s="404"/>
      <c r="UBX1" s="405"/>
      <c r="UBY1" s="408" t="s">
        <v>41</v>
      </c>
      <c r="UBZ1" s="404"/>
      <c r="UCA1" s="404"/>
      <c r="UCB1" s="404"/>
      <c r="UCC1" s="404"/>
      <c r="UCD1" s="404"/>
      <c r="UCE1" s="404"/>
      <c r="UCF1" s="405"/>
      <c r="UCG1" s="408" t="s">
        <v>41</v>
      </c>
      <c r="UCH1" s="404"/>
      <c r="UCI1" s="404"/>
      <c r="UCJ1" s="404"/>
      <c r="UCK1" s="404"/>
      <c r="UCL1" s="404"/>
      <c r="UCM1" s="404"/>
      <c r="UCN1" s="405"/>
      <c r="UCO1" s="408" t="s">
        <v>41</v>
      </c>
      <c r="UCP1" s="404"/>
      <c r="UCQ1" s="404"/>
      <c r="UCR1" s="404"/>
      <c r="UCS1" s="404"/>
      <c r="UCT1" s="404"/>
      <c r="UCU1" s="404"/>
      <c r="UCV1" s="405"/>
      <c r="UCW1" s="408" t="s">
        <v>41</v>
      </c>
      <c r="UCX1" s="404"/>
      <c r="UCY1" s="404"/>
      <c r="UCZ1" s="404"/>
      <c r="UDA1" s="404"/>
      <c r="UDB1" s="404"/>
      <c r="UDC1" s="404"/>
      <c r="UDD1" s="405"/>
      <c r="UDE1" s="408" t="s">
        <v>41</v>
      </c>
      <c r="UDF1" s="404"/>
      <c r="UDG1" s="404"/>
      <c r="UDH1" s="404"/>
      <c r="UDI1" s="404"/>
      <c r="UDJ1" s="404"/>
      <c r="UDK1" s="404"/>
      <c r="UDL1" s="405"/>
      <c r="UDM1" s="408" t="s">
        <v>41</v>
      </c>
      <c r="UDN1" s="404"/>
      <c r="UDO1" s="404"/>
      <c r="UDP1" s="404"/>
      <c r="UDQ1" s="404"/>
      <c r="UDR1" s="404"/>
      <c r="UDS1" s="404"/>
      <c r="UDT1" s="405"/>
      <c r="UDU1" s="408" t="s">
        <v>41</v>
      </c>
      <c r="UDV1" s="404"/>
      <c r="UDW1" s="404"/>
      <c r="UDX1" s="404"/>
      <c r="UDY1" s="404"/>
      <c r="UDZ1" s="404"/>
      <c r="UEA1" s="404"/>
      <c r="UEB1" s="405"/>
      <c r="UEC1" s="408" t="s">
        <v>41</v>
      </c>
      <c r="UED1" s="404"/>
      <c r="UEE1" s="404"/>
      <c r="UEF1" s="404"/>
      <c r="UEG1" s="404"/>
      <c r="UEH1" s="404"/>
      <c r="UEI1" s="404"/>
      <c r="UEJ1" s="405"/>
      <c r="UEK1" s="408" t="s">
        <v>41</v>
      </c>
      <c r="UEL1" s="404"/>
      <c r="UEM1" s="404"/>
      <c r="UEN1" s="404"/>
      <c r="UEO1" s="404"/>
      <c r="UEP1" s="404"/>
      <c r="UEQ1" s="404"/>
      <c r="UER1" s="405"/>
      <c r="UES1" s="408" t="s">
        <v>41</v>
      </c>
      <c r="UET1" s="404"/>
      <c r="UEU1" s="404"/>
      <c r="UEV1" s="404"/>
      <c r="UEW1" s="404"/>
      <c r="UEX1" s="404"/>
      <c r="UEY1" s="404"/>
      <c r="UEZ1" s="405"/>
      <c r="UFA1" s="408" t="s">
        <v>41</v>
      </c>
      <c r="UFB1" s="404"/>
      <c r="UFC1" s="404"/>
      <c r="UFD1" s="404"/>
      <c r="UFE1" s="404"/>
      <c r="UFF1" s="404"/>
      <c r="UFG1" s="404"/>
      <c r="UFH1" s="405"/>
      <c r="UFI1" s="408" t="s">
        <v>41</v>
      </c>
      <c r="UFJ1" s="404"/>
      <c r="UFK1" s="404"/>
      <c r="UFL1" s="404"/>
      <c r="UFM1" s="404"/>
      <c r="UFN1" s="404"/>
      <c r="UFO1" s="404"/>
      <c r="UFP1" s="405"/>
      <c r="UFQ1" s="408" t="s">
        <v>41</v>
      </c>
      <c r="UFR1" s="404"/>
      <c r="UFS1" s="404"/>
      <c r="UFT1" s="404"/>
      <c r="UFU1" s="404"/>
      <c r="UFV1" s="404"/>
      <c r="UFW1" s="404"/>
      <c r="UFX1" s="405"/>
      <c r="UFY1" s="408" t="s">
        <v>41</v>
      </c>
      <c r="UFZ1" s="404"/>
      <c r="UGA1" s="404"/>
      <c r="UGB1" s="404"/>
      <c r="UGC1" s="404"/>
      <c r="UGD1" s="404"/>
      <c r="UGE1" s="404"/>
      <c r="UGF1" s="405"/>
      <c r="UGG1" s="408" t="s">
        <v>41</v>
      </c>
      <c r="UGH1" s="404"/>
      <c r="UGI1" s="404"/>
      <c r="UGJ1" s="404"/>
      <c r="UGK1" s="404"/>
      <c r="UGL1" s="404"/>
      <c r="UGM1" s="404"/>
      <c r="UGN1" s="405"/>
      <c r="UGO1" s="408" t="s">
        <v>41</v>
      </c>
      <c r="UGP1" s="404"/>
      <c r="UGQ1" s="404"/>
      <c r="UGR1" s="404"/>
      <c r="UGS1" s="404"/>
      <c r="UGT1" s="404"/>
      <c r="UGU1" s="404"/>
      <c r="UGV1" s="405"/>
      <c r="UGW1" s="408" t="s">
        <v>41</v>
      </c>
      <c r="UGX1" s="404"/>
      <c r="UGY1" s="404"/>
      <c r="UGZ1" s="404"/>
      <c r="UHA1" s="404"/>
      <c r="UHB1" s="404"/>
      <c r="UHC1" s="404"/>
      <c r="UHD1" s="405"/>
      <c r="UHE1" s="408" t="s">
        <v>41</v>
      </c>
      <c r="UHF1" s="404"/>
      <c r="UHG1" s="404"/>
      <c r="UHH1" s="404"/>
      <c r="UHI1" s="404"/>
      <c r="UHJ1" s="404"/>
      <c r="UHK1" s="404"/>
      <c r="UHL1" s="405"/>
      <c r="UHM1" s="408" t="s">
        <v>41</v>
      </c>
      <c r="UHN1" s="404"/>
      <c r="UHO1" s="404"/>
      <c r="UHP1" s="404"/>
      <c r="UHQ1" s="404"/>
      <c r="UHR1" s="404"/>
      <c r="UHS1" s="404"/>
      <c r="UHT1" s="405"/>
      <c r="UHU1" s="408" t="s">
        <v>41</v>
      </c>
      <c r="UHV1" s="404"/>
      <c r="UHW1" s="404"/>
      <c r="UHX1" s="404"/>
      <c r="UHY1" s="404"/>
      <c r="UHZ1" s="404"/>
      <c r="UIA1" s="404"/>
      <c r="UIB1" s="405"/>
      <c r="UIC1" s="408" t="s">
        <v>41</v>
      </c>
      <c r="UID1" s="404"/>
      <c r="UIE1" s="404"/>
      <c r="UIF1" s="404"/>
      <c r="UIG1" s="404"/>
      <c r="UIH1" s="404"/>
      <c r="UII1" s="404"/>
      <c r="UIJ1" s="405"/>
      <c r="UIK1" s="408" t="s">
        <v>41</v>
      </c>
      <c r="UIL1" s="404"/>
      <c r="UIM1" s="404"/>
      <c r="UIN1" s="404"/>
      <c r="UIO1" s="404"/>
      <c r="UIP1" s="404"/>
      <c r="UIQ1" s="404"/>
      <c r="UIR1" s="405"/>
      <c r="UIS1" s="408" t="s">
        <v>41</v>
      </c>
      <c r="UIT1" s="404"/>
      <c r="UIU1" s="404"/>
      <c r="UIV1" s="404"/>
      <c r="UIW1" s="404"/>
      <c r="UIX1" s="404"/>
      <c r="UIY1" s="404"/>
      <c r="UIZ1" s="405"/>
      <c r="UJA1" s="408" t="s">
        <v>41</v>
      </c>
      <c r="UJB1" s="404"/>
      <c r="UJC1" s="404"/>
      <c r="UJD1" s="404"/>
      <c r="UJE1" s="404"/>
      <c r="UJF1" s="404"/>
      <c r="UJG1" s="404"/>
      <c r="UJH1" s="405"/>
      <c r="UJI1" s="408" t="s">
        <v>41</v>
      </c>
      <c r="UJJ1" s="404"/>
      <c r="UJK1" s="404"/>
      <c r="UJL1" s="404"/>
      <c r="UJM1" s="404"/>
      <c r="UJN1" s="404"/>
      <c r="UJO1" s="404"/>
      <c r="UJP1" s="405"/>
      <c r="UJQ1" s="408" t="s">
        <v>41</v>
      </c>
      <c r="UJR1" s="404"/>
      <c r="UJS1" s="404"/>
      <c r="UJT1" s="404"/>
      <c r="UJU1" s="404"/>
      <c r="UJV1" s="404"/>
      <c r="UJW1" s="404"/>
      <c r="UJX1" s="405"/>
      <c r="UJY1" s="408" t="s">
        <v>41</v>
      </c>
      <c r="UJZ1" s="404"/>
      <c r="UKA1" s="404"/>
      <c r="UKB1" s="404"/>
      <c r="UKC1" s="404"/>
      <c r="UKD1" s="404"/>
      <c r="UKE1" s="404"/>
      <c r="UKF1" s="405"/>
      <c r="UKG1" s="408" t="s">
        <v>41</v>
      </c>
      <c r="UKH1" s="404"/>
      <c r="UKI1" s="404"/>
      <c r="UKJ1" s="404"/>
      <c r="UKK1" s="404"/>
      <c r="UKL1" s="404"/>
      <c r="UKM1" s="404"/>
      <c r="UKN1" s="405"/>
      <c r="UKO1" s="408" t="s">
        <v>41</v>
      </c>
      <c r="UKP1" s="404"/>
      <c r="UKQ1" s="404"/>
      <c r="UKR1" s="404"/>
      <c r="UKS1" s="404"/>
      <c r="UKT1" s="404"/>
      <c r="UKU1" s="404"/>
      <c r="UKV1" s="405"/>
      <c r="UKW1" s="408" t="s">
        <v>41</v>
      </c>
      <c r="UKX1" s="404"/>
      <c r="UKY1" s="404"/>
      <c r="UKZ1" s="404"/>
      <c r="ULA1" s="404"/>
      <c r="ULB1" s="404"/>
      <c r="ULC1" s="404"/>
      <c r="ULD1" s="405"/>
      <c r="ULE1" s="408" t="s">
        <v>41</v>
      </c>
      <c r="ULF1" s="404"/>
      <c r="ULG1" s="404"/>
      <c r="ULH1" s="404"/>
      <c r="ULI1" s="404"/>
      <c r="ULJ1" s="404"/>
      <c r="ULK1" s="404"/>
      <c r="ULL1" s="405"/>
      <c r="ULM1" s="408" t="s">
        <v>41</v>
      </c>
      <c r="ULN1" s="404"/>
      <c r="ULO1" s="404"/>
      <c r="ULP1" s="404"/>
      <c r="ULQ1" s="404"/>
      <c r="ULR1" s="404"/>
      <c r="ULS1" s="404"/>
      <c r="ULT1" s="405"/>
      <c r="ULU1" s="408" t="s">
        <v>41</v>
      </c>
      <c r="ULV1" s="404"/>
      <c r="ULW1" s="404"/>
      <c r="ULX1" s="404"/>
      <c r="ULY1" s="404"/>
      <c r="ULZ1" s="404"/>
      <c r="UMA1" s="404"/>
      <c r="UMB1" s="405"/>
      <c r="UMC1" s="408" t="s">
        <v>41</v>
      </c>
      <c r="UMD1" s="404"/>
      <c r="UME1" s="404"/>
      <c r="UMF1" s="404"/>
      <c r="UMG1" s="404"/>
      <c r="UMH1" s="404"/>
      <c r="UMI1" s="404"/>
      <c r="UMJ1" s="405"/>
      <c r="UMK1" s="408" t="s">
        <v>41</v>
      </c>
      <c r="UML1" s="404"/>
      <c r="UMM1" s="404"/>
      <c r="UMN1" s="404"/>
      <c r="UMO1" s="404"/>
      <c r="UMP1" s="404"/>
      <c r="UMQ1" s="404"/>
      <c r="UMR1" s="405"/>
      <c r="UMS1" s="408" t="s">
        <v>41</v>
      </c>
      <c r="UMT1" s="404"/>
      <c r="UMU1" s="404"/>
      <c r="UMV1" s="404"/>
      <c r="UMW1" s="404"/>
      <c r="UMX1" s="404"/>
      <c r="UMY1" s="404"/>
      <c r="UMZ1" s="405"/>
      <c r="UNA1" s="408" t="s">
        <v>41</v>
      </c>
      <c r="UNB1" s="404"/>
      <c r="UNC1" s="404"/>
      <c r="UND1" s="404"/>
      <c r="UNE1" s="404"/>
      <c r="UNF1" s="404"/>
      <c r="UNG1" s="404"/>
      <c r="UNH1" s="405"/>
      <c r="UNI1" s="408" t="s">
        <v>41</v>
      </c>
      <c r="UNJ1" s="404"/>
      <c r="UNK1" s="404"/>
      <c r="UNL1" s="404"/>
      <c r="UNM1" s="404"/>
      <c r="UNN1" s="404"/>
      <c r="UNO1" s="404"/>
      <c r="UNP1" s="405"/>
      <c r="UNQ1" s="408" t="s">
        <v>41</v>
      </c>
      <c r="UNR1" s="404"/>
      <c r="UNS1" s="404"/>
      <c r="UNT1" s="404"/>
      <c r="UNU1" s="404"/>
      <c r="UNV1" s="404"/>
      <c r="UNW1" s="404"/>
      <c r="UNX1" s="405"/>
      <c r="UNY1" s="408" t="s">
        <v>41</v>
      </c>
      <c r="UNZ1" s="404"/>
      <c r="UOA1" s="404"/>
      <c r="UOB1" s="404"/>
      <c r="UOC1" s="404"/>
      <c r="UOD1" s="404"/>
      <c r="UOE1" s="404"/>
      <c r="UOF1" s="405"/>
      <c r="UOG1" s="408" t="s">
        <v>41</v>
      </c>
      <c r="UOH1" s="404"/>
      <c r="UOI1" s="404"/>
      <c r="UOJ1" s="404"/>
      <c r="UOK1" s="404"/>
      <c r="UOL1" s="404"/>
      <c r="UOM1" s="404"/>
      <c r="UON1" s="405"/>
      <c r="UOO1" s="408" t="s">
        <v>41</v>
      </c>
      <c r="UOP1" s="404"/>
      <c r="UOQ1" s="404"/>
      <c r="UOR1" s="404"/>
      <c r="UOS1" s="404"/>
      <c r="UOT1" s="404"/>
      <c r="UOU1" s="404"/>
      <c r="UOV1" s="405"/>
      <c r="UOW1" s="408" t="s">
        <v>41</v>
      </c>
      <c r="UOX1" s="404"/>
      <c r="UOY1" s="404"/>
      <c r="UOZ1" s="404"/>
      <c r="UPA1" s="404"/>
      <c r="UPB1" s="404"/>
      <c r="UPC1" s="404"/>
      <c r="UPD1" s="405"/>
      <c r="UPE1" s="408" t="s">
        <v>41</v>
      </c>
      <c r="UPF1" s="404"/>
      <c r="UPG1" s="404"/>
      <c r="UPH1" s="404"/>
      <c r="UPI1" s="404"/>
      <c r="UPJ1" s="404"/>
      <c r="UPK1" s="404"/>
      <c r="UPL1" s="405"/>
      <c r="UPM1" s="408" t="s">
        <v>41</v>
      </c>
      <c r="UPN1" s="404"/>
      <c r="UPO1" s="404"/>
      <c r="UPP1" s="404"/>
      <c r="UPQ1" s="404"/>
      <c r="UPR1" s="404"/>
      <c r="UPS1" s="404"/>
      <c r="UPT1" s="405"/>
      <c r="UPU1" s="408" t="s">
        <v>41</v>
      </c>
      <c r="UPV1" s="404"/>
      <c r="UPW1" s="404"/>
      <c r="UPX1" s="404"/>
      <c r="UPY1" s="404"/>
      <c r="UPZ1" s="404"/>
      <c r="UQA1" s="404"/>
      <c r="UQB1" s="405"/>
      <c r="UQC1" s="408" t="s">
        <v>41</v>
      </c>
      <c r="UQD1" s="404"/>
      <c r="UQE1" s="404"/>
      <c r="UQF1" s="404"/>
      <c r="UQG1" s="404"/>
      <c r="UQH1" s="404"/>
      <c r="UQI1" s="404"/>
      <c r="UQJ1" s="405"/>
      <c r="UQK1" s="408" t="s">
        <v>41</v>
      </c>
      <c r="UQL1" s="404"/>
      <c r="UQM1" s="404"/>
      <c r="UQN1" s="404"/>
      <c r="UQO1" s="404"/>
      <c r="UQP1" s="404"/>
      <c r="UQQ1" s="404"/>
      <c r="UQR1" s="405"/>
      <c r="UQS1" s="408" t="s">
        <v>41</v>
      </c>
      <c r="UQT1" s="404"/>
      <c r="UQU1" s="404"/>
      <c r="UQV1" s="404"/>
      <c r="UQW1" s="404"/>
      <c r="UQX1" s="404"/>
      <c r="UQY1" s="404"/>
      <c r="UQZ1" s="405"/>
      <c r="URA1" s="408" t="s">
        <v>41</v>
      </c>
      <c r="URB1" s="404"/>
      <c r="URC1" s="404"/>
      <c r="URD1" s="404"/>
      <c r="URE1" s="404"/>
      <c r="URF1" s="404"/>
      <c r="URG1" s="404"/>
      <c r="URH1" s="405"/>
      <c r="URI1" s="408" t="s">
        <v>41</v>
      </c>
      <c r="URJ1" s="404"/>
      <c r="URK1" s="404"/>
      <c r="URL1" s="404"/>
      <c r="URM1" s="404"/>
      <c r="URN1" s="404"/>
      <c r="URO1" s="404"/>
      <c r="URP1" s="405"/>
      <c r="URQ1" s="408" t="s">
        <v>41</v>
      </c>
      <c r="URR1" s="404"/>
      <c r="URS1" s="404"/>
      <c r="URT1" s="404"/>
      <c r="URU1" s="404"/>
      <c r="URV1" s="404"/>
      <c r="URW1" s="404"/>
      <c r="URX1" s="405"/>
      <c r="URY1" s="408" t="s">
        <v>41</v>
      </c>
      <c r="URZ1" s="404"/>
      <c r="USA1" s="404"/>
      <c r="USB1" s="404"/>
      <c r="USC1" s="404"/>
      <c r="USD1" s="404"/>
      <c r="USE1" s="404"/>
      <c r="USF1" s="405"/>
      <c r="USG1" s="408" t="s">
        <v>41</v>
      </c>
      <c r="USH1" s="404"/>
      <c r="USI1" s="404"/>
      <c r="USJ1" s="404"/>
      <c r="USK1" s="404"/>
      <c r="USL1" s="404"/>
      <c r="USM1" s="404"/>
      <c r="USN1" s="405"/>
      <c r="USO1" s="408" t="s">
        <v>41</v>
      </c>
      <c r="USP1" s="404"/>
      <c r="USQ1" s="404"/>
      <c r="USR1" s="404"/>
      <c r="USS1" s="404"/>
      <c r="UST1" s="404"/>
      <c r="USU1" s="404"/>
      <c r="USV1" s="405"/>
      <c r="USW1" s="408" t="s">
        <v>41</v>
      </c>
      <c r="USX1" s="404"/>
      <c r="USY1" s="404"/>
      <c r="USZ1" s="404"/>
      <c r="UTA1" s="404"/>
      <c r="UTB1" s="404"/>
      <c r="UTC1" s="404"/>
      <c r="UTD1" s="405"/>
      <c r="UTE1" s="408" t="s">
        <v>41</v>
      </c>
      <c r="UTF1" s="404"/>
      <c r="UTG1" s="404"/>
      <c r="UTH1" s="404"/>
      <c r="UTI1" s="404"/>
      <c r="UTJ1" s="404"/>
      <c r="UTK1" s="404"/>
      <c r="UTL1" s="405"/>
      <c r="UTM1" s="408" t="s">
        <v>41</v>
      </c>
      <c r="UTN1" s="404"/>
      <c r="UTO1" s="404"/>
      <c r="UTP1" s="404"/>
      <c r="UTQ1" s="404"/>
      <c r="UTR1" s="404"/>
      <c r="UTS1" s="404"/>
      <c r="UTT1" s="405"/>
      <c r="UTU1" s="408" t="s">
        <v>41</v>
      </c>
      <c r="UTV1" s="404"/>
      <c r="UTW1" s="404"/>
      <c r="UTX1" s="404"/>
      <c r="UTY1" s="404"/>
      <c r="UTZ1" s="404"/>
      <c r="UUA1" s="404"/>
      <c r="UUB1" s="405"/>
      <c r="UUC1" s="408" t="s">
        <v>41</v>
      </c>
      <c r="UUD1" s="404"/>
      <c r="UUE1" s="404"/>
      <c r="UUF1" s="404"/>
      <c r="UUG1" s="404"/>
      <c r="UUH1" s="404"/>
      <c r="UUI1" s="404"/>
      <c r="UUJ1" s="405"/>
      <c r="UUK1" s="408" t="s">
        <v>41</v>
      </c>
      <c r="UUL1" s="404"/>
      <c r="UUM1" s="404"/>
      <c r="UUN1" s="404"/>
      <c r="UUO1" s="404"/>
      <c r="UUP1" s="404"/>
      <c r="UUQ1" s="404"/>
      <c r="UUR1" s="405"/>
      <c r="UUS1" s="408" t="s">
        <v>41</v>
      </c>
      <c r="UUT1" s="404"/>
      <c r="UUU1" s="404"/>
      <c r="UUV1" s="404"/>
      <c r="UUW1" s="404"/>
      <c r="UUX1" s="404"/>
      <c r="UUY1" s="404"/>
      <c r="UUZ1" s="405"/>
      <c r="UVA1" s="408" t="s">
        <v>41</v>
      </c>
      <c r="UVB1" s="404"/>
      <c r="UVC1" s="404"/>
      <c r="UVD1" s="404"/>
      <c r="UVE1" s="404"/>
      <c r="UVF1" s="404"/>
      <c r="UVG1" s="404"/>
      <c r="UVH1" s="405"/>
      <c r="UVI1" s="408" t="s">
        <v>41</v>
      </c>
      <c r="UVJ1" s="404"/>
      <c r="UVK1" s="404"/>
      <c r="UVL1" s="404"/>
      <c r="UVM1" s="404"/>
      <c r="UVN1" s="404"/>
      <c r="UVO1" s="404"/>
      <c r="UVP1" s="405"/>
      <c r="UVQ1" s="408" t="s">
        <v>41</v>
      </c>
      <c r="UVR1" s="404"/>
      <c r="UVS1" s="404"/>
      <c r="UVT1" s="404"/>
      <c r="UVU1" s="404"/>
      <c r="UVV1" s="404"/>
      <c r="UVW1" s="404"/>
      <c r="UVX1" s="405"/>
      <c r="UVY1" s="408" t="s">
        <v>41</v>
      </c>
      <c r="UVZ1" s="404"/>
      <c r="UWA1" s="404"/>
      <c r="UWB1" s="404"/>
      <c r="UWC1" s="404"/>
      <c r="UWD1" s="404"/>
      <c r="UWE1" s="404"/>
      <c r="UWF1" s="405"/>
      <c r="UWG1" s="408" t="s">
        <v>41</v>
      </c>
      <c r="UWH1" s="404"/>
      <c r="UWI1" s="404"/>
      <c r="UWJ1" s="404"/>
      <c r="UWK1" s="404"/>
      <c r="UWL1" s="404"/>
      <c r="UWM1" s="404"/>
      <c r="UWN1" s="405"/>
      <c r="UWO1" s="408" t="s">
        <v>41</v>
      </c>
      <c r="UWP1" s="404"/>
      <c r="UWQ1" s="404"/>
      <c r="UWR1" s="404"/>
      <c r="UWS1" s="404"/>
      <c r="UWT1" s="404"/>
      <c r="UWU1" s="404"/>
      <c r="UWV1" s="405"/>
      <c r="UWW1" s="408" t="s">
        <v>41</v>
      </c>
      <c r="UWX1" s="404"/>
      <c r="UWY1" s="404"/>
      <c r="UWZ1" s="404"/>
      <c r="UXA1" s="404"/>
      <c r="UXB1" s="404"/>
      <c r="UXC1" s="404"/>
      <c r="UXD1" s="405"/>
      <c r="UXE1" s="408" t="s">
        <v>41</v>
      </c>
      <c r="UXF1" s="404"/>
      <c r="UXG1" s="404"/>
      <c r="UXH1" s="404"/>
      <c r="UXI1" s="404"/>
      <c r="UXJ1" s="404"/>
      <c r="UXK1" s="404"/>
      <c r="UXL1" s="405"/>
      <c r="UXM1" s="408" t="s">
        <v>41</v>
      </c>
      <c r="UXN1" s="404"/>
      <c r="UXO1" s="404"/>
      <c r="UXP1" s="404"/>
      <c r="UXQ1" s="404"/>
      <c r="UXR1" s="404"/>
      <c r="UXS1" s="404"/>
      <c r="UXT1" s="405"/>
      <c r="UXU1" s="408" t="s">
        <v>41</v>
      </c>
      <c r="UXV1" s="404"/>
      <c r="UXW1" s="404"/>
      <c r="UXX1" s="404"/>
      <c r="UXY1" s="404"/>
      <c r="UXZ1" s="404"/>
      <c r="UYA1" s="404"/>
      <c r="UYB1" s="405"/>
      <c r="UYC1" s="408" t="s">
        <v>41</v>
      </c>
      <c r="UYD1" s="404"/>
      <c r="UYE1" s="404"/>
      <c r="UYF1" s="404"/>
      <c r="UYG1" s="404"/>
      <c r="UYH1" s="404"/>
      <c r="UYI1" s="404"/>
      <c r="UYJ1" s="405"/>
      <c r="UYK1" s="408" t="s">
        <v>41</v>
      </c>
      <c r="UYL1" s="404"/>
      <c r="UYM1" s="404"/>
      <c r="UYN1" s="404"/>
      <c r="UYO1" s="404"/>
      <c r="UYP1" s="404"/>
      <c r="UYQ1" s="404"/>
      <c r="UYR1" s="405"/>
      <c r="UYS1" s="408" t="s">
        <v>41</v>
      </c>
      <c r="UYT1" s="404"/>
      <c r="UYU1" s="404"/>
      <c r="UYV1" s="404"/>
      <c r="UYW1" s="404"/>
      <c r="UYX1" s="404"/>
      <c r="UYY1" s="404"/>
      <c r="UYZ1" s="405"/>
      <c r="UZA1" s="408" t="s">
        <v>41</v>
      </c>
      <c r="UZB1" s="404"/>
      <c r="UZC1" s="404"/>
      <c r="UZD1" s="404"/>
      <c r="UZE1" s="404"/>
      <c r="UZF1" s="404"/>
      <c r="UZG1" s="404"/>
      <c r="UZH1" s="405"/>
      <c r="UZI1" s="408" t="s">
        <v>41</v>
      </c>
      <c r="UZJ1" s="404"/>
      <c r="UZK1" s="404"/>
      <c r="UZL1" s="404"/>
      <c r="UZM1" s="404"/>
      <c r="UZN1" s="404"/>
      <c r="UZO1" s="404"/>
      <c r="UZP1" s="405"/>
      <c r="UZQ1" s="408" t="s">
        <v>41</v>
      </c>
      <c r="UZR1" s="404"/>
      <c r="UZS1" s="404"/>
      <c r="UZT1" s="404"/>
      <c r="UZU1" s="404"/>
      <c r="UZV1" s="404"/>
      <c r="UZW1" s="404"/>
      <c r="UZX1" s="405"/>
      <c r="UZY1" s="408" t="s">
        <v>41</v>
      </c>
      <c r="UZZ1" s="404"/>
      <c r="VAA1" s="404"/>
      <c r="VAB1" s="404"/>
      <c r="VAC1" s="404"/>
      <c r="VAD1" s="404"/>
      <c r="VAE1" s="404"/>
      <c r="VAF1" s="405"/>
      <c r="VAG1" s="408" t="s">
        <v>41</v>
      </c>
      <c r="VAH1" s="404"/>
      <c r="VAI1" s="404"/>
      <c r="VAJ1" s="404"/>
      <c r="VAK1" s="404"/>
      <c r="VAL1" s="404"/>
      <c r="VAM1" s="404"/>
      <c r="VAN1" s="405"/>
      <c r="VAO1" s="408" t="s">
        <v>41</v>
      </c>
      <c r="VAP1" s="404"/>
      <c r="VAQ1" s="404"/>
      <c r="VAR1" s="404"/>
      <c r="VAS1" s="404"/>
      <c r="VAT1" s="404"/>
      <c r="VAU1" s="404"/>
      <c r="VAV1" s="405"/>
      <c r="VAW1" s="408" t="s">
        <v>41</v>
      </c>
      <c r="VAX1" s="404"/>
      <c r="VAY1" s="404"/>
      <c r="VAZ1" s="404"/>
      <c r="VBA1" s="404"/>
      <c r="VBB1" s="404"/>
      <c r="VBC1" s="404"/>
      <c r="VBD1" s="405"/>
      <c r="VBE1" s="408" t="s">
        <v>41</v>
      </c>
      <c r="VBF1" s="404"/>
      <c r="VBG1" s="404"/>
      <c r="VBH1" s="404"/>
      <c r="VBI1" s="404"/>
      <c r="VBJ1" s="404"/>
      <c r="VBK1" s="404"/>
      <c r="VBL1" s="405"/>
      <c r="VBM1" s="408" t="s">
        <v>41</v>
      </c>
      <c r="VBN1" s="404"/>
      <c r="VBO1" s="404"/>
      <c r="VBP1" s="404"/>
      <c r="VBQ1" s="404"/>
      <c r="VBR1" s="404"/>
      <c r="VBS1" s="404"/>
      <c r="VBT1" s="405"/>
      <c r="VBU1" s="408" t="s">
        <v>41</v>
      </c>
      <c r="VBV1" s="404"/>
      <c r="VBW1" s="404"/>
      <c r="VBX1" s="404"/>
      <c r="VBY1" s="404"/>
      <c r="VBZ1" s="404"/>
      <c r="VCA1" s="404"/>
      <c r="VCB1" s="405"/>
      <c r="VCC1" s="408" t="s">
        <v>41</v>
      </c>
      <c r="VCD1" s="404"/>
      <c r="VCE1" s="404"/>
      <c r="VCF1" s="404"/>
      <c r="VCG1" s="404"/>
      <c r="VCH1" s="404"/>
      <c r="VCI1" s="404"/>
      <c r="VCJ1" s="405"/>
      <c r="VCK1" s="408" t="s">
        <v>41</v>
      </c>
      <c r="VCL1" s="404"/>
      <c r="VCM1" s="404"/>
      <c r="VCN1" s="404"/>
      <c r="VCO1" s="404"/>
      <c r="VCP1" s="404"/>
      <c r="VCQ1" s="404"/>
      <c r="VCR1" s="405"/>
      <c r="VCS1" s="408" t="s">
        <v>41</v>
      </c>
      <c r="VCT1" s="404"/>
      <c r="VCU1" s="404"/>
      <c r="VCV1" s="404"/>
      <c r="VCW1" s="404"/>
      <c r="VCX1" s="404"/>
      <c r="VCY1" s="404"/>
      <c r="VCZ1" s="405"/>
      <c r="VDA1" s="408" t="s">
        <v>41</v>
      </c>
      <c r="VDB1" s="404"/>
      <c r="VDC1" s="404"/>
      <c r="VDD1" s="404"/>
      <c r="VDE1" s="404"/>
      <c r="VDF1" s="404"/>
      <c r="VDG1" s="404"/>
      <c r="VDH1" s="405"/>
      <c r="VDI1" s="408" t="s">
        <v>41</v>
      </c>
      <c r="VDJ1" s="404"/>
      <c r="VDK1" s="404"/>
      <c r="VDL1" s="404"/>
      <c r="VDM1" s="404"/>
      <c r="VDN1" s="404"/>
      <c r="VDO1" s="404"/>
      <c r="VDP1" s="405"/>
      <c r="VDQ1" s="408" t="s">
        <v>41</v>
      </c>
      <c r="VDR1" s="404"/>
      <c r="VDS1" s="404"/>
      <c r="VDT1" s="404"/>
      <c r="VDU1" s="404"/>
      <c r="VDV1" s="404"/>
      <c r="VDW1" s="404"/>
      <c r="VDX1" s="405"/>
      <c r="VDY1" s="408" t="s">
        <v>41</v>
      </c>
      <c r="VDZ1" s="404"/>
      <c r="VEA1" s="404"/>
      <c r="VEB1" s="404"/>
      <c r="VEC1" s="404"/>
      <c r="VED1" s="404"/>
      <c r="VEE1" s="404"/>
      <c r="VEF1" s="405"/>
      <c r="VEG1" s="408" t="s">
        <v>41</v>
      </c>
      <c r="VEH1" s="404"/>
      <c r="VEI1" s="404"/>
      <c r="VEJ1" s="404"/>
      <c r="VEK1" s="404"/>
      <c r="VEL1" s="404"/>
      <c r="VEM1" s="404"/>
      <c r="VEN1" s="405"/>
      <c r="VEO1" s="408" t="s">
        <v>41</v>
      </c>
      <c r="VEP1" s="404"/>
      <c r="VEQ1" s="404"/>
      <c r="VER1" s="404"/>
      <c r="VES1" s="404"/>
      <c r="VET1" s="404"/>
      <c r="VEU1" s="404"/>
      <c r="VEV1" s="405"/>
      <c r="VEW1" s="408" t="s">
        <v>41</v>
      </c>
      <c r="VEX1" s="404"/>
      <c r="VEY1" s="404"/>
      <c r="VEZ1" s="404"/>
      <c r="VFA1" s="404"/>
      <c r="VFB1" s="404"/>
      <c r="VFC1" s="404"/>
      <c r="VFD1" s="405"/>
      <c r="VFE1" s="408" t="s">
        <v>41</v>
      </c>
      <c r="VFF1" s="404"/>
      <c r="VFG1" s="404"/>
      <c r="VFH1" s="404"/>
      <c r="VFI1" s="404"/>
      <c r="VFJ1" s="404"/>
      <c r="VFK1" s="404"/>
      <c r="VFL1" s="405"/>
      <c r="VFM1" s="408" t="s">
        <v>41</v>
      </c>
      <c r="VFN1" s="404"/>
      <c r="VFO1" s="404"/>
      <c r="VFP1" s="404"/>
      <c r="VFQ1" s="404"/>
      <c r="VFR1" s="404"/>
      <c r="VFS1" s="404"/>
      <c r="VFT1" s="405"/>
      <c r="VFU1" s="408" t="s">
        <v>41</v>
      </c>
      <c r="VFV1" s="404"/>
      <c r="VFW1" s="404"/>
      <c r="VFX1" s="404"/>
      <c r="VFY1" s="404"/>
      <c r="VFZ1" s="404"/>
      <c r="VGA1" s="404"/>
      <c r="VGB1" s="405"/>
      <c r="VGC1" s="408" t="s">
        <v>41</v>
      </c>
      <c r="VGD1" s="404"/>
      <c r="VGE1" s="404"/>
      <c r="VGF1" s="404"/>
      <c r="VGG1" s="404"/>
      <c r="VGH1" s="404"/>
      <c r="VGI1" s="404"/>
      <c r="VGJ1" s="405"/>
      <c r="VGK1" s="408" t="s">
        <v>41</v>
      </c>
      <c r="VGL1" s="404"/>
      <c r="VGM1" s="404"/>
      <c r="VGN1" s="404"/>
      <c r="VGO1" s="404"/>
      <c r="VGP1" s="404"/>
      <c r="VGQ1" s="404"/>
      <c r="VGR1" s="405"/>
      <c r="VGS1" s="408" t="s">
        <v>41</v>
      </c>
      <c r="VGT1" s="404"/>
      <c r="VGU1" s="404"/>
      <c r="VGV1" s="404"/>
      <c r="VGW1" s="404"/>
      <c r="VGX1" s="404"/>
      <c r="VGY1" s="404"/>
      <c r="VGZ1" s="405"/>
      <c r="VHA1" s="408" t="s">
        <v>41</v>
      </c>
      <c r="VHB1" s="404"/>
      <c r="VHC1" s="404"/>
      <c r="VHD1" s="404"/>
      <c r="VHE1" s="404"/>
      <c r="VHF1" s="404"/>
      <c r="VHG1" s="404"/>
      <c r="VHH1" s="405"/>
      <c r="VHI1" s="408" t="s">
        <v>41</v>
      </c>
      <c r="VHJ1" s="404"/>
      <c r="VHK1" s="404"/>
      <c r="VHL1" s="404"/>
      <c r="VHM1" s="404"/>
      <c r="VHN1" s="404"/>
      <c r="VHO1" s="404"/>
      <c r="VHP1" s="405"/>
      <c r="VHQ1" s="408" t="s">
        <v>41</v>
      </c>
      <c r="VHR1" s="404"/>
      <c r="VHS1" s="404"/>
      <c r="VHT1" s="404"/>
      <c r="VHU1" s="404"/>
      <c r="VHV1" s="404"/>
      <c r="VHW1" s="404"/>
      <c r="VHX1" s="405"/>
      <c r="VHY1" s="408" t="s">
        <v>41</v>
      </c>
      <c r="VHZ1" s="404"/>
      <c r="VIA1" s="404"/>
      <c r="VIB1" s="404"/>
      <c r="VIC1" s="404"/>
      <c r="VID1" s="404"/>
      <c r="VIE1" s="404"/>
      <c r="VIF1" s="405"/>
      <c r="VIG1" s="408" t="s">
        <v>41</v>
      </c>
      <c r="VIH1" s="404"/>
      <c r="VII1" s="404"/>
      <c r="VIJ1" s="404"/>
      <c r="VIK1" s="404"/>
      <c r="VIL1" s="404"/>
      <c r="VIM1" s="404"/>
      <c r="VIN1" s="405"/>
      <c r="VIO1" s="408" t="s">
        <v>41</v>
      </c>
      <c r="VIP1" s="404"/>
      <c r="VIQ1" s="404"/>
      <c r="VIR1" s="404"/>
      <c r="VIS1" s="404"/>
      <c r="VIT1" s="404"/>
      <c r="VIU1" s="404"/>
      <c r="VIV1" s="405"/>
      <c r="VIW1" s="408" t="s">
        <v>41</v>
      </c>
      <c r="VIX1" s="404"/>
      <c r="VIY1" s="404"/>
      <c r="VIZ1" s="404"/>
      <c r="VJA1" s="404"/>
      <c r="VJB1" s="404"/>
      <c r="VJC1" s="404"/>
      <c r="VJD1" s="405"/>
      <c r="VJE1" s="408" t="s">
        <v>41</v>
      </c>
      <c r="VJF1" s="404"/>
      <c r="VJG1" s="404"/>
      <c r="VJH1" s="404"/>
      <c r="VJI1" s="404"/>
      <c r="VJJ1" s="404"/>
      <c r="VJK1" s="404"/>
      <c r="VJL1" s="405"/>
      <c r="VJM1" s="408" t="s">
        <v>41</v>
      </c>
      <c r="VJN1" s="404"/>
      <c r="VJO1" s="404"/>
      <c r="VJP1" s="404"/>
      <c r="VJQ1" s="404"/>
      <c r="VJR1" s="404"/>
      <c r="VJS1" s="404"/>
      <c r="VJT1" s="405"/>
      <c r="VJU1" s="408" t="s">
        <v>41</v>
      </c>
      <c r="VJV1" s="404"/>
      <c r="VJW1" s="404"/>
      <c r="VJX1" s="404"/>
      <c r="VJY1" s="404"/>
      <c r="VJZ1" s="404"/>
      <c r="VKA1" s="404"/>
      <c r="VKB1" s="405"/>
      <c r="VKC1" s="408" t="s">
        <v>41</v>
      </c>
      <c r="VKD1" s="404"/>
      <c r="VKE1" s="404"/>
      <c r="VKF1" s="404"/>
      <c r="VKG1" s="404"/>
      <c r="VKH1" s="404"/>
      <c r="VKI1" s="404"/>
      <c r="VKJ1" s="405"/>
      <c r="VKK1" s="408" t="s">
        <v>41</v>
      </c>
      <c r="VKL1" s="404"/>
      <c r="VKM1" s="404"/>
      <c r="VKN1" s="404"/>
      <c r="VKO1" s="404"/>
      <c r="VKP1" s="404"/>
      <c r="VKQ1" s="404"/>
      <c r="VKR1" s="405"/>
      <c r="VKS1" s="408" t="s">
        <v>41</v>
      </c>
      <c r="VKT1" s="404"/>
      <c r="VKU1" s="404"/>
      <c r="VKV1" s="404"/>
      <c r="VKW1" s="404"/>
      <c r="VKX1" s="404"/>
      <c r="VKY1" s="404"/>
      <c r="VKZ1" s="405"/>
      <c r="VLA1" s="408" t="s">
        <v>41</v>
      </c>
      <c r="VLB1" s="404"/>
      <c r="VLC1" s="404"/>
      <c r="VLD1" s="404"/>
      <c r="VLE1" s="404"/>
      <c r="VLF1" s="404"/>
      <c r="VLG1" s="404"/>
      <c r="VLH1" s="405"/>
      <c r="VLI1" s="408" t="s">
        <v>41</v>
      </c>
      <c r="VLJ1" s="404"/>
      <c r="VLK1" s="404"/>
      <c r="VLL1" s="404"/>
      <c r="VLM1" s="404"/>
      <c r="VLN1" s="404"/>
      <c r="VLO1" s="404"/>
      <c r="VLP1" s="405"/>
      <c r="VLQ1" s="408" t="s">
        <v>41</v>
      </c>
      <c r="VLR1" s="404"/>
      <c r="VLS1" s="404"/>
      <c r="VLT1" s="404"/>
      <c r="VLU1" s="404"/>
      <c r="VLV1" s="404"/>
      <c r="VLW1" s="404"/>
      <c r="VLX1" s="405"/>
      <c r="VLY1" s="408" t="s">
        <v>41</v>
      </c>
      <c r="VLZ1" s="404"/>
      <c r="VMA1" s="404"/>
      <c r="VMB1" s="404"/>
      <c r="VMC1" s="404"/>
      <c r="VMD1" s="404"/>
      <c r="VME1" s="404"/>
      <c r="VMF1" s="405"/>
      <c r="VMG1" s="408" t="s">
        <v>41</v>
      </c>
      <c r="VMH1" s="404"/>
      <c r="VMI1" s="404"/>
      <c r="VMJ1" s="404"/>
      <c r="VMK1" s="404"/>
      <c r="VML1" s="404"/>
      <c r="VMM1" s="404"/>
      <c r="VMN1" s="405"/>
      <c r="VMO1" s="408" t="s">
        <v>41</v>
      </c>
      <c r="VMP1" s="404"/>
      <c r="VMQ1" s="404"/>
      <c r="VMR1" s="404"/>
      <c r="VMS1" s="404"/>
      <c r="VMT1" s="404"/>
      <c r="VMU1" s="404"/>
      <c r="VMV1" s="405"/>
      <c r="VMW1" s="408" t="s">
        <v>41</v>
      </c>
      <c r="VMX1" s="404"/>
      <c r="VMY1" s="404"/>
      <c r="VMZ1" s="404"/>
      <c r="VNA1" s="404"/>
      <c r="VNB1" s="404"/>
      <c r="VNC1" s="404"/>
      <c r="VND1" s="405"/>
      <c r="VNE1" s="408" t="s">
        <v>41</v>
      </c>
      <c r="VNF1" s="404"/>
      <c r="VNG1" s="404"/>
      <c r="VNH1" s="404"/>
      <c r="VNI1" s="404"/>
      <c r="VNJ1" s="404"/>
      <c r="VNK1" s="404"/>
      <c r="VNL1" s="405"/>
      <c r="VNM1" s="408" t="s">
        <v>41</v>
      </c>
      <c r="VNN1" s="404"/>
      <c r="VNO1" s="404"/>
      <c r="VNP1" s="404"/>
      <c r="VNQ1" s="404"/>
      <c r="VNR1" s="404"/>
      <c r="VNS1" s="404"/>
      <c r="VNT1" s="405"/>
      <c r="VNU1" s="408" t="s">
        <v>41</v>
      </c>
      <c r="VNV1" s="404"/>
      <c r="VNW1" s="404"/>
      <c r="VNX1" s="404"/>
      <c r="VNY1" s="404"/>
      <c r="VNZ1" s="404"/>
      <c r="VOA1" s="404"/>
      <c r="VOB1" s="405"/>
      <c r="VOC1" s="408" t="s">
        <v>41</v>
      </c>
      <c r="VOD1" s="404"/>
      <c r="VOE1" s="404"/>
      <c r="VOF1" s="404"/>
      <c r="VOG1" s="404"/>
      <c r="VOH1" s="404"/>
      <c r="VOI1" s="404"/>
      <c r="VOJ1" s="405"/>
      <c r="VOK1" s="408" t="s">
        <v>41</v>
      </c>
      <c r="VOL1" s="404"/>
      <c r="VOM1" s="404"/>
      <c r="VON1" s="404"/>
      <c r="VOO1" s="404"/>
      <c r="VOP1" s="404"/>
      <c r="VOQ1" s="404"/>
      <c r="VOR1" s="405"/>
      <c r="VOS1" s="408" t="s">
        <v>41</v>
      </c>
      <c r="VOT1" s="404"/>
      <c r="VOU1" s="404"/>
      <c r="VOV1" s="404"/>
      <c r="VOW1" s="404"/>
      <c r="VOX1" s="404"/>
      <c r="VOY1" s="404"/>
      <c r="VOZ1" s="405"/>
      <c r="VPA1" s="408" t="s">
        <v>41</v>
      </c>
      <c r="VPB1" s="404"/>
      <c r="VPC1" s="404"/>
      <c r="VPD1" s="404"/>
      <c r="VPE1" s="404"/>
      <c r="VPF1" s="404"/>
      <c r="VPG1" s="404"/>
      <c r="VPH1" s="405"/>
      <c r="VPI1" s="408" t="s">
        <v>41</v>
      </c>
      <c r="VPJ1" s="404"/>
      <c r="VPK1" s="404"/>
      <c r="VPL1" s="404"/>
      <c r="VPM1" s="404"/>
      <c r="VPN1" s="404"/>
      <c r="VPO1" s="404"/>
      <c r="VPP1" s="405"/>
      <c r="VPQ1" s="408" t="s">
        <v>41</v>
      </c>
      <c r="VPR1" s="404"/>
      <c r="VPS1" s="404"/>
      <c r="VPT1" s="404"/>
      <c r="VPU1" s="404"/>
      <c r="VPV1" s="404"/>
      <c r="VPW1" s="404"/>
      <c r="VPX1" s="405"/>
      <c r="VPY1" s="408" t="s">
        <v>41</v>
      </c>
      <c r="VPZ1" s="404"/>
      <c r="VQA1" s="404"/>
      <c r="VQB1" s="404"/>
      <c r="VQC1" s="404"/>
      <c r="VQD1" s="404"/>
      <c r="VQE1" s="404"/>
      <c r="VQF1" s="405"/>
      <c r="VQG1" s="408" t="s">
        <v>41</v>
      </c>
      <c r="VQH1" s="404"/>
      <c r="VQI1" s="404"/>
      <c r="VQJ1" s="404"/>
      <c r="VQK1" s="404"/>
      <c r="VQL1" s="404"/>
      <c r="VQM1" s="404"/>
      <c r="VQN1" s="405"/>
      <c r="VQO1" s="408" t="s">
        <v>41</v>
      </c>
      <c r="VQP1" s="404"/>
      <c r="VQQ1" s="404"/>
      <c r="VQR1" s="404"/>
      <c r="VQS1" s="404"/>
      <c r="VQT1" s="404"/>
      <c r="VQU1" s="404"/>
      <c r="VQV1" s="405"/>
      <c r="VQW1" s="408" t="s">
        <v>41</v>
      </c>
      <c r="VQX1" s="404"/>
      <c r="VQY1" s="404"/>
      <c r="VQZ1" s="404"/>
      <c r="VRA1" s="404"/>
      <c r="VRB1" s="404"/>
      <c r="VRC1" s="404"/>
      <c r="VRD1" s="405"/>
      <c r="VRE1" s="408" t="s">
        <v>41</v>
      </c>
      <c r="VRF1" s="404"/>
      <c r="VRG1" s="404"/>
      <c r="VRH1" s="404"/>
      <c r="VRI1" s="404"/>
      <c r="VRJ1" s="404"/>
      <c r="VRK1" s="404"/>
      <c r="VRL1" s="405"/>
      <c r="VRM1" s="408" t="s">
        <v>41</v>
      </c>
      <c r="VRN1" s="404"/>
      <c r="VRO1" s="404"/>
      <c r="VRP1" s="404"/>
      <c r="VRQ1" s="404"/>
      <c r="VRR1" s="404"/>
      <c r="VRS1" s="404"/>
      <c r="VRT1" s="405"/>
      <c r="VRU1" s="408" t="s">
        <v>41</v>
      </c>
      <c r="VRV1" s="404"/>
      <c r="VRW1" s="404"/>
      <c r="VRX1" s="404"/>
      <c r="VRY1" s="404"/>
      <c r="VRZ1" s="404"/>
      <c r="VSA1" s="404"/>
      <c r="VSB1" s="405"/>
      <c r="VSC1" s="408" t="s">
        <v>41</v>
      </c>
      <c r="VSD1" s="404"/>
      <c r="VSE1" s="404"/>
      <c r="VSF1" s="404"/>
      <c r="VSG1" s="404"/>
      <c r="VSH1" s="404"/>
      <c r="VSI1" s="404"/>
      <c r="VSJ1" s="405"/>
      <c r="VSK1" s="408" t="s">
        <v>41</v>
      </c>
      <c r="VSL1" s="404"/>
      <c r="VSM1" s="404"/>
      <c r="VSN1" s="404"/>
      <c r="VSO1" s="404"/>
      <c r="VSP1" s="404"/>
      <c r="VSQ1" s="404"/>
      <c r="VSR1" s="405"/>
      <c r="VSS1" s="408" t="s">
        <v>41</v>
      </c>
      <c r="VST1" s="404"/>
      <c r="VSU1" s="404"/>
      <c r="VSV1" s="404"/>
      <c r="VSW1" s="404"/>
      <c r="VSX1" s="404"/>
      <c r="VSY1" s="404"/>
      <c r="VSZ1" s="405"/>
      <c r="VTA1" s="408" t="s">
        <v>41</v>
      </c>
      <c r="VTB1" s="404"/>
      <c r="VTC1" s="404"/>
      <c r="VTD1" s="404"/>
      <c r="VTE1" s="404"/>
      <c r="VTF1" s="404"/>
      <c r="VTG1" s="404"/>
      <c r="VTH1" s="405"/>
      <c r="VTI1" s="408" t="s">
        <v>41</v>
      </c>
      <c r="VTJ1" s="404"/>
      <c r="VTK1" s="404"/>
      <c r="VTL1" s="404"/>
      <c r="VTM1" s="404"/>
      <c r="VTN1" s="404"/>
      <c r="VTO1" s="404"/>
      <c r="VTP1" s="405"/>
      <c r="VTQ1" s="408" t="s">
        <v>41</v>
      </c>
      <c r="VTR1" s="404"/>
      <c r="VTS1" s="404"/>
      <c r="VTT1" s="404"/>
      <c r="VTU1" s="404"/>
      <c r="VTV1" s="404"/>
      <c r="VTW1" s="404"/>
      <c r="VTX1" s="405"/>
      <c r="VTY1" s="408" t="s">
        <v>41</v>
      </c>
      <c r="VTZ1" s="404"/>
      <c r="VUA1" s="404"/>
      <c r="VUB1" s="404"/>
      <c r="VUC1" s="404"/>
      <c r="VUD1" s="404"/>
      <c r="VUE1" s="404"/>
      <c r="VUF1" s="405"/>
      <c r="VUG1" s="408" t="s">
        <v>41</v>
      </c>
      <c r="VUH1" s="404"/>
      <c r="VUI1" s="404"/>
      <c r="VUJ1" s="404"/>
      <c r="VUK1" s="404"/>
      <c r="VUL1" s="404"/>
      <c r="VUM1" s="404"/>
      <c r="VUN1" s="405"/>
      <c r="VUO1" s="408" t="s">
        <v>41</v>
      </c>
      <c r="VUP1" s="404"/>
      <c r="VUQ1" s="404"/>
      <c r="VUR1" s="404"/>
      <c r="VUS1" s="404"/>
      <c r="VUT1" s="404"/>
      <c r="VUU1" s="404"/>
      <c r="VUV1" s="405"/>
      <c r="VUW1" s="408" t="s">
        <v>41</v>
      </c>
      <c r="VUX1" s="404"/>
      <c r="VUY1" s="404"/>
      <c r="VUZ1" s="404"/>
      <c r="VVA1" s="404"/>
      <c r="VVB1" s="404"/>
      <c r="VVC1" s="404"/>
      <c r="VVD1" s="405"/>
      <c r="VVE1" s="408" t="s">
        <v>41</v>
      </c>
      <c r="VVF1" s="404"/>
      <c r="VVG1" s="404"/>
      <c r="VVH1" s="404"/>
      <c r="VVI1" s="404"/>
      <c r="VVJ1" s="404"/>
      <c r="VVK1" s="404"/>
      <c r="VVL1" s="405"/>
      <c r="VVM1" s="408" t="s">
        <v>41</v>
      </c>
      <c r="VVN1" s="404"/>
      <c r="VVO1" s="404"/>
      <c r="VVP1" s="404"/>
      <c r="VVQ1" s="404"/>
      <c r="VVR1" s="404"/>
      <c r="VVS1" s="404"/>
      <c r="VVT1" s="405"/>
      <c r="VVU1" s="408" t="s">
        <v>41</v>
      </c>
      <c r="VVV1" s="404"/>
      <c r="VVW1" s="404"/>
      <c r="VVX1" s="404"/>
      <c r="VVY1" s="404"/>
      <c r="VVZ1" s="404"/>
      <c r="VWA1" s="404"/>
      <c r="VWB1" s="405"/>
      <c r="VWC1" s="408" t="s">
        <v>41</v>
      </c>
      <c r="VWD1" s="404"/>
      <c r="VWE1" s="404"/>
      <c r="VWF1" s="404"/>
      <c r="VWG1" s="404"/>
      <c r="VWH1" s="404"/>
      <c r="VWI1" s="404"/>
      <c r="VWJ1" s="405"/>
      <c r="VWK1" s="408" t="s">
        <v>41</v>
      </c>
      <c r="VWL1" s="404"/>
      <c r="VWM1" s="404"/>
      <c r="VWN1" s="404"/>
      <c r="VWO1" s="404"/>
      <c r="VWP1" s="404"/>
      <c r="VWQ1" s="404"/>
      <c r="VWR1" s="405"/>
      <c r="VWS1" s="408" t="s">
        <v>41</v>
      </c>
      <c r="VWT1" s="404"/>
      <c r="VWU1" s="404"/>
      <c r="VWV1" s="404"/>
      <c r="VWW1" s="404"/>
      <c r="VWX1" s="404"/>
      <c r="VWY1" s="404"/>
      <c r="VWZ1" s="405"/>
      <c r="VXA1" s="408" t="s">
        <v>41</v>
      </c>
      <c r="VXB1" s="404"/>
      <c r="VXC1" s="404"/>
      <c r="VXD1" s="404"/>
      <c r="VXE1" s="404"/>
      <c r="VXF1" s="404"/>
      <c r="VXG1" s="404"/>
      <c r="VXH1" s="405"/>
      <c r="VXI1" s="408" t="s">
        <v>41</v>
      </c>
      <c r="VXJ1" s="404"/>
      <c r="VXK1" s="404"/>
      <c r="VXL1" s="404"/>
      <c r="VXM1" s="404"/>
      <c r="VXN1" s="404"/>
      <c r="VXO1" s="404"/>
      <c r="VXP1" s="405"/>
      <c r="VXQ1" s="408" t="s">
        <v>41</v>
      </c>
      <c r="VXR1" s="404"/>
      <c r="VXS1" s="404"/>
      <c r="VXT1" s="404"/>
      <c r="VXU1" s="404"/>
      <c r="VXV1" s="404"/>
      <c r="VXW1" s="404"/>
      <c r="VXX1" s="405"/>
      <c r="VXY1" s="408" t="s">
        <v>41</v>
      </c>
      <c r="VXZ1" s="404"/>
      <c r="VYA1" s="404"/>
      <c r="VYB1" s="404"/>
      <c r="VYC1" s="404"/>
      <c r="VYD1" s="404"/>
      <c r="VYE1" s="404"/>
      <c r="VYF1" s="405"/>
      <c r="VYG1" s="408" t="s">
        <v>41</v>
      </c>
      <c r="VYH1" s="404"/>
      <c r="VYI1" s="404"/>
      <c r="VYJ1" s="404"/>
      <c r="VYK1" s="404"/>
      <c r="VYL1" s="404"/>
      <c r="VYM1" s="404"/>
      <c r="VYN1" s="405"/>
      <c r="VYO1" s="408" t="s">
        <v>41</v>
      </c>
      <c r="VYP1" s="404"/>
      <c r="VYQ1" s="404"/>
      <c r="VYR1" s="404"/>
      <c r="VYS1" s="404"/>
      <c r="VYT1" s="404"/>
      <c r="VYU1" s="404"/>
      <c r="VYV1" s="405"/>
      <c r="VYW1" s="408" t="s">
        <v>41</v>
      </c>
      <c r="VYX1" s="404"/>
      <c r="VYY1" s="404"/>
      <c r="VYZ1" s="404"/>
      <c r="VZA1" s="404"/>
      <c r="VZB1" s="404"/>
      <c r="VZC1" s="404"/>
      <c r="VZD1" s="405"/>
      <c r="VZE1" s="408" t="s">
        <v>41</v>
      </c>
      <c r="VZF1" s="404"/>
      <c r="VZG1" s="404"/>
      <c r="VZH1" s="404"/>
      <c r="VZI1" s="404"/>
      <c r="VZJ1" s="404"/>
      <c r="VZK1" s="404"/>
      <c r="VZL1" s="405"/>
      <c r="VZM1" s="408" t="s">
        <v>41</v>
      </c>
      <c r="VZN1" s="404"/>
      <c r="VZO1" s="404"/>
      <c r="VZP1" s="404"/>
      <c r="VZQ1" s="404"/>
      <c r="VZR1" s="404"/>
      <c r="VZS1" s="404"/>
      <c r="VZT1" s="405"/>
      <c r="VZU1" s="408" t="s">
        <v>41</v>
      </c>
      <c r="VZV1" s="404"/>
      <c r="VZW1" s="404"/>
      <c r="VZX1" s="404"/>
      <c r="VZY1" s="404"/>
      <c r="VZZ1" s="404"/>
      <c r="WAA1" s="404"/>
      <c r="WAB1" s="405"/>
      <c r="WAC1" s="408" t="s">
        <v>41</v>
      </c>
      <c r="WAD1" s="404"/>
      <c r="WAE1" s="404"/>
      <c r="WAF1" s="404"/>
      <c r="WAG1" s="404"/>
      <c r="WAH1" s="404"/>
      <c r="WAI1" s="404"/>
      <c r="WAJ1" s="405"/>
      <c r="WAK1" s="408" t="s">
        <v>41</v>
      </c>
      <c r="WAL1" s="404"/>
      <c r="WAM1" s="404"/>
      <c r="WAN1" s="404"/>
      <c r="WAO1" s="404"/>
      <c r="WAP1" s="404"/>
      <c r="WAQ1" s="404"/>
      <c r="WAR1" s="405"/>
      <c r="WAS1" s="408" t="s">
        <v>41</v>
      </c>
      <c r="WAT1" s="404"/>
      <c r="WAU1" s="404"/>
      <c r="WAV1" s="404"/>
      <c r="WAW1" s="404"/>
      <c r="WAX1" s="404"/>
      <c r="WAY1" s="404"/>
      <c r="WAZ1" s="405"/>
      <c r="WBA1" s="408" t="s">
        <v>41</v>
      </c>
      <c r="WBB1" s="404"/>
      <c r="WBC1" s="404"/>
      <c r="WBD1" s="404"/>
      <c r="WBE1" s="404"/>
      <c r="WBF1" s="404"/>
      <c r="WBG1" s="404"/>
      <c r="WBH1" s="405"/>
      <c r="WBI1" s="408" t="s">
        <v>41</v>
      </c>
      <c r="WBJ1" s="404"/>
      <c r="WBK1" s="404"/>
      <c r="WBL1" s="404"/>
      <c r="WBM1" s="404"/>
      <c r="WBN1" s="404"/>
      <c r="WBO1" s="404"/>
      <c r="WBP1" s="405"/>
      <c r="WBQ1" s="408" t="s">
        <v>41</v>
      </c>
      <c r="WBR1" s="404"/>
      <c r="WBS1" s="404"/>
      <c r="WBT1" s="404"/>
      <c r="WBU1" s="404"/>
      <c r="WBV1" s="404"/>
      <c r="WBW1" s="404"/>
      <c r="WBX1" s="405"/>
      <c r="WBY1" s="408" t="s">
        <v>41</v>
      </c>
      <c r="WBZ1" s="404"/>
      <c r="WCA1" s="404"/>
      <c r="WCB1" s="404"/>
      <c r="WCC1" s="404"/>
      <c r="WCD1" s="404"/>
      <c r="WCE1" s="404"/>
      <c r="WCF1" s="405"/>
      <c r="WCG1" s="408" t="s">
        <v>41</v>
      </c>
      <c r="WCH1" s="404"/>
      <c r="WCI1" s="404"/>
      <c r="WCJ1" s="404"/>
      <c r="WCK1" s="404"/>
      <c r="WCL1" s="404"/>
      <c r="WCM1" s="404"/>
      <c r="WCN1" s="405"/>
      <c r="WCO1" s="408" t="s">
        <v>41</v>
      </c>
      <c r="WCP1" s="404"/>
      <c r="WCQ1" s="404"/>
      <c r="WCR1" s="404"/>
      <c r="WCS1" s="404"/>
      <c r="WCT1" s="404"/>
      <c r="WCU1" s="404"/>
      <c r="WCV1" s="405"/>
      <c r="WCW1" s="408" t="s">
        <v>41</v>
      </c>
      <c r="WCX1" s="404"/>
      <c r="WCY1" s="404"/>
      <c r="WCZ1" s="404"/>
      <c r="WDA1" s="404"/>
      <c r="WDB1" s="404"/>
      <c r="WDC1" s="404"/>
      <c r="WDD1" s="405"/>
      <c r="WDE1" s="408" t="s">
        <v>41</v>
      </c>
      <c r="WDF1" s="404"/>
      <c r="WDG1" s="404"/>
      <c r="WDH1" s="404"/>
      <c r="WDI1" s="404"/>
      <c r="WDJ1" s="404"/>
      <c r="WDK1" s="404"/>
      <c r="WDL1" s="405"/>
      <c r="WDM1" s="408" t="s">
        <v>41</v>
      </c>
      <c r="WDN1" s="404"/>
      <c r="WDO1" s="404"/>
      <c r="WDP1" s="404"/>
      <c r="WDQ1" s="404"/>
      <c r="WDR1" s="404"/>
      <c r="WDS1" s="404"/>
      <c r="WDT1" s="405"/>
      <c r="WDU1" s="408" t="s">
        <v>41</v>
      </c>
      <c r="WDV1" s="404"/>
      <c r="WDW1" s="404"/>
      <c r="WDX1" s="404"/>
      <c r="WDY1" s="404"/>
      <c r="WDZ1" s="404"/>
      <c r="WEA1" s="404"/>
      <c r="WEB1" s="405"/>
      <c r="WEC1" s="408" t="s">
        <v>41</v>
      </c>
      <c r="WED1" s="404"/>
      <c r="WEE1" s="404"/>
      <c r="WEF1" s="404"/>
      <c r="WEG1" s="404"/>
      <c r="WEH1" s="404"/>
      <c r="WEI1" s="404"/>
      <c r="WEJ1" s="405"/>
      <c r="WEK1" s="408" t="s">
        <v>41</v>
      </c>
      <c r="WEL1" s="404"/>
      <c r="WEM1" s="404"/>
      <c r="WEN1" s="404"/>
      <c r="WEO1" s="404"/>
      <c r="WEP1" s="404"/>
      <c r="WEQ1" s="404"/>
      <c r="WER1" s="405"/>
      <c r="WES1" s="408" t="s">
        <v>41</v>
      </c>
      <c r="WET1" s="404"/>
      <c r="WEU1" s="404"/>
      <c r="WEV1" s="404"/>
      <c r="WEW1" s="404"/>
      <c r="WEX1" s="404"/>
      <c r="WEY1" s="404"/>
      <c r="WEZ1" s="405"/>
      <c r="WFA1" s="408" t="s">
        <v>41</v>
      </c>
      <c r="WFB1" s="404"/>
      <c r="WFC1" s="404"/>
      <c r="WFD1" s="404"/>
      <c r="WFE1" s="404"/>
      <c r="WFF1" s="404"/>
      <c r="WFG1" s="404"/>
      <c r="WFH1" s="405"/>
      <c r="WFI1" s="408" t="s">
        <v>41</v>
      </c>
      <c r="WFJ1" s="404"/>
      <c r="WFK1" s="404"/>
      <c r="WFL1" s="404"/>
      <c r="WFM1" s="404"/>
      <c r="WFN1" s="404"/>
      <c r="WFO1" s="404"/>
      <c r="WFP1" s="405"/>
      <c r="WFQ1" s="408" t="s">
        <v>41</v>
      </c>
      <c r="WFR1" s="404"/>
      <c r="WFS1" s="404"/>
      <c r="WFT1" s="404"/>
      <c r="WFU1" s="404"/>
      <c r="WFV1" s="404"/>
      <c r="WFW1" s="404"/>
      <c r="WFX1" s="405"/>
      <c r="WFY1" s="408" t="s">
        <v>41</v>
      </c>
      <c r="WFZ1" s="404"/>
      <c r="WGA1" s="404"/>
      <c r="WGB1" s="404"/>
      <c r="WGC1" s="404"/>
      <c r="WGD1" s="404"/>
      <c r="WGE1" s="404"/>
      <c r="WGF1" s="405"/>
      <c r="WGG1" s="408" t="s">
        <v>41</v>
      </c>
      <c r="WGH1" s="404"/>
      <c r="WGI1" s="404"/>
      <c r="WGJ1" s="404"/>
      <c r="WGK1" s="404"/>
      <c r="WGL1" s="404"/>
      <c r="WGM1" s="404"/>
      <c r="WGN1" s="405"/>
      <c r="WGO1" s="408" t="s">
        <v>41</v>
      </c>
      <c r="WGP1" s="404"/>
      <c r="WGQ1" s="404"/>
      <c r="WGR1" s="404"/>
      <c r="WGS1" s="404"/>
      <c r="WGT1" s="404"/>
      <c r="WGU1" s="404"/>
      <c r="WGV1" s="405"/>
      <c r="WGW1" s="408" t="s">
        <v>41</v>
      </c>
      <c r="WGX1" s="404"/>
      <c r="WGY1" s="404"/>
      <c r="WGZ1" s="404"/>
      <c r="WHA1" s="404"/>
      <c r="WHB1" s="404"/>
      <c r="WHC1" s="404"/>
      <c r="WHD1" s="405"/>
      <c r="WHE1" s="408" t="s">
        <v>41</v>
      </c>
      <c r="WHF1" s="404"/>
      <c r="WHG1" s="404"/>
      <c r="WHH1" s="404"/>
      <c r="WHI1" s="404"/>
      <c r="WHJ1" s="404"/>
      <c r="WHK1" s="404"/>
      <c r="WHL1" s="405"/>
      <c r="WHM1" s="408" t="s">
        <v>41</v>
      </c>
      <c r="WHN1" s="404"/>
      <c r="WHO1" s="404"/>
      <c r="WHP1" s="404"/>
      <c r="WHQ1" s="404"/>
      <c r="WHR1" s="404"/>
      <c r="WHS1" s="404"/>
      <c r="WHT1" s="405"/>
      <c r="WHU1" s="408" t="s">
        <v>41</v>
      </c>
      <c r="WHV1" s="404"/>
      <c r="WHW1" s="404"/>
      <c r="WHX1" s="404"/>
      <c r="WHY1" s="404"/>
      <c r="WHZ1" s="404"/>
      <c r="WIA1" s="404"/>
      <c r="WIB1" s="405"/>
      <c r="WIC1" s="408" t="s">
        <v>41</v>
      </c>
      <c r="WID1" s="404"/>
      <c r="WIE1" s="404"/>
      <c r="WIF1" s="404"/>
      <c r="WIG1" s="404"/>
      <c r="WIH1" s="404"/>
      <c r="WII1" s="404"/>
      <c r="WIJ1" s="405"/>
      <c r="WIK1" s="408" t="s">
        <v>41</v>
      </c>
      <c r="WIL1" s="404"/>
      <c r="WIM1" s="404"/>
      <c r="WIN1" s="404"/>
      <c r="WIO1" s="404"/>
      <c r="WIP1" s="404"/>
      <c r="WIQ1" s="404"/>
      <c r="WIR1" s="405"/>
      <c r="WIS1" s="408" t="s">
        <v>41</v>
      </c>
      <c r="WIT1" s="404"/>
      <c r="WIU1" s="404"/>
      <c r="WIV1" s="404"/>
      <c r="WIW1" s="404"/>
      <c r="WIX1" s="404"/>
      <c r="WIY1" s="404"/>
      <c r="WIZ1" s="405"/>
      <c r="WJA1" s="408" t="s">
        <v>41</v>
      </c>
      <c r="WJB1" s="404"/>
      <c r="WJC1" s="404"/>
      <c r="WJD1" s="404"/>
      <c r="WJE1" s="404"/>
      <c r="WJF1" s="404"/>
      <c r="WJG1" s="404"/>
      <c r="WJH1" s="405"/>
      <c r="WJI1" s="408" t="s">
        <v>41</v>
      </c>
      <c r="WJJ1" s="404"/>
      <c r="WJK1" s="404"/>
      <c r="WJL1" s="404"/>
      <c r="WJM1" s="404"/>
      <c r="WJN1" s="404"/>
      <c r="WJO1" s="404"/>
      <c r="WJP1" s="405"/>
      <c r="WJQ1" s="408" t="s">
        <v>41</v>
      </c>
      <c r="WJR1" s="404"/>
      <c r="WJS1" s="404"/>
      <c r="WJT1" s="404"/>
      <c r="WJU1" s="404"/>
      <c r="WJV1" s="404"/>
      <c r="WJW1" s="404"/>
      <c r="WJX1" s="405"/>
      <c r="WJY1" s="408" t="s">
        <v>41</v>
      </c>
      <c r="WJZ1" s="404"/>
      <c r="WKA1" s="404"/>
      <c r="WKB1" s="404"/>
      <c r="WKC1" s="404"/>
      <c r="WKD1" s="404"/>
      <c r="WKE1" s="404"/>
      <c r="WKF1" s="405"/>
      <c r="WKG1" s="408" t="s">
        <v>41</v>
      </c>
      <c r="WKH1" s="404"/>
      <c r="WKI1" s="404"/>
      <c r="WKJ1" s="404"/>
      <c r="WKK1" s="404"/>
      <c r="WKL1" s="404"/>
      <c r="WKM1" s="404"/>
      <c r="WKN1" s="405"/>
      <c r="WKO1" s="408" t="s">
        <v>41</v>
      </c>
      <c r="WKP1" s="404"/>
      <c r="WKQ1" s="404"/>
      <c r="WKR1" s="404"/>
      <c r="WKS1" s="404"/>
      <c r="WKT1" s="404"/>
      <c r="WKU1" s="404"/>
      <c r="WKV1" s="405"/>
      <c r="WKW1" s="408" t="s">
        <v>41</v>
      </c>
      <c r="WKX1" s="404"/>
      <c r="WKY1" s="404"/>
      <c r="WKZ1" s="404"/>
      <c r="WLA1" s="404"/>
      <c r="WLB1" s="404"/>
      <c r="WLC1" s="404"/>
      <c r="WLD1" s="405"/>
      <c r="WLE1" s="408" t="s">
        <v>41</v>
      </c>
      <c r="WLF1" s="404"/>
      <c r="WLG1" s="404"/>
      <c r="WLH1" s="404"/>
      <c r="WLI1" s="404"/>
      <c r="WLJ1" s="404"/>
      <c r="WLK1" s="404"/>
      <c r="WLL1" s="405"/>
      <c r="WLM1" s="408" t="s">
        <v>41</v>
      </c>
      <c r="WLN1" s="404"/>
      <c r="WLO1" s="404"/>
      <c r="WLP1" s="404"/>
      <c r="WLQ1" s="404"/>
      <c r="WLR1" s="404"/>
      <c r="WLS1" s="404"/>
      <c r="WLT1" s="405"/>
      <c r="WLU1" s="408" t="s">
        <v>41</v>
      </c>
      <c r="WLV1" s="404"/>
      <c r="WLW1" s="404"/>
      <c r="WLX1" s="404"/>
      <c r="WLY1" s="404"/>
      <c r="WLZ1" s="404"/>
      <c r="WMA1" s="404"/>
      <c r="WMB1" s="405"/>
      <c r="WMC1" s="408" t="s">
        <v>41</v>
      </c>
      <c r="WMD1" s="404"/>
      <c r="WME1" s="404"/>
      <c r="WMF1" s="404"/>
      <c r="WMG1" s="404"/>
      <c r="WMH1" s="404"/>
      <c r="WMI1" s="404"/>
      <c r="WMJ1" s="405"/>
      <c r="WMK1" s="408" t="s">
        <v>41</v>
      </c>
      <c r="WML1" s="404"/>
      <c r="WMM1" s="404"/>
      <c r="WMN1" s="404"/>
      <c r="WMO1" s="404"/>
      <c r="WMP1" s="404"/>
      <c r="WMQ1" s="404"/>
      <c r="WMR1" s="405"/>
      <c r="WMS1" s="408" t="s">
        <v>41</v>
      </c>
      <c r="WMT1" s="404"/>
      <c r="WMU1" s="404"/>
      <c r="WMV1" s="404"/>
      <c r="WMW1" s="404"/>
      <c r="WMX1" s="404"/>
      <c r="WMY1" s="404"/>
      <c r="WMZ1" s="405"/>
      <c r="WNA1" s="408" t="s">
        <v>41</v>
      </c>
      <c r="WNB1" s="404"/>
      <c r="WNC1" s="404"/>
      <c r="WND1" s="404"/>
      <c r="WNE1" s="404"/>
      <c r="WNF1" s="404"/>
      <c r="WNG1" s="404"/>
      <c r="WNH1" s="405"/>
      <c r="WNI1" s="408" t="s">
        <v>41</v>
      </c>
      <c r="WNJ1" s="404"/>
      <c r="WNK1" s="404"/>
      <c r="WNL1" s="404"/>
      <c r="WNM1" s="404"/>
      <c r="WNN1" s="404"/>
      <c r="WNO1" s="404"/>
      <c r="WNP1" s="405"/>
      <c r="WNQ1" s="408" t="s">
        <v>41</v>
      </c>
      <c r="WNR1" s="404"/>
      <c r="WNS1" s="404"/>
      <c r="WNT1" s="404"/>
      <c r="WNU1" s="404"/>
      <c r="WNV1" s="404"/>
      <c r="WNW1" s="404"/>
      <c r="WNX1" s="405"/>
      <c r="WNY1" s="408" t="s">
        <v>41</v>
      </c>
      <c r="WNZ1" s="404"/>
      <c r="WOA1" s="404"/>
      <c r="WOB1" s="404"/>
      <c r="WOC1" s="404"/>
      <c r="WOD1" s="404"/>
      <c r="WOE1" s="404"/>
      <c r="WOF1" s="405"/>
      <c r="WOG1" s="408" t="s">
        <v>41</v>
      </c>
      <c r="WOH1" s="404"/>
      <c r="WOI1" s="404"/>
      <c r="WOJ1" s="404"/>
      <c r="WOK1" s="404"/>
      <c r="WOL1" s="404"/>
      <c r="WOM1" s="404"/>
      <c r="WON1" s="405"/>
      <c r="WOO1" s="408" t="s">
        <v>41</v>
      </c>
      <c r="WOP1" s="404"/>
      <c r="WOQ1" s="404"/>
      <c r="WOR1" s="404"/>
      <c r="WOS1" s="404"/>
      <c r="WOT1" s="404"/>
      <c r="WOU1" s="404"/>
      <c r="WOV1" s="405"/>
      <c r="WOW1" s="408" t="s">
        <v>41</v>
      </c>
      <c r="WOX1" s="404"/>
      <c r="WOY1" s="404"/>
      <c r="WOZ1" s="404"/>
      <c r="WPA1" s="404"/>
      <c r="WPB1" s="404"/>
      <c r="WPC1" s="404"/>
      <c r="WPD1" s="405"/>
      <c r="WPE1" s="408" t="s">
        <v>41</v>
      </c>
      <c r="WPF1" s="404"/>
      <c r="WPG1" s="404"/>
      <c r="WPH1" s="404"/>
      <c r="WPI1" s="404"/>
      <c r="WPJ1" s="404"/>
      <c r="WPK1" s="404"/>
      <c r="WPL1" s="405"/>
      <c r="WPM1" s="408" t="s">
        <v>41</v>
      </c>
      <c r="WPN1" s="404"/>
      <c r="WPO1" s="404"/>
      <c r="WPP1" s="404"/>
      <c r="WPQ1" s="404"/>
      <c r="WPR1" s="404"/>
      <c r="WPS1" s="404"/>
      <c r="WPT1" s="405"/>
      <c r="WPU1" s="408" t="s">
        <v>41</v>
      </c>
      <c r="WPV1" s="404"/>
      <c r="WPW1" s="404"/>
      <c r="WPX1" s="404"/>
      <c r="WPY1" s="404"/>
      <c r="WPZ1" s="404"/>
      <c r="WQA1" s="404"/>
      <c r="WQB1" s="405"/>
      <c r="WQC1" s="408" t="s">
        <v>41</v>
      </c>
      <c r="WQD1" s="404"/>
      <c r="WQE1" s="404"/>
      <c r="WQF1" s="404"/>
      <c r="WQG1" s="404"/>
      <c r="WQH1" s="404"/>
      <c r="WQI1" s="404"/>
      <c r="WQJ1" s="405"/>
      <c r="WQK1" s="408" t="s">
        <v>41</v>
      </c>
      <c r="WQL1" s="404"/>
      <c r="WQM1" s="404"/>
      <c r="WQN1" s="404"/>
      <c r="WQO1" s="404"/>
      <c r="WQP1" s="404"/>
      <c r="WQQ1" s="404"/>
      <c r="WQR1" s="405"/>
      <c r="WQS1" s="408" t="s">
        <v>41</v>
      </c>
      <c r="WQT1" s="404"/>
      <c r="WQU1" s="404"/>
      <c r="WQV1" s="404"/>
      <c r="WQW1" s="404"/>
      <c r="WQX1" s="404"/>
      <c r="WQY1" s="404"/>
      <c r="WQZ1" s="405"/>
      <c r="WRA1" s="408" t="s">
        <v>41</v>
      </c>
      <c r="WRB1" s="404"/>
      <c r="WRC1" s="404"/>
      <c r="WRD1" s="404"/>
      <c r="WRE1" s="404"/>
      <c r="WRF1" s="404"/>
      <c r="WRG1" s="404"/>
      <c r="WRH1" s="405"/>
      <c r="WRI1" s="408" t="s">
        <v>41</v>
      </c>
      <c r="WRJ1" s="404"/>
      <c r="WRK1" s="404"/>
      <c r="WRL1" s="404"/>
      <c r="WRM1" s="404"/>
      <c r="WRN1" s="404"/>
      <c r="WRO1" s="404"/>
      <c r="WRP1" s="405"/>
      <c r="WRQ1" s="408" t="s">
        <v>41</v>
      </c>
      <c r="WRR1" s="404"/>
      <c r="WRS1" s="404"/>
      <c r="WRT1" s="404"/>
      <c r="WRU1" s="404"/>
      <c r="WRV1" s="404"/>
      <c r="WRW1" s="404"/>
      <c r="WRX1" s="405"/>
      <c r="WRY1" s="408" t="s">
        <v>41</v>
      </c>
      <c r="WRZ1" s="404"/>
      <c r="WSA1" s="404"/>
      <c r="WSB1" s="404"/>
      <c r="WSC1" s="404"/>
      <c r="WSD1" s="404"/>
      <c r="WSE1" s="404"/>
      <c r="WSF1" s="405"/>
      <c r="WSG1" s="408" t="s">
        <v>41</v>
      </c>
      <c r="WSH1" s="404"/>
      <c r="WSI1" s="404"/>
      <c r="WSJ1" s="404"/>
      <c r="WSK1" s="404"/>
      <c r="WSL1" s="404"/>
      <c r="WSM1" s="404"/>
      <c r="WSN1" s="405"/>
      <c r="WSO1" s="408" t="s">
        <v>41</v>
      </c>
      <c r="WSP1" s="404"/>
      <c r="WSQ1" s="404"/>
      <c r="WSR1" s="404"/>
      <c r="WSS1" s="404"/>
      <c r="WST1" s="404"/>
      <c r="WSU1" s="404"/>
      <c r="WSV1" s="405"/>
      <c r="WSW1" s="408" t="s">
        <v>41</v>
      </c>
      <c r="WSX1" s="404"/>
      <c r="WSY1" s="404"/>
      <c r="WSZ1" s="404"/>
      <c r="WTA1" s="404"/>
      <c r="WTB1" s="404"/>
      <c r="WTC1" s="404"/>
      <c r="WTD1" s="405"/>
      <c r="WTE1" s="408" t="s">
        <v>41</v>
      </c>
      <c r="WTF1" s="404"/>
      <c r="WTG1" s="404"/>
      <c r="WTH1" s="404"/>
      <c r="WTI1" s="404"/>
      <c r="WTJ1" s="404"/>
      <c r="WTK1" s="404"/>
      <c r="WTL1" s="405"/>
      <c r="WTM1" s="408" t="s">
        <v>41</v>
      </c>
      <c r="WTN1" s="404"/>
      <c r="WTO1" s="404"/>
      <c r="WTP1" s="404"/>
      <c r="WTQ1" s="404"/>
      <c r="WTR1" s="404"/>
      <c r="WTS1" s="404"/>
      <c r="WTT1" s="405"/>
      <c r="WTU1" s="408" t="s">
        <v>41</v>
      </c>
      <c r="WTV1" s="404"/>
      <c r="WTW1" s="404"/>
      <c r="WTX1" s="404"/>
      <c r="WTY1" s="404"/>
      <c r="WTZ1" s="404"/>
      <c r="WUA1" s="404"/>
      <c r="WUB1" s="405"/>
      <c r="WUC1" s="408" t="s">
        <v>41</v>
      </c>
      <c r="WUD1" s="404"/>
      <c r="WUE1" s="404"/>
      <c r="WUF1" s="404"/>
      <c r="WUG1" s="404"/>
      <c r="WUH1" s="404"/>
      <c r="WUI1" s="404"/>
      <c r="WUJ1" s="405"/>
      <c r="WUK1" s="408" t="s">
        <v>41</v>
      </c>
      <c r="WUL1" s="404"/>
      <c r="WUM1" s="404"/>
      <c r="WUN1" s="404"/>
      <c r="WUO1" s="404"/>
      <c r="WUP1" s="404"/>
      <c r="WUQ1" s="404"/>
      <c r="WUR1" s="405"/>
      <c r="WUS1" s="408" t="s">
        <v>41</v>
      </c>
      <c r="WUT1" s="404"/>
      <c r="WUU1" s="404"/>
      <c r="WUV1" s="404"/>
      <c r="WUW1" s="404"/>
      <c r="WUX1" s="404"/>
      <c r="WUY1" s="404"/>
      <c r="WUZ1" s="405"/>
      <c r="WVA1" s="408" t="s">
        <v>41</v>
      </c>
      <c r="WVB1" s="404"/>
      <c r="WVC1" s="404"/>
      <c r="WVD1" s="404"/>
      <c r="WVE1" s="404"/>
      <c r="WVF1" s="404"/>
      <c r="WVG1" s="404"/>
      <c r="WVH1" s="405"/>
      <c r="WVI1" s="408" t="s">
        <v>41</v>
      </c>
      <c r="WVJ1" s="404"/>
      <c r="WVK1" s="404"/>
      <c r="WVL1" s="404"/>
      <c r="WVM1" s="404"/>
      <c r="WVN1" s="404"/>
      <c r="WVO1" s="404"/>
      <c r="WVP1" s="405"/>
      <c r="WVQ1" s="408" t="s">
        <v>41</v>
      </c>
      <c r="WVR1" s="404"/>
      <c r="WVS1" s="404"/>
      <c r="WVT1" s="404"/>
      <c r="WVU1" s="404"/>
      <c r="WVV1" s="404"/>
      <c r="WVW1" s="404"/>
      <c r="WVX1" s="405"/>
      <c r="WVY1" s="408" t="s">
        <v>41</v>
      </c>
      <c r="WVZ1" s="404"/>
      <c r="WWA1" s="404"/>
      <c r="WWB1" s="404"/>
      <c r="WWC1" s="404"/>
      <c r="WWD1" s="404"/>
      <c r="WWE1" s="404"/>
      <c r="WWF1" s="405"/>
      <c r="WWG1" s="408" t="s">
        <v>41</v>
      </c>
      <c r="WWH1" s="404"/>
      <c r="WWI1" s="404"/>
      <c r="WWJ1" s="404"/>
      <c r="WWK1" s="404"/>
      <c r="WWL1" s="404"/>
      <c r="WWM1" s="404"/>
      <c r="WWN1" s="405"/>
      <c r="WWO1" s="408" t="s">
        <v>41</v>
      </c>
      <c r="WWP1" s="404"/>
      <c r="WWQ1" s="404"/>
      <c r="WWR1" s="404"/>
      <c r="WWS1" s="404"/>
      <c r="WWT1" s="404"/>
      <c r="WWU1" s="404"/>
      <c r="WWV1" s="405"/>
      <c r="WWW1" s="408" t="s">
        <v>41</v>
      </c>
      <c r="WWX1" s="404"/>
      <c r="WWY1" s="404"/>
      <c r="WWZ1" s="404"/>
      <c r="WXA1" s="404"/>
      <c r="WXB1" s="404"/>
      <c r="WXC1" s="404"/>
      <c r="WXD1" s="405"/>
      <c r="WXE1" s="408" t="s">
        <v>41</v>
      </c>
      <c r="WXF1" s="404"/>
      <c r="WXG1" s="404"/>
      <c r="WXH1" s="404"/>
      <c r="WXI1" s="404"/>
      <c r="WXJ1" s="404"/>
      <c r="WXK1" s="404"/>
      <c r="WXL1" s="405"/>
      <c r="WXM1" s="408" t="s">
        <v>41</v>
      </c>
      <c r="WXN1" s="404"/>
      <c r="WXO1" s="404"/>
      <c r="WXP1" s="404"/>
      <c r="WXQ1" s="404"/>
      <c r="WXR1" s="404"/>
      <c r="WXS1" s="404"/>
      <c r="WXT1" s="405"/>
      <c r="WXU1" s="408" t="s">
        <v>41</v>
      </c>
      <c r="WXV1" s="404"/>
      <c r="WXW1" s="404"/>
      <c r="WXX1" s="404"/>
      <c r="WXY1" s="404"/>
      <c r="WXZ1" s="404"/>
      <c r="WYA1" s="404"/>
      <c r="WYB1" s="405"/>
      <c r="WYC1" s="408" t="s">
        <v>41</v>
      </c>
      <c r="WYD1" s="404"/>
      <c r="WYE1" s="404"/>
      <c r="WYF1" s="404"/>
      <c r="WYG1" s="404"/>
      <c r="WYH1" s="404"/>
      <c r="WYI1" s="404"/>
      <c r="WYJ1" s="405"/>
      <c r="WYK1" s="408" t="s">
        <v>41</v>
      </c>
      <c r="WYL1" s="404"/>
      <c r="WYM1" s="404"/>
      <c r="WYN1" s="404"/>
      <c r="WYO1" s="404"/>
      <c r="WYP1" s="404"/>
      <c r="WYQ1" s="404"/>
      <c r="WYR1" s="405"/>
      <c r="WYS1" s="408" t="s">
        <v>41</v>
      </c>
      <c r="WYT1" s="404"/>
      <c r="WYU1" s="404"/>
      <c r="WYV1" s="404"/>
      <c r="WYW1" s="404"/>
      <c r="WYX1" s="404"/>
      <c r="WYY1" s="404"/>
      <c r="WYZ1" s="405"/>
      <c r="WZA1" s="408" t="s">
        <v>41</v>
      </c>
      <c r="WZB1" s="404"/>
      <c r="WZC1" s="404"/>
      <c r="WZD1" s="404"/>
      <c r="WZE1" s="404"/>
      <c r="WZF1" s="404"/>
      <c r="WZG1" s="404"/>
      <c r="WZH1" s="405"/>
      <c r="WZI1" s="408" t="s">
        <v>41</v>
      </c>
      <c r="WZJ1" s="404"/>
      <c r="WZK1" s="404"/>
      <c r="WZL1" s="404"/>
      <c r="WZM1" s="404"/>
      <c r="WZN1" s="404"/>
      <c r="WZO1" s="404"/>
      <c r="WZP1" s="405"/>
      <c r="WZQ1" s="408" t="s">
        <v>41</v>
      </c>
      <c r="WZR1" s="404"/>
      <c r="WZS1" s="404"/>
      <c r="WZT1" s="404"/>
      <c r="WZU1" s="404"/>
      <c r="WZV1" s="404"/>
      <c r="WZW1" s="404"/>
      <c r="WZX1" s="405"/>
      <c r="WZY1" s="408" t="s">
        <v>41</v>
      </c>
      <c r="WZZ1" s="404"/>
      <c r="XAA1" s="404"/>
      <c r="XAB1" s="404"/>
      <c r="XAC1" s="404"/>
      <c r="XAD1" s="404"/>
      <c r="XAE1" s="404"/>
      <c r="XAF1" s="405"/>
      <c r="XAG1" s="408" t="s">
        <v>41</v>
      </c>
      <c r="XAH1" s="404"/>
      <c r="XAI1" s="404"/>
      <c r="XAJ1" s="404"/>
      <c r="XAK1" s="404"/>
      <c r="XAL1" s="404"/>
      <c r="XAM1" s="404"/>
      <c r="XAN1" s="405"/>
      <c r="XAO1" s="408" t="s">
        <v>41</v>
      </c>
      <c r="XAP1" s="404"/>
      <c r="XAQ1" s="404"/>
      <c r="XAR1" s="404"/>
      <c r="XAS1" s="404"/>
      <c r="XAT1" s="404"/>
      <c r="XAU1" s="404"/>
      <c r="XAV1" s="405"/>
      <c r="XAW1" s="408" t="s">
        <v>41</v>
      </c>
      <c r="XAX1" s="404"/>
      <c r="XAY1" s="404"/>
      <c r="XAZ1" s="404"/>
      <c r="XBA1" s="404"/>
      <c r="XBB1" s="404"/>
      <c r="XBC1" s="404"/>
      <c r="XBD1" s="405"/>
      <c r="XBE1" s="408" t="s">
        <v>41</v>
      </c>
      <c r="XBF1" s="404"/>
      <c r="XBG1" s="404"/>
      <c r="XBH1" s="404"/>
      <c r="XBI1" s="404"/>
      <c r="XBJ1" s="404"/>
      <c r="XBK1" s="404"/>
      <c r="XBL1" s="405"/>
      <c r="XBM1" s="408" t="s">
        <v>41</v>
      </c>
      <c r="XBN1" s="404"/>
      <c r="XBO1" s="404"/>
      <c r="XBP1" s="404"/>
      <c r="XBQ1" s="404"/>
      <c r="XBR1" s="404"/>
      <c r="XBS1" s="404"/>
      <c r="XBT1" s="405"/>
      <c r="XBU1" s="408" t="s">
        <v>41</v>
      </c>
      <c r="XBV1" s="404"/>
      <c r="XBW1" s="404"/>
      <c r="XBX1" s="404"/>
      <c r="XBY1" s="404"/>
      <c r="XBZ1" s="404"/>
      <c r="XCA1" s="404"/>
      <c r="XCB1" s="405"/>
      <c r="XCC1" s="408" t="s">
        <v>41</v>
      </c>
      <c r="XCD1" s="404"/>
      <c r="XCE1" s="404"/>
      <c r="XCF1" s="404"/>
      <c r="XCG1" s="404"/>
      <c r="XCH1" s="404"/>
      <c r="XCI1" s="404"/>
      <c r="XCJ1" s="405"/>
      <c r="XCK1" s="408" t="s">
        <v>41</v>
      </c>
      <c r="XCL1" s="404"/>
      <c r="XCM1" s="404"/>
      <c r="XCN1" s="404"/>
      <c r="XCO1" s="404"/>
      <c r="XCP1" s="404"/>
      <c r="XCQ1" s="404"/>
      <c r="XCR1" s="405"/>
      <c r="XCS1" s="408" t="s">
        <v>41</v>
      </c>
      <c r="XCT1" s="404"/>
      <c r="XCU1" s="404"/>
      <c r="XCV1" s="404"/>
      <c r="XCW1" s="404"/>
      <c r="XCX1" s="404"/>
      <c r="XCY1" s="404"/>
      <c r="XCZ1" s="405"/>
      <c r="XDA1" s="408" t="s">
        <v>41</v>
      </c>
      <c r="XDB1" s="404"/>
      <c r="XDC1" s="404"/>
      <c r="XDD1" s="404"/>
      <c r="XDE1" s="404"/>
      <c r="XDF1" s="404"/>
      <c r="XDG1" s="404"/>
      <c r="XDH1" s="405"/>
      <c r="XDI1" s="408" t="s">
        <v>41</v>
      </c>
      <c r="XDJ1" s="404"/>
      <c r="XDK1" s="404"/>
      <c r="XDL1" s="404"/>
      <c r="XDM1" s="404"/>
      <c r="XDN1" s="404"/>
      <c r="XDO1" s="404"/>
      <c r="XDP1" s="405"/>
      <c r="XDQ1" s="408" t="s">
        <v>41</v>
      </c>
      <c r="XDR1" s="404"/>
      <c r="XDS1" s="404"/>
      <c r="XDT1" s="404"/>
      <c r="XDU1" s="404"/>
      <c r="XDV1" s="404"/>
      <c r="XDW1" s="404"/>
      <c r="XDX1" s="405"/>
      <c r="XDY1" s="408" t="s">
        <v>41</v>
      </c>
      <c r="XDZ1" s="404"/>
      <c r="XEA1" s="404"/>
      <c r="XEB1" s="404"/>
      <c r="XEC1" s="404"/>
      <c r="XED1" s="404"/>
      <c r="XEE1" s="404"/>
      <c r="XEF1" s="405"/>
      <c r="XEG1" s="408" t="s">
        <v>41</v>
      </c>
      <c r="XEH1" s="404"/>
      <c r="XEI1" s="404"/>
      <c r="XEJ1" s="404"/>
      <c r="XEK1" s="404"/>
      <c r="XEL1" s="404"/>
      <c r="XEM1" s="404"/>
      <c r="XEN1" s="405"/>
      <c r="XEO1" s="408" t="s">
        <v>41</v>
      </c>
      <c r="XEP1" s="404"/>
      <c r="XEQ1" s="404"/>
      <c r="XER1" s="404"/>
      <c r="XES1" s="404"/>
      <c r="XET1" s="404"/>
      <c r="XEU1" s="404"/>
      <c r="XEV1" s="405"/>
      <c r="XEW1" s="408" t="s">
        <v>41</v>
      </c>
      <c r="XEX1" s="404"/>
      <c r="XEY1" s="404"/>
      <c r="XEZ1" s="404"/>
      <c r="XFA1" s="404"/>
      <c r="XFB1" s="404"/>
      <c r="XFC1" s="404"/>
      <c r="XFD1" s="405"/>
    </row>
    <row r="2" spans="1:16384" s="85" customFormat="1" ht="17.25" customHeight="1">
      <c r="A2" s="81" t="s">
        <v>64</v>
      </c>
      <c r="B2" s="81">
        <v>2019</v>
      </c>
      <c r="C2" s="81">
        <v>2020</v>
      </c>
      <c r="D2" s="81">
        <v>2021</v>
      </c>
      <c r="E2" s="81">
        <v>2022</v>
      </c>
      <c r="F2" s="81">
        <v>2023</v>
      </c>
      <c r="G2" s="81">
        <v>2024</v>
      </c>
      <c r="H2" s="81">
        <v>2025</v>
      </c>
      <c r="I2" s="82">
        <v>2026</v>
      </c>
      <c r="J2" s="83">
        <v>2027</v>
      </c>
      <c r="K2" s="83">
        <v>2028</v>
      </c>
      <c r="L2" s="83">
        <v>2029</v>
      </c>
      <c r="M2" s="83">
        <v>2030</v>
      </c>
      <c r="N2" s="84"/>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row>
    <row r="3" spans="1:16384" s="80" customFormat="1" ht="14.25" customHeight="1">
      <c r="A3" s="87" t="s">
        <v>65</v>
      </c>
      <c r="I3" s="88"/>
      <c r="J3" s="89"/>
      <c r="K3" s="89"/>
      <c r="L3" s="89"/>
      <c r="M3" s="89"/>
      <c r="N3" s="79"/>
    </row>
    <row r="4" spans="1:16384" s="80" customFormat="1" ht="14.25" customHeight="1">
      <c r="A4" s="90" t="s">
        <v>66</v>
      </c>
      <c r="I4" s="88"/>
      <c r="J4" s="89"/>
      <c r="K4" s="89"/>
      <c r="L4" s="89"/>
      <c r="M4" s="89"/>
      <c r="N4" s="79"/>
    </row>
    <row r="5" spans="1:16384" s="80" customFormat="1" ht="14.25" customHeight="1">
      <c r="A5" s="80" t="s">
        <v>67</v>
      </c>
      <c r="B5" s="80">
        <v>18162978</v>
      </c>
      <c r="C5" s="80">
        <v>19221050</v>
      </c>
      <c r="D5" s="80">
        <v>18869754</v>
      </c>
      <c r="E5" s="80">
        <v>20574458</v>
      </c>
      <c r="F5" s="80">
        <v>22996451</v>
      </c>
      <c r="G5" s="80">
        <v>27161069</v>
      </c>
      <c r="H5" s="80">
        <v>29197945</v>
      </c>
      <c r="I5" s="88">
        <f>CapEx!I7</f>
        <v>31368113.549999997</v>
      </c>
      <c r="J5" s="89">
        <f>CapEx!J7</f>
        <v>33455503.406320985</v>
      </c>
      <c r="K5" s="89">
        <f>CapEx!K7</f>
        <v>35471083.40042001</v>
      </c>
      <c r="L5" s="89">
        <f>CapEx!L7</f>
        <v>37424856.026788667</v>
      </c>
      <c r="M5" s="89">
        <f>CapEx!M7</f>
        <v>39325951.320137709</v>
      </c>
      <c r="N5" s="79"/>
    </row>
    <row r="6" spans="1:16384" s="80" customFormat="1" ht="14.25" customHeight="1">
      <c r="A6" s="80" t="s">
        <v>68</v>
      </c>
      <c r="B6" s="80">
        <v>331261</v>
      </c>
      <c r="C6" s="80">
        <v>486870</v>
      </c>
      <c r="D6" s="80">
        <v>486870</v>
      </c>
      <c r="E6" s="80">
        <v>647100</v>
      </c>
      <c r="F6" s="80">
        <v>810200</v>
      </c>
      <c r="G6" s="80">
        <v>815200</v>
      </c>
      <c r="H6" s="80">
        <v>861000</v>
      </c>
      <c r="I6" s="88">
        <f t="shared" ref="I6:M6" si="0">H6*(1+I7)</f>
        <v>951233.21459722321</v>
      </c>
      <c r="J6" s="89">
        <f t="shared" si="0"/>
        <v>1050922.913534224</v>
      </c>
      <c r="K6" s="89">
        <f t="shared" si="0"/>
        <v>1161060.1409233909</v>
      </c>
      <c r="L6" s="89">
        <f t="shared" si="0"/>
        <v>1282739.8027773078</v>
      </c>
      <c r="M6" s="89">
        <f t="shared" si="0"/>
        <v>1417171.5517859077</v>
      </c>
      <c r="N6" s="79"/>
    </row>
    <row r="7" spans="1:16384" s="80" customFormat="1" ht="14.25" customHeight="1">
      <c r="A7" s="91" t="s">
        <v>69</v>
      </c>
      <c r="C7" s="40">
        <f t="shared" ref="C7:H7" si="1">C6/B6-1</f>
        <v>0.46974741970832667</v>
      </c>
      <c r="D7" s="40">
        <f t="shared" si="1"/>
        <v>0</v>
      </c>
      <c r="E7" s="40">
        <f t="shared" si="1"/>
        <v>0.32910222441308767</v>
      </c>
      <c r="F7" s="40">
        <f t="shared" si="1"/>
        <v>0.25204759697110179</v>
      </c>
      <c r="G7" s="40">
        <f t="shared" si="1"/>
        <v>6.1713157245124606E-3</v>
      </c>
      <c r="H7" s="40">
        <f t="shared" si="1"/>
        <v>5.6182531894013676E-2</v>
      </c>
      <c r="I7" s="92">
        <f>AVERAGE(F7:H7)</f>
        <v>0.10480048152987598</v>
      </c>
      <c r="J7" s="93">
        <f t="shared" ref="J7:M7" si="2">I7</f>
        <v>0.10480048152987598</v>
      </c>
      <c r="K7" s="93">
        <f t="shared" si="2"/>
        <v>0.10480048152987598</v>
      </c>
      <c r="L7" s="93">
        <f t="shared" si="2"/>
        <v>0.10480048152987598</v>
      </c>
      <c r="M7" s="93">
        <f t="shared" si="2"/>
        <v>0.10480048152987598</v>
      </c>
      <c r="N7" s="79"/>
    </row>
    <row r="8" spans="1:16384" s="80" customFormat="1" ht="14.25" customHeight="1">
      <c r="A8" s="80" t="s">
        <v>70</v>
      </c>
      <c r="B8" s="80">
        <v>2442755</v>
      </c>
      <c r="C8" s="80">
        <v>1706873</v>
      </c>
      <c r="D8" s="80">
        <v>1289652</v>
      </c>
      <c r="E8" s="80">
        <v>819545</v>
      </c>
      <c r="F8" s="80">
        <v>458843</v>
      </c>
      <c r="G8" s="80">
        <v>768925</v>
      </c>
      <c r="H8" s="80">
        <v>212229</v>
      </c>
      <c r="I8" s="88">
        <f>CapEx!I15</f>
        <v>239963.20656000002</v>
      </c>
      <c r="J8" s="89">
        <f>CapEx!J15</f>
        <v>270668.40247920004</v>
      </c>
      <c r="K8" s="89">
        <f>CapEx!K15</f>
        <v>304786.96404890402</v>
      </c>
      <c r="L8" s="89">
        <f>CapEx!L15</f>
        <v>342799.34637412254</v>
      </c>
      <c r="M8" s="89">
        <f>CapEx!M15</f>
        <v>385231.97887532576</v>
      </c>
      <c r="N8" s="79"/>
    </row>
    <row r="9" spans="1:16384" s="80" customFormat="1" ht="14.25" customHeight="1">
      <c r="A9" s="80" t="s">
        <v>71</v>
      </c>
      <c r="B9" s="80" t="s">
        <v>5</v>
      </c>
      <c r="C9" s="80">
        <v>304355</v>
      </c>
      <c r="D9" s="80">
        <v>239149</v>
      </c>
      <c r="E9" s="80">
        <v>207281</v>
      </c>
      <c r="F9" s="80">
        <v>209947</v>
      </c>
      <c r="G9" s="80">
        <v>223969</v>
      </c>
      <c r="H9" s="80">
        <v>768078</v>
      </c>
      <c r="I9" s="88">
        <f>CapEx!I23</f>
        <v>663526.44832880842</v>
      </c>
      <c r="J9" s="89">
        <f>CapEx!J23</f>
        <v>590520.29646517651</v>
      </c>
      <c r="K9" s="89">
        <f>CapEx!K23</f>
        <v>542997.12128406647</v>
      </c>
      <c r="L9" s="89">
        <f>CapEx!L23</f>
        <v>516371.69767311856</v>
      </c>
      <c r="M9" s="89">
        <f>CapEx!M23</f>
        <v>507220.463932377</v>
      </c>
      <c r="N9" s="79"/>
    </row>
    <row r="10" spans="1:16384" s="80" customFormat="1" ht="14.25" customHeight="1">
      <c r="A10" s="80" t="s">
        <v>72</v>
      </c>
      <c r="B10" s="80">
        <v>13496</v>
      </c>
      <c r="C10" s="80">
        <v>8691</v>
      </c>
      <c r="D10" s="80">
        <v>23860</v>
      </c>
      <c r="E10" s="80">
        <v>1548</v>
      </c>
      <c r="F10" s="80">
        <v>26378</v>
      </c>
      <c r="G10" s="80">
        <v>46716</v>
      </c>
      <c r="H10" s="80">
        <v>171724</v>
      </c>
      <c r="I10" s="88">
        <f t="shared" ref="I10:M10" si="3">H10</f>
        <v>171724</v>
      </c>
      <c r="J10" s="89">
        <f t="shared" si="3"/>
        <v>171724</v>
      </c>
      <c r="K10" s="89">
        <f t="shared" si="3"/>
        <v>171724</v>
      </c>
      <c r="L10" s="89">
        <f t="shared" si="3"/>
        <v>171724</v>
      </c>
      <c r="M10" s="89">
        <f t="shared" si="3"/>
        <v>171724</v>
      </c>
      <c r="N10" s="79"/>
    </row>
    <row r="11" spans="1:16384" s="80" customFormat="1" ht="14.25" customHeight="1">
      <c r="A11" s="80" t="s">
        <v>73</v>
      </c>
      <c r="E11" s="80">
        <v>0</v>
      </c>
      <c r="F11" s="80">
        <v>0</v>
      </c>
      <c r="G11" s="80">
        <v>0</v>
      </c>
      <c r="H11" s="80">
        <v>0</v>
      </c>
      <c r="I11" s="88">
        <v>0</v>
      </c>
      <c r="J11" s="89">
        <v>0</v>
      </c>
      <c r="K11" s="89">
        <v>0</v>
      </c>
      <c r="L11" s="89">
        <v>0</v>
      </c>
      <c r="M11" s="89">
        <v>0</v>
      </c>
      <c r="N11" s="79"/>
    </row>
    <row r="12" spans="1:16384" s="87" customFormat="1" ht="14.25" customHeight="1">
      <c r="A12" s="94" t="s">
        <v>74</v>
      </c>
      <c r="B12" s="94">
        <f t="shared" ref="B12:G12" si="4">SUM(B5:B11)</f>
        <v>20950490</v>
      </c>
      <c r="C12" s="94">
        <f t="shared" si="4"/>
        <v>21727839.46974742</v>
      </c>
      <c r="D12" s="94">
        <f t="shared" si="4"/>
        <v>20909285</v>
      </c>
      <c r="E12" s="94">
        <f t="shared" si="4"/>
        <v>22249932.329102226</v>
      </c>
      <c r="F12" s="94">
        <f t="shared" si="4"/>
        <v>24501819.252047598</v>
      </c>
      <c r="G12" s="94">
        <f t="shared" si="4"/>
        <v>29015879.006171316</v>
      </c>
      <c r="H12" s="94">
        <v>1611178</v>
      </c>
      <c r="I12" s="95">
        <f t="shared" ref="I12:M12" si="5">SUM(I5:I11)</f>
        <v>33394560.524286509</v>
      </c>
      <c r="J12" s="96">
        <f t="shared" si="5"/>
        <v>35539339.123600073</v>
      </c>
      <c r="K12" s="96">
        <f t="shared" si="5"/>
        <v>37651651.731476858</v>
      </c>
      <c r="L12" s="96">
        <f t="shared" si="5"/>
        <v>39738490.978413701</v>
      </c>
      <c r="M12" s="96">
        <f t="shared" si="5"/>
        <v>41807299.419531807</v>
      </c>
      <c r="N12" s="97"/>
    </row>
    <row r="13" spans="1:16384" s="80" customFormat="1" ht="14.25" customHeight="1">
      <c r="A13" s="87"/>
      <c r="I13" s="88"/>
      <c r="J13" s="89"/>
      <c r="K13" s="89"/>
      <c r="L13" s="89"/>
      <c r="M13" s="89"/>
      <c r="N13" s="79"/>
    </row>
    <row r="14" spans="1:16384" s="80" customFormat="1" ht="14.25" customHeight="1">
      <c r="A14" s="90" t="s">
        <v>75</v>
      </c>
      <c r="I14" s="88"/>
      <c r="J14" s="89"/>
      <c r="K14" s="89"/>
      <c r="L14" s="89"/>
      <c r="M14" s="89"/>
      <c r="N14" s="79"/>
    </row>
    <row r="15" spans="1:16384" s="80" customFormat="1" ht="14.25" customHeight="1">
      <c r="A15" s="80" t="s">
        <v>76</v>
      </c>
      <c r="B15" s="80">
        <v>2512995</v>
      </c>
      <c r="C15" s="80">
        <v>3043692</v>
      </c>
      <c r="D15" s="80">
        <v>3721062</v>
      </c>
      <c r="E15" s="80">
        <v>4537111</v>
      </c>
      <c r="F15" s="80">
        <v>7451345</v>
      </c>
      <c r="G15" s="80">
        <v>9123121</v>
      </c>
      <c r="H15" s="80">
        <v>8285443</v>
      </c>
      <c r="I15" s="88">
        <f>WC!I6</f>
        <v>9373111.2960648388</v>
      </c>
      <c r="J15" s="89">
        <f>WC!J6</f>
        <v>10510736.936124232</v>
      </c>
      <c r="K15" s="89">
        <f>WC!K6</f>
        <v>11786805.495670494</v>
      </c>
      <c r="L15" s="89">
        <f>WC!L6</f>
        <v>13218219.301444007</v>
      </c>
      <c r="M15" s="89">
        <f>WC!M6</f>
        <v>14823952.335854307</v>
      </c>
      <c r="N15" s="79"/>
    </row>
    <row r="16" spans="1:16384" s="80" customFormat="1" ht="14.25" customHeight="1">
      <c r="A16" s="80" t="s">
        <v>77</v>
      </c>
      <c r="B16" s="80">
        <v>2345704</v>
      </c>
      <c r="C16" s="80">
        <v>1881002</v>
      </c>
      <c r="D16" s="80">
        <v>1796923</v>
      </c>
      <c r="E16" s="80">
        <v>2406133</v>
      </c>
      <c r="F16" s="80">
        <v>5530902</v>
      </c>
      <c r="G16" s="80">
        <v>6022460</v>
      </c>
      <c r="H16" s="80">
        <v>5675836</v>
      </c>
      <c r="I16" s="88">
        <f>WC!I4</f>
        <v>6364524.973309475</v>
      </c>
      <c r="J16" s="89">
        <f>WC!J4</f>
        <v>7136994.9214125108</v>
      </c>
      <c r="K16" s="89">
        <f>WC!K4</f>
        <v>8003470.3059837958</v>
      </c>
      <c r="L16" s="89">
        <f>WC!L4</f>
        <v>8975428.1358038988</v>
      </c>
      <c r="M16" s="89">
        <f>WC!M4</f>
        <v>10065752.114167726</v>
      </c>
      <c r="N16" s="79"/>
    </row>
    <row r="17" spans="1:14" s="80" customFormat="1" ht="14.25" customHeight="1">
      <c r="A17" s="80" t="s">
        <v>78</v>
      </c>
      <c r="B17" s="80">
        <v>0</v>
      </c>
      <c r="C17" s="80">
        <v>6500</v>
      </c>
      <c r="D17" s="80">
        <v>0</v>
      </c>
      <c r="E17" s="80">
        <v>0</v>
      </c>
      <c r="F17" s="80">
        <v>0</v>
      </c>
      <c r="G17" s="80">
        <v>0</v>
      </c>
      <c r="H17" s="80">
        <v>0</v>
      </c>
      <c r="I17" s="88">
        <v>0</v>
      </c>
      <c r="J17" s="89">
        <v>0</v>
      </c>
      <c r="K17" s="89">
        <v>0</v>
      </c>
      <c r="L17" s="89">
        <v>0</v>
      </c>
      <c r="M17" s="89">
        <v>0</v>
      </c>
      <c r="N17" s="79"/>
    </row>
    <row r="18" spans="1:14" s="80" customFormat="1" ht="14.25" customHeight="1">
      <c r="A18" s="80" t="s">
        <v>79</v>
      </c>
      <c r="B18" s="80">
        <v>5653</v>
      </c>
      <c r="C18" s="80">
        <v>2477</v>
      </c>
      <c r="D18" s="80">
        <v>2477</v>
      </c>
      <c r="E18" s="80">
        <v>0</v>
      </c>
      <c r="F18" s="80">
        <v>639</v>
      </c>
      <c r="G18" s="80">
        <v>0</v>
      </c>
      <c r="H18" s="80">
        <v>4657842</v>
      </c>
      <c r="I18" s="88">
        <f t="shared" ref="I18:M18" si="6">H18</f>
        <v>4657842</v>
      </c>
      <c r="J18" s="89">
        <f t="shared" si="6"/>
        <v>4657842</v>
      </c>
      <c r="K18" s="89">
        <f t="shared" si="6"/>
        <v>4657842</v>
      </c>
      <c r="L18" s="89">
        <f t="shared" si="6"/>
        <v>4657842</v>
      </c>
      <c r="M18" s="89">
        <f t="shared" si="6"/>
        <v>4657842</v>
      </c>
      <c r="N18" s="79"/>
    </row>
    <row r="19" spans="1:14" s="80" customFormat="1" ht="14.25" customHeight="1">
      <c r="A19" s="80" t="s">
        <v>80</v>
      </c>
      <c r="B19" s="80">
        <v>10564799</v>
      </c>
      <c r="C19" s="80">
        <v>13367260</v>
      </c>
      <c r="D19" s="80">
        <v>9701006</v>
      </c>
      <c r="E19" s="80">
        <v>13114311</v>
      </c>
      <c r="F19" s="80">
        <v>11348046</v>
      </c>
      <c r="G19" s="80">
        <v>12571174</v>
      </c>
      <c r="H19" s="80">
        <v>13475936</v>
      </c>
      <c r="I19" s="88">
        <f>CF!I65</f>
        <v>15756606.274136838</v>
      </c>
      <c r="J19" s="89">
        <f>CF!J65</f>
        <v>20745534.712529935</v>
      </c>
      <c r="K19" s="89">
        <f>CF!K65</f>
        <v>27206508.455607992</v>
      </c>
      <c r="L19" s="89">
        <f>CF!L65</f>
        <v>34973400.76381772</v>
      </c>
      <c r="M19" s="89">
        <f>CF!M65</f>
        <v>46057281.424024016</v>
      </c>
      <c r="N19" s="79"/>
    </row>
    <row r="20" spans="1:14" s="91" customFormat="1" ht="14.25" customHeight="1">
      <c r="A20" s="91" t="s">
        <v>69</v>
      </c>
      <c r="C20" s="40">
        <f t="shared" ref="C20:M20" si="7">C19/B19-1</f>
        <v>0.26526401496138252</v>
      </c>
      <c r="D20" s="40">
        <f t="shared" si="7"/>
        <v>-0.274271167015529</v>
      </c>
      <c r="E20" s="40">
        <f t="shared" si="7"/>
        <v>0.35185062250244981</v>
      </c>
      <c r="F20" s="40">
        <f t="shared" si="7"/>
        <v>-0.13468225665839406</v>
      </c>
      <c r="G20" s="40">
        <f t="shared" si="7"/>
        <v>0.10778313729077227</v>
      </c>
      <c r="H20" s="40">
        <f t="shared" si="7"/>
        <v>7.1971161961484231E-2</v>
      </c>
      <c r="I20" s="92">
        <f t="shared" si="7"/>
        <v>0.16924021263805633</v>
      </c>
      <c r="J20" s="93">
        <f t="shared" si="7"/>
        <v>0.31662455427232516</v>
      </c>
      <c r="K20" s="93">
        <f t="shared" si="7"/>
        <v>0.31143924861940264</v>
      </c>
      <c r="L20" s="93">
        <f t="shared" si="7"/>
        <v>0.28547920145220851</v>
      </c>
      <c r="M20" s="93">
        <f t="shared" si="7"/>
        <v>0.31692315926203252</v>
      </c>
      <c r="N20" s="98"/>
    </row>
    <row r="21" spans="1:14" s="80" customFormat="1" ht="14.25" customHeight="1">
      <c r="A21" s="94" t="s">
        <v>81</v>
      </c>
      <c r="B21" s="99">
        <v>15429151</v>
      </c>
      <c r="C21" s="99">
        <v>18300931</v>
      </c>
      <c r="D21" s="99">
        <v>15221468</v>
      </c>
      <c r="E21" s="99">
        <v>20057555</v>
      </c>
      <c r="F21" s="99">
        <v>24330932</v>
      </c>
      <c r="G21" s="99">
        <v>27716755</v>
      </c>
      <c r="H21" s="100">
        <v>32095057</v>
      </c>
      <c r="I21" s="101">
        <f t="shared" ref="I21:M21" si="8">I15+I16+I17+I18+I19</f>
        <v>36152084.543511152</v>
      </c>
      <c r="J21" s="102">
        <f t="shared" si="8"/>
        <v>43051108.570066676</v>
      </c>
      <c r="K21" s="102">
        <f t="shared" si="8"/>
        <v>51654626.257262282</v>
      </c>
      <c r="L21" s="102">
        <f t="shared" si="8"/>
        <v>61824890.20106563</v>
      </c>
      <c r="M21" s="102">
        <f t="shared" si="8"/>
        <v>75604827.874046057</v>
      </c>
      <c r="N21" s="79"/>
    </row>
    <row r="22" spans="1:14" s="80" customFormat="1" ht="14.25" customHeight="1">
      <c r="A22" s="103" t="s">
        <v>82</v>
      </c>
      <c r="B22" s="103">
        <v>36379641</v>
      </c>
      <c r="C22" s="103">
        <v>40028770</v>
      </c>
      <c r="D22" s="103">
        <v>36130753</v>
      </c>
      <c r="E22" s="103">
        <v>42307487</v>
      </c>
      <c r="F22" s="103">
        <v>48832751</v>
      </c>
      <c r="G22" s="103">
        <v>56732634</v>
      </c>
      <c r="H22" s="103">
        <v>64917211</v>
      </c>
      <c r="I22" s="104">
        <f t="shared" ref="I22:M22" si="9">I12+I21</f>
        <v>69546645.067797661</v>
      </c>
      <c r="J22" s="105">
        <f t="shared" si="9"/>
        <v>78590447.693666756</v>
      </c>
      <c r="K22" s="105">
        <f t="shared" si="9"/>
        <v>89306277.988739133</v>
      </c>
      <c r="L22" s="105">
        <f t="shared" si="9"/>
        <v>101563381.17947933</v>
      </c>
      <c r="M22" s="105">
        <f t="shared" si="9"/>
        <v>117412127.29357786</v>
      </c>
      <c r="N22" s="79"/>
    </row>
    <row r="23" spans="1:14" s="80" customFormat="1" ht="14.25" customHeight="1">
      <c r="A23" s="87"/>
      <c r="B23" s="87"/>
      <c r="C23" s="87"/>
      <c r="D23" s="87"/>
      <c r="E23" s="87"/>
      <c r="F23" s="87"/>
      <c r="G23" s="87"/>
      <c r="I23" s="88"/>
      <c r="J23" s="89"/>
      <c r="K23" s="89"/>
      <c r="L23" s="89"/>
      <c r="M23" s="89"/>
      <c r="N23" s="79"/>
    </row>
    <row r="24" spans="1:14" s="80" customFormat="1" ht="14.25" customHeight="1">
      <c r="A24" s="87" t="s">
        <v>83</v>
      </c>
      <c r="I24" s="88"/>
      <c r="J24" s="89"/>
      <c r="K24" s="89"/>
      <c r="L24" s="89"/>
      <c r="M24" s="89"/>
      <c r="N24" s="79"/>
    </row>
    <row r="25" spans="1:14" s="80" customFormat="1" ht="14.25" customHeight="1">
      <c r="A25" s="90" t="s">
        <v>84</v>
      </c>
      <c r="I25" s="88"/>
      <c r="J25" s="89"/>
      <c r="K25" s="89"/>
      <c r="L25" s="89"/>
      <c r="M25" s="89"/>
      <c r="N25" s="79"/>
    </row>
    <row r="26" spans="1:14" s="80" customFormat="1" ht="14.25" customHeight="1">
      <c r="A26" s="80" t="s">
        <v>85</v>
      </c>
      <c r="B26" s="80">
        <v>533384</v>
      </c>
      <c r="C26" s="80">
        <v>533384</v>
      </c>
      <c r="D26" s="80">
        <v>533384</v>
      </c>
      <c r="E26" s="80">
        <v>533384</v>
      </c>
      <c r="F26" s="80">
        <v>533384</v>
      </c>
      <c r="G26" s="80">
        <v>533384</v>
      </c>
      <c r="H26" s="80">
        <v>533384</v>
      </c>
      <c r="I26" s="88">
        <f t="shared" ref="I26:M26" si="10">H26</f>
        <v>533384</v>
      </c>
      <c r="J26" s="89">
        <f t="shared" si="10"/>
        <v>533384</v>
      </c>
      <c r="K26" s="89">
        <f t="shared" si="10"/>
        <v>533384</v>
      </c>
      <c r="L26" s="89">
        <f t="shared" si="10"/>
        <v>533384</v>
      </c>
      <c r="M26" s="89">
        <f t="shared" si="10"/>
        <v>533384</v>
      </c>
      <c r="N26" s="79"/>
    </row>
    <row r="27" spans="1:14" s="80" customFormat="1" ht="14.25" customHeight="1">
      <c r="A27" s="80" t="s">
        <v>86</v>
      </c>
      <c r="B27" s="80">
        <v>588521</v>
      </c>
      <c r="C27" s="80">
        <v>735712</v>
      </c>
      <c r="D27" s="80">
        <v>735712</v>
      </c>
      <c r="E27" s="80">
        <v>1103358</v>
      </c>
      <c r="F27" s="80">
        <v>1103358</v>
      </c>
      <c r="G27" s="80">
        <v>1491952</v>
      </c>
      <c r="H27" s="80">
        <v>1360069</v>
      </c>
      <c r="I27" s="88">
        <f t="shared" ref="I27:M27" si="11">H27</f>
        <v>1360069</v>
      </c>
      <c r="J27" s="89">
        <f t="shared" si="11"/>
        <v>1360069</v>
      </c>
      <c r="K27" s="89">
        <f t="shared" si="11"/>
        <v>1360069</v>
      </c>
      <c r="L27" s="89">
        <f t="shared" si="11"/>
        <v>1360069</v>
      </c>
      <c r="M27" s="89">
        <f t="shared" si="11"/>
        <v>1360069</v>
      </c>
      <c r="N27" s="79"/>
    </row>
    <row r="28" spans="1:14" s="80" customFormat="1" ht="14.25" customHeight="1">
      <c r="A28" s="80" t="s">
        <v>87</v>
      </c>
      <c r="B28" s="80">
        <v>5049101</v>
      </c>
      <c r="C28" s="80">
        <v>6321790</v>
      </c>
      <c r="D28" s="80">
        <v>7290140</v>
      </c>
      <c r="E28" s="80">
        <v>8720708</v>
      </c>
      <c r="F28" s="80">
        <v>10345024</v>
      </c>
      <c r="G28" s="80">
        <v>12591143</v>
      </c>
      <c r="H28" s="80">
        <v>16633227</v>
      </c>
      <c r="I28" s="88">
        <f>H28+IS!I21+CF!I55</f>
        <v>25685373.628674828</v>
      </c>
      <c r="J28" s="89">
        <f>I28+IS!J21-CF!J55</f>
        <v>41071707.405571252</v>
      </c>
      <c r="K28" s="89">
        <f>J28+IS!K21-CF!K55</f>
        <v>58380372.212303832</v>
      </c>
      <c r="L28" s="89">
        <f>K28+IS!L21-CF!L55</f>
        <v>77542418.841917828</v>
      </c>
      <c r="M28" s="89">
        <f>L28+IS!M21-CF!M55</f>
        <v>98891515.46432285</v>
      </c>
      <c r="N28" s="79"/>
    </row>
    <row r="29" spans="1:14" s="80" customFormat="1" ht="14.25" customHeight="1">
      <c r="A29" s="80" t="s">
        <v>88</v>
      </c>
      <c r="F29" s="80" t="s">
        <v>5</v>
      </c>
      <c r="G29" s="80">
        <v>-3660</v>
      </c>
      <c r="H29" s="80">
        <v>-11411</v>
      </c>
      <c r="I29" s="88">
        <v>0</v>
      </c>
      <c r="J29" s="89">
        <v>0</v>
      </c>
      <c r="K29" s="89">
        <v>0</v>
      </c>
      <c r="L29" s="89">
        <v>0</v>
      </c>
      <c r="M29" s="89">
        <v>0</v>
      </c>
      <c r="N29" s="79"/>
    </row>
    <row r="30" spans="1:14" s="80" customFormat="1" ht="14.25" customHeight="1">
      <c r="A30" s="80" t="s">
        <v>89</v>
      </c>
      <c r="B30" s="99">
        <v>6171006</v>
      </c>
      <c r="C30" s="99">
        <v>7590886</v>
      </c>
      <c r="D30" s="99">
        <v>8559236</v>
      </c>
      <c r="E30" s="99">
        <v>10357450</v>
      </c>
      <c r="F30" s="99">
        <v>11981766</v>
      </c>
      <c r="G30" s="99">
        <v>14612819</v>
      </c>
      <c r="H30" s="99">
        <v>18515269</v>
      </c>
      <c r="I30" s="101">
        <f t="shared" ref="I30:M30" si="12">SUM(I26:I29)</f>
        <v>27578826.628674828</v>
      </c>
      <c r="J30" s="102">
        <f t="shared" si="12"/>
        <v>42965160.405571252</v>
      </c>
      <c r="K30" s="102">
        <f t="shared" si="12"/>
        <v>60273825.212303832</v>
      </c>
      <c r="L30" s="102">
        <f t="shared" si="12"/>
        <v>79435871.841917828</v>
      </c>
      <c r="M30" s="102">
        <f t="shared" si="12"/>
        <v>100784968.46432285</v>
      </c>
      <c r="N30" s="79"/>
    </row>
    <row r="31" spans="1:14" s="80" customFormat="1" ht="14.25" customHeight="1">
      <c r="A31" s="80" t="s">
        <v>90</v>
      </c>
      <c r="B31" s="80">
        <v>5978375</v>
      </c>
      <c r="C31" s="80">
        <v>7230325</v>
      </c>
      <c r="D31" s="80">
        <v>8104994</v>
      </c>
      <c r="E31" s="80">
        <v>9515171</v>
      </c>
      <c r="F31" s="80">
        <v>11090491</v>
      </c>
      <c r="G31" s="80">
        <v>13178793</v>
      </c>
      <c r="H31" s="80">
        <v>16435215</v>
      </c>
      <c r="I31" s="88">
        <f t="shared" ref="I31:M31" si="13">H31</f>
        <v>16435215</v>
      </c>
      <c r="J31" s="89">
        <f t="shared" si="13"/>
        <v>16435215</v>
      </c>
      <c r="K31" s="89">
        <f t="shared" si="13"/>
        <v>16435215</v>
      </c>
      <c r="L31" s="89">
        <f t="shared" si="13"/>
        <v>16435215</v>
      </c>
      <c r="M31" s="89">
        <f t="shared" si="13"/>
        <v>16435215</v>
      </c>
      <c r="N31" s="79"/>
    </row>
    <row r="32" spans="1:14" s="87" customFormat="1" ht="14.25" customHeight="1">
      <c r="A32" s="94" t="s">
        <v>91</v>
      </c>
      <c r="B32" s="94">
        <v>12149381</v>
      </c>
      <c r="C32" s="94">
        <v>14821211</v>
      </c>
      <c r="D32" s="94">
        <v>16664230</v>
      </c>
      <c r="E32" s="94">
        <v>19872621</v>
      </c>
      <c r="F32" s="94">
        <v>23072257</v>
      </c>
      <c r="G32" s="94">
        <v>27791612</v>
      </c>
      <c r="H32" s="94">
        <v>34950484</v>
      </c>
      <c r="I32" s="95">
        <f>I30+I31</f>
        <v>44014041.628674828</v>
      </c>
      <c r="J32" s="96">
        <f t="shared" ref="J32:M32" si="14">SUM(J26:J31)</f>
        <v>102365535.8111425</v>
      </c>
      <c r="K32" s="96">
        <f t="shared" si="14"/>
        <v>136982865.42460766</v>
      </c>
      <c r="L32" s="96">
        <f t="shared" si="14"/>
        <v>175306958.68383566</v>
      </c>
      <c r="M32" s="96">
        <f t="shared" si="14"/>
        <v>218005151.9286457</v>
      </c>
      <c r="N32" s="97"/>
    </row>
    <row r="33" spans="1:14" s="80" customFormat="1" ht="14.25" customHeight="1">
      <c r="A33" s="87"/>
      <c r="I33" s="88"/>
      <c r="J33" s="89"/>
      <c r="K33" s="89"/>
      <c r="L33" s="89"/>
      <c r="M33" s="89"/>
      <c r="N33" s="79"/>
    </row>
    <row r="34" spans="1:14" s="80" customFormat="1" ht="14.25" customHeight="1">
      <c r="A34" s="90" t="s">
        <v>92</v>
      </c>
      <c r="I34" s="88"/>
      <c r="J34" s="89"/>
      <c r="K34" s="89"/>
      <c r="L34" s="89"/>
      <c r="M34" s="89"/>
      <c r="N34" s="79"/>
    </row>
    <row r="35" spans="1:14" s="80" customFormat="1" ht="14.25" customHeight="1">
      <c r="A35" s="80" t="s">
        <v>93</v>
      </c>
      <c r="B35" s="80">
        <v>3326271</v>
      </c>
      <c r="C35" s="80">
        <v>2658041</v>
      </c>
      <c r="D35" s="80">
        <v>3497060</v>
      </c>
      <c r="E35" s="80">
        <v>2300311</v>
      </c>
      <c r="F35" s="80">
        <v>1924442</v>
      </c>
      <c r="G35" s="80">
        <v>1373569</v>
      </c>
      <c r="H35" s="80">
        <v>2236667</v>
      </c>
      <c r="I35" s="88">
        <f>'Loan Schedule'!B7</f>
        <v>3996162.8173730718</v>
      </c>
      <c r="J35" s="89">
        <f>'Loan Schedule'!C7</f>
        <v>2927903.2399490671</v>
      </c>
      <c r="K35" s="89">
        <f>'Loan Schedule'!D7</f>
        <v>1623344.6439988727</v>
      </c>
      <c r="L35" s="89">
        <f>'Loan Schedule'!E7</f>
        <v>30217.68662449508</v>
      </c>
      <c r="M35" s="89">
        <f>'Loan Schedule'!F7</f>
        <v>-125782.3938130773</v>
      </c>
      <c r="N35" s="79"/>
    </row>
    <row r="36" spans="1:14" s="80" customFormat="1" ht="14.25" customHeight="1">
      <c r="A36" s="80" t="s">
        <v>94</v>
      </c>
      <c r="B36" s="80" t="s">
        <v>5</v>
      </c>
      <c r="C36" s="80">
        <v>274532</v>
      </c>
      <c r="D36" s="80">
        <v>218088</v>
      </c>
      <c r="E36" s="80">
        <v>196109</v>
      </c>
      <c r="F36" s="80">
        <v>216501</v>
      </c>
      <c r="G36" s="80">
        <v>233800</v>
      </c>
      <c r="H36" s="80">
        <v>231728</v>
      </c>
      <c r="I36" s="88">
        <f t="shared" ref="I36:M36" si="15">H36</f>
        <v>231728</v>
      </c>
      <c r="J36" s="89">
        <f t="shared" si="15"/>
        <v>231728</v>
      </c>
      <c r="K36" s="89">
        <f t="shared" si="15"/>
        <v>231728</v>
      </c>
      <c r="L36" s="89">
        <f t="shared" si="15"/>
        <v>231728</v>
      </c>
      <c r="M36" s="89">
        <f t="shared" si="15"/>
        <v>231728</v>
      </c>
      <c r="N36" s="79"/>
    </row>
    <row r="37" spans="1:14" s="80" customFormat="1" ht="14.25" customHeight="1">
      <c r="A37" s="80" t="s">
        <v>95</v>
      </c>
      <c r="B37" s="80">
        <v>204058</v>
      </c>
      <c r="C37" s="80">
        <v>207333</v>
      </c>
      <c r="D37" s="80">
        <v>243171</v>
      </c>
      <c r="E37" s="80">
        <v>182996</v>
      </c>
      <c r="F37" s="80">
        <v>257730</v>
      </c>
      <c r="G37" s="80">
        <v>293935</v>
      </c>
      <c r="H37" s="80">
        <v>399658</v>
      </c>
      <c r="I37" s="88">
        <f t="shared" ref="I37:I38" si="16">AVERAGE(B37:H37)</f>
        <v>255554.42857142858</v>
      </c>
      <c r="J37" s="89">
        <f t="shared" ref="J37:M37" si="17">I37</f>
        <v>255554.42857142858</v>
      </c>
      <c r="K37" s="89">
        <f t="shared" si="17"/>
        <v>255554.42857142858</v>
      </c>
      <c r="L37" s="89">
        <f t="shared" si="17"/>
        <v>255554.42857142858</v>
      </c>
      <c r="M37" s="89">
        <f t="shared" si="17"/>
        <v>255554.42857142858</v>
      </c>
      <c r="N37" s="79"/>
    </row>
    <row r="38" spans="1:14" s="80" customFormat="1" ht="14.25" customHeight="1">
      <c r="A38" s="80" t="s">
        <v>96</v>
      </c>
      <c r="B38" s="80">
        <v>5002666</v>
      </c>
      <c r="C38" s="80">
        <v>5134844</v>
      </c>
      <c r="D38" s="80">
        <v>5106713</v>
      </c>
      <c r="E38" s="80">
        <v>5260140</v>
      </c>
      <c r="F38" s="80">
        <v>5687986</v>
      </c>
      <c r="G38" s="80">
        <v>6581796</v>
      </c>
      <c r="H38" s="80">
        <v>7325395</v>
      </c>
      <c r="I38" s="88">
        <f t="shared" si="16"/>
        <v>5728505.7142857146</v>
      </c>
      <c r="J38" s="106">
        <f t="shared" ref="J38:M38" si="18">I38</f>
        <v>5728505.7142857146</v>
      </c>
      <c r="K38" s="106">
        <f t="shared" si="18"/>
        <v>5728505.7142857146</v>
      </c>
      <c r="L38" s="106">
        <f t="shared" si="18"/>
        <v>5728505.7142857146</v>
      </c>
      <c r="M38" s="89">
        <f t="shared" si="18"/>
        <v>5728505.7142857146</v>
      </c>
      <c r="N38" s="79"/>
    </row>
    <row r="39" spans="1:14" s="87" customFormat="1" ht="14.25" customHeight="1">
      <c r="A39" s="94" t="s">
        <v>97</v>
      </c>
      <c r="B39" s="94">
        <v>8532995</v>
      </c>
      <c r="C39" s="94">
        <v>8274750</v>
      </c>
      <c r="D39" s="94">
        <v>9065032</v>
      </c>
      <c r="E39" s="94">
        <v>7939556</v>
      </c>
      <c r="F39" s="94">
        <v>8086659</v>
      </c>
      <c r="G39" s="94">
        <v>8483100</v>
      </c>
      <c r="H39" s="94">
        <v>10193448</v>
      </c>
      <c r="I39" s="95">
        <f t="shared" ref="I39:M39" si="19">I35+I36+I37+I38</f>
        <v>10211950.960230215</v>
      </c>
      <c r="J39" s="107">
        <f t="shared" si="19"/>
        <v>9143691.3828062098</v>
      </c>
      <c r="K39" s="107">
        <f t="shared" si="19"/>
        <v>7839132.7868560161</v>
      </c>
      <c r="L39" s="107">
        <f t="shared" si="19"/>
        <v>6246005.829481638</v>
      </c>
      <c r="M39" s="96">
        <f t="shared" si="19"/>
        <v>6090005.7490440663</v>
      </c>
      <c r="N39" s="97"/>
    </row>
    <row r="40" spans="1:14" s="80" customFormat="1" ht="14.25" customHeight="1">
      <c r="A40" s="87"/>
      <c r="I40" s="88"/>
      <c r="J40" s="89"/>
      <c r="K40" s="89"/>
      <c r="L40" s="89"/>
      <c r="M40" s="89"/>
      <c r="N40" s="79"/>
    </row>
    <row r="41" spans="1:14" s="80" customFormat="1" ht="14.25" customHeight="1">
      <c r="A41" s="90" t="s">
        <v>98</v>
      </c>
      <c r="I41" s="88"/>
      <c r="J41" s="89"/>
      <c r="K41" s="89"/>
      <c r="L41" s="89"/>
      <c r="M41" s="89"/>
      <c r="N41" s="79"/>
    </row>
    <row r="42" spans="1:14" s="80" customFormat="1" ht="14.25" customHeight="1">
      <c r="A42" s="80" t="s">
        <v>99</v>
      </c>
      <c r="B42" s="80">
        <v>1350370</v>
      </c>
      <c r="C42" s="80">
        <v>1780350</v>
      </c>
      <c r="D42" s="80">
        <v>1998429</v>
      </c>
      <c r="E42" s="80">
        <v>3492710</v>
      </c>
      <c r="F42" s="80">
        <v>4829899</v>
      </c>
      <c r="G42" s="80">
        <v>4567905</v>
      </c>
      <c r="H42" s="80">
        <v>5592536</v>
      </c>
      <c r="I42" s="88">
        <f>WC!I5</f>
        <v>6248127.885261911</v>
      </c>
      <c r="J42" s="89">
        <f>WC!J5</f>
        <v>7006470.5806727959</v>
      </c>
      <c r="K42" s="89">
        <f>WC!K5</f>
        <v>7857099.5019099042</v>
      </c>
      <c r="L42" s="89">
        <f>WC!L5</f>
        <v>8811281.7614289206</v>
      </c>
      <c r="M42" s="89">
        <f>WC!M5</f>
        <v>9881665.4399836957</v>
      </c>
      <c r="N42" s="79"/>
    </row>
    <row r="43" spans="1:14" s="80" customFormat="1" ht="14.25" customHeight="1">
      <c r="A43" s="80" t="s">
        <v>100</v>
      </c>
      <c r="B43" s="80">
        <v>114945</v>
      </c>
      <c r="C43" s="80">
        <v>107748</v>
      </c>
      <c r="D43" s="80">
        <v>122828</v>
      </c>
      <c r="E43" s="80">
        <v>155757</v>
      </c>
      <c r="F43" s="80">
        <v>76041</v>
      </c>
      <c r="G43" s="80">
        <v>123606</v>
      </c>
      <c r="H43" s="80">
        <v>102233</v>
      </c>
      <c r="I43" s="88">
        <f t="shared" ref="I43:M43" si="20">H43</f>
        <v>102233</v>
      </c>
      <c r="J43" s="89">
        <f t="shared" si="20"/>
        <v>102233</v>
      </c>
      <c r="K43" s="89">
        <f t="shared" si="20"/>
        <v>102233</v>
      </c>
      <c r="L43" s="89">
        <f t="shared" si="20"/>
        <v>102233</v>
      </c>
      <c r="M43" s="89">
        <f t="shared" si="20"/>
        <v>102233</v>
      </c>
      <c r="N43" s="79"/>
    </row>
    <row r="44" spans="1:14" s="80" customFormat="1" ht="14.25" customHeight="1">
      <c r="A44" s="80" t="s">
        <v>101</v>
      </c>
      <c r="B44" s="80">
        <v>1456224</v>
      </c>
      <c r="C44" s="80">
        <v>1715620</v>
      </c>
      <c r="D44" s="80">
        <v>1900393</v>
      </c>
      <c r="E44" s="80">
        <v>2301181</v>
      </c>
      <c r="F44" s="80">
        <v>2742490</v>
      </c>
      <c r="G44" s="80">
        <v>2996694</v>
      </c>
      <c r="H44" s="80">
        <v>3539121</v>
      </c>
      <c r="I44" s="88">
        <f>AVERAGE(B44:H44)</f>
        <v>2378817.5714285714</v>
      </c>
      <c r="J44" s="89">
        <f t="shared" ref="J44:M44" si="21">I44</f>
        <v>2378817.5714285714</v>
      </c>
      <c r="K44" s="89">
        <f t="shared" si="21"/>
        <v>2378817.5714285714</v>
      </c>
      <c r="L44" s="89">
        <f t="shared" si="21"/>
        <v>2378817.5714285714</v>
      </c>
      <c r="M44" s="89">
        <f t="shared" si="21"/>
        <v>2378817.5714285714</v>
      </c>
      <c r="N44" s="79"/>
    </row>
    <row r="45" spans="1:14" s="80" customFormat="1" ht="14.25" customHeight="1">
      <c r="A45" s="80" t="s">
        <v>102</v>
      </c>
      <c r="B45" s="80">
        <v>2448319</v>
      </c>
      <c r="C45" s="80">
        <v>104398</v>
      </c>
      <c r="D45" s="80">
        <v>2414089</v>
      </c>
      <c r="E45" s="80">
        <v>3163706</v>
      </c>
      <c r="F45" s="80">
        <v>2855295</v>
      </c>
      <c r="G45" s="80">
        <v>6918504</v>
      </c>
      <c r="H45" s="80">
        <v>5931175</v>
      </c>
      <c r="I45" s="88">
        <v>0</v>
      </c>
      <c r="J45" s="89">
        <f t="shared" ref="J45:M45" si="22">I45</f>
        <v>0</v>
      </c>
      <c r="K45" s="89">
        <f t="shared" si="22"/>
        <v>0</v>
      </c>
      <c r="L45" s="89">
        <f t="shared" si="22"/>
        <v>0</v>
      </c>
      <c r="M45" s="89">
        <f t="shared" si="22"/>
        <v>0</v>
      </c>
      <c r="N45" s="79"/>
    </row>
    <row r="46" spans="1:14" s="80" customFormat="1" ht="14.25" customHeight="1">
      <c r="A46" s="80" t="s">
        <v>103</v>
      </c>
      <c r="B46" s="80">
        <v>2078285</v>
      </c>
      <c r="C46" s="80">
        <v>0</v>
      </c>
      <c r="D46" s="80">
        <v>0</v>
      </c>
      <c r="E46" s="80">
        <v>0</v>
      </c>
      <c r="F46" s="80">
        <v>0</v>
      </c>
      <c r="G46" s="80">
        <v>0</v>
      </c>
      <c r="H46" s="80">
        <v>0</v>
      </c>
      <c r="I46" s="88">
        <v>0</v>
      </c>
      <c r="J46" s="89">
        <v>0</v>
      </c>
      <c r="K46" s="89">
        <v>0</v>
      </c>
      <c r="L46" s="89">
        <v>0</v>
      </c>
      <c r="M46" s="89">
        <v>0</v>
      </c>
      <c r="N46" s="79"/>
    </row>
    <row r="47" spans="1:14" s="80" customFormat="1" ht="14.25" customHeight="1">
      <c r="A47" s="80" t="s">
        <v>93</v>
      </c>
      <c r="B47" s="80">
        <v>6353084</v>
      </c>
      <c r="C47" s="80">
        <v>9988456</v>
      </c>
      <c r="D47" s="80">
        <v>1893727</v>
      </c>
      <c r="E47" s="80">
        <v>3347696</v>
      </c>
      <c r="F47" s="80">
        <v>5080158</v>
      </c>
      <c r="G47" s="80">
        <v>3219699</v>
      </c>
      <c r="H47" s="80">
        <v>2634258</v>
      </c>
      <c r="I47" s="88">
        <f>H47-1500000</f>
        <v>1134258</v>
      </c>
      <c r="J47" s="89">
        <v>0</v>
      </c>
      <c r="K47" s="89">
        <v>0</v>
      </c>
      <c r="L47" s="89">
        <v>0</v>
      </c>
      <c r="M47" s="89">
        <v>0</v>
      </c>
      <c r="N47" s="79"/>
    </row>
    <row r="48" spans="1:14" s="80" customFormat="1" ht="14.25" customHeight="1">
      <c r="A48" s="80" t="s">
        <v>94</v>
      </c>
      <c r="B48" s="80">
        <v>0</v>
      </c>
      <c r="C48" s="80">
        <v>50532</v>
      </c>
      <c r="D48" s="80">
        <v>57233</v>
      </c>
      <c r="E48" s="80">
        <v>57499</v>
      </c>
      <c r="F48" s="80">
        <v>45054</v>
      </c>
      <c r="G48" s="80">
        <v>44166</v>
      </c>
      <c r="H48" s="80">
        <v>40901</v>
      </c>
      <c r="I48" s="88">
        <f t="shared" ref="I48:M48" si="23">H48</f>
        <v>40901</v>
      </c>
      <c r="J48" s="89">
        <f t="shared" si="23"/>
        <v>40901</v>
      </c>
      <c r="K48" s="89">
        <f t="shared" si="23"/>
        <v>40901</v>
      </c>
      <c r="L48" s="89">
        <f t="shared" si="23"/>
        <v>40901</v>
      </c>
      <c r="M48" s="89">
        <f t="shared" si="23"/>
        <v>40901</v>
      </c>
      <c r="N48" s="79"/>
    </row>
    <row r="49" spans="1:14" s="80" customFormat="1" ht="14.25" customHeight="1">
      <c r="A49" s="80" t="s">
        <v>104</v>
      </c>
      <c r="B49" s="80">
        <v>1896038</v>
      </c>
      <c r="C49" s="80">
        <v>3185705</v>
      </c>
      <c r="D49" s="80">
        <v>2014792</v>
      </c>
      <c r="E49" s="80">
        <v>1976761</v>
      </c>
      <c r="F49" s="80">
        <v>2044898</v>
      </c>
      <c r="G49" s="80">
        <v>2587348</v>
      </c>
      <c r="H49" s="80">
        <v>1933055</v>
      </c>
      <c r="I49" s="88">
        <f t="shared" ref="I49:M49" si="24">H49</f>
        <v>1933055</v>
      </c>
      <c r="J49" s="89">
        <f t="shared" si="24"/>
        <v>1933055</v>
      </c>
      <c r="K49" s="89">
        <f t="shared" si="24"/>
        <v>1933055</v>
      </c>
      <c r="L49" s="89">
        <f t="shared" si="24"/>
        <v>1933055</v>
      </c>
      <c r="M49" s="89">
        <f t="shared" si="24"/>
        <v>1933055</v>
      </c>
      <c r="N49" s="79"/>
    </row>
    <row r="50" spans="1:14" s="87" customFormat="1" ht="14.25" customHeight="1">
      <c r="A50" s="108" t="s">
        <v>105</v>
      </c>
      <c r="B50" s="94">
        <v>15697265</v>
      </c>
      <c r="C50" s="94">
        <v>16932809</v>
      </c>
      <c r="D50" s="94">
        <v>10401491</v>
      </c>
      <c r="E50" s="94">
        <v>14495310</v>
      </c>
      <c r="F50" s="94">
        <v>17673835</v>
      </c>
      <c r="G50" s="94">
        <v>20457922</v>
      </c>
      <c r="H50" s="94">
        <v>19773279</v>
      </c>
      <c r="I50" s="109">
        <f t="shared" ref="I50:M50" si="25">I42+I43+I44+I45+I46+I47+I48+I49</f>
        <v>11837392.456690483</v>
      </c>
      <c r="J50" s="110">
        <f t="shared" si="25"/>
        <v>11461477.152101368</v>
      </c>
      <c r="K50" s="110">
        <f t="shared" si="25"/>
        <v>12312106.073338475</v>
      </c>
      <c r="L50" s="110">
        <f t="shared" si="25"/>
        <v>13266288.332857491</v>
      </c>
      <c r="M50" s="110">
        <f t="shared" si="25"/>
        <v>14336672.011412267</v>
      </c>
      <c r="N50" s="97"/>
    </row>
    <row r="51" spans="1:14" s="87" customFormat="1" ht="14.25" customHeight="1">
      <c r="A51" s="87" t="s">
        <v>106</v>
      </c>
      <c r="B51" s="94">
        <v>24230260</v>
      </c>
      <c r="C51" s="94">
        <v>25207559</v>
      </c>
      <c r="D51" s="94">
        <v>19466523</v>
      </c>
      <c r="E51" s="94">
        <v>22434866</v>
      </c>
      <c r="F51" s="94">
        <v>25760494</v>
      </c>
      <c r="G51" s="94">
        <v>28941022</v>
      </c>
      <c r="H51" s="94">
        <v>29966727</v>
      </c>
      <c r="I51" s="111">
        <f t="shared" ref="I51:M51" si="26">I39+I50</f>
        <v>22049343.416920699</v>
      </c>
      <c r="J51" s="107">
        <f t="shared" si="26"/>
        <v>20605168.534907579</v>
      </c>
      <c r="K51" s="107">
        <f t="shared" si="26"/>
        <v>20151238.860194489</v>
      </c>
      <c r="L51" s="107">
        <f t="shared" si="26"/>
        <v>19512294.162339129</v>
      </c>
      <c r="M51" s="107">
        <f t="shared" si="26"/>
        <v>20426677.760456331</v>
      </c>
      <c r="N51" s="97"/>
    </row>
    <row r="52" spans="1:14" s="80" customFormat="1" ht="14.25" customHeight="1">
      <c r="A52" s="103" t="s">
        <v>107</v>
      </c>
      <c r="B52" s="103">
        <f t="shared" ref="B52:G52" si="27">B51+B32</f>
        <v>36379641</v>
      </c>
      <c r="C52" s="103">
        <f t="shared" si="27"/>
        <v>40028770</v>
      </c>
      <c r="D52" s="103">
        <f t="shared" si="27"/>
        <v>36130753</v>
      </c>
      <c r="E52" s="103">
        <f t="shared" si="27"/>
        <v>42307487</v>
      </c>
      <c r="F52" s="103">
        <f t="shared" si="27"/>
        <v>48832751</v>
      </c>
      <c r="G52" s="103">
        <f t="shared" si="27"/>
        <v>56732634</v>
      </c>
      <c r="H52" s="103">
        <v>64917211</v>
      </c>
      <c r="I52" s="104">
        <f t="shared" ref="I52:M52" si="28">I51+I32</f>
        <v>66063385.045595527</v>
      </c>
      <c r="J52" s="105">
        <f t="shared" si="28"/>
        <v>122970704.34605008</v>
      </c>
      <c r="K52" s="105">
        <f t="shared" si="28"/>
        <v>157134104.28480214</v>
      </c>
      <c r="L52" s="105">
        <f t="shared" si="28"/>
        <v>194819252.84617478</v>
      </c>
      <c r="M52" s="105">
        <f t="shared" si="28"/>
        <v>238431829.68910202</v>
      </c>
      <c r="N52" s="79"/>
    </row>
    <row r="53" spans="1:14" s="80" customFormat="1" ht="14.25" customHeight="1">
      <c r="A53" s="87"/>
      <c r="B53" s="87"/>
      <c r="C53" s="87"/>
      <c r="D53" s="87"/>
      <c r="E53" s="87"/>
      <c r="F53" s="87"/>
      <c r="G53" s="87"/>
      <c r="I53" s="88"/>
      <c r="J53" s="89"/>
      <c r="K53" s="89"/>
      <c r="L53" s="89"/>
      <c r="M53" s="89"/>
      <c r="N53" s="79"/>
    </row>
    <row r="54" spans="1:14" s="115" customFormat="1" ht="14.25" customHeight="1">
      <c r="A54" s="112"/>
      <c r="B54" s="112"/>
      <c r="C54" s="112"/>
      <c r="D54" s="112"/>
      <c r="E54" s="112"/>
      <c r="F54" s="112"/>
      <c r="G54" s="112"/>
      <c r="H54" s="112"/>
      <c r="I54" s="113"/>
      <c r="J54" s="112"/>
      <c r="K54" s="112"/>
      <c r="L54" s="112"/>
      <c r="M54" s="112"/>
      <c r="N54" s="114"/>
    </row>
    <row r="55" spans="1:14" s="80" customFormat="1" ht="14.25" customHeight="1">
      <c r="I55" s="79"/>
      <c r="N55" s="79"/>
    </row>
    <row r="56" spans="1:14" s="80" customFormat="1" ht="14.25" customHeight="1">
      <c r="I56" s="79"/>
      <c r="N56" s="79"/>
    </row>
    <row r="57" spans="1:14" s="80" customFormat="1" ht="14.25" customHeight="1">
      <c r="I57" s="79"/>
      <c r="N57" s="79"/>
    </row>
    <row r="58" spans="1:14" s="80" customFormat="1" ht="14.25" customHeight="1">
      <c r="I58" s="79"/>
      <c r="N58" s="79"/>
    </row>
    <row r="59" spans="1:14" s="80" customFormat="1" ht="14.25" customHeight="1">
      <c r="I59" s="79"/>
      <c r="N59" s="79"/>
    </row>
    <row r="60" spans="1:14" s="80" customFormat="1" ht="14.25" customHeight="1">
      <c r="I60" s="79"/>
      <c r="N60" s="79"/>
    </row>
  </sheetData>
  <mergeCells count="2042">
    <mergeCell ref="THA1:THH1"/>
    <mergeCell ref="THI1:THP1"/>
    <mergeCell ref="THQ1:THX1"/>
    <mergeCell ref="THY1:TIF1"/>
    <mergeCell ref="TIG1:TIN1"/>
    <mergeCell ref="TBU1:TCB1"/>
    <mergeCell ref="TCC1:TCJ1"/>
    <mergeCell ref="TCK1:TCR1"/>
    <mergeCell ref="TCS1:TCZ1"/>
    <mergeCell ref="TDA1:TDH1"/>
    <mergeCell ref="TDI1:TDP1"/>
    <mergeCell ref="TDQ1:TDX1"/>
    <mergeCell ref="TDY1:TEF1"/>
    <mergeCell ref="TEG1:TEN1"/>
    <mergeCell ref="TEO1:TEV1"/>
    <mergeCell ref="TEW1:TFD1"/>
    <mergeCell ref="TFE1:TFL1"/>
    <mergeCell ref="TFM1:TFT1"/>
    <mergeCell ref="TFU1:TGB1"/>
    <mergeCell ref="TGC1:TGJ1"/>
    <mergeCell ref="TGK1:TGR1"/>
    <mergeCell ref="TGS1:TGZ1"/>
    <mergeCell ref="SWO1:SWV1"/>
    <mergeCell ref="SWW1:SXD1"/>
    <mergeCell ref="SXE1:SXL1"/>
    <mergeCell ref="SXM1:SXT1"/>
    <mergeCell ref="SXU1:SYB1"/>
    <mergeCell ref="SYC1:SYJ1"/>
    <mergeCell ref="SYK1:SYR1"/>
    <mergeCell ref="SYS1:SYZ1"/>
    <mergeCell ref="SZA1:SZH1"/>
    <mergeCell ref="SZI1:SZP1"/>
    <mergeCell ref="SZQ1:SZX1"/>
    <mergeCell ref="SZY1:TAF1"/>
    <mergeCell ref="TAG1:TAN1"/>
    <mergeCell ref="TAO1:TAV1"/>
    <mergeCell ref="TAW1:TBD1"/>
    <mergeCell ref="TBE1:TBL1"/>
    <mergeCell ref="TBM1:TBT1"/>
    <mergeCell ref="SRI1:SRP1"/>
    <mergeCell ref="SRQ1:SRX1"/>
    <mergeCell ref="SRY1:SSF1"/>
    <mergeCell ref="SSG1:SSN1"/>
    <mergeCell ref="SSO1:SSV1"/>
    <mergeCell ref="SSW1:STD1"/>
    <mergeCell ref="STE1:STL1"/>
    <mergeCell ref="STM1:STT1"/>
    <mergeCell ref="STU1:SUB1"/>
    <mergeCell ref="SUC1:SUJ1"/>
    <mergeCell ref="SUK1:SUR1"/>
    <mergeCell ref="SUS1:SUZ1"/>
    <mergeCell ref="SVA1:SVH1"/>
    <mergeCell ref="SVI1:SVP1"/>
    <mergeCell ref="SVQ1:SVX1"/>
    <mergeCell ref="SVY1:SWF1"/>
    <mergeCell ref="SWG1:SWN1"/>
    <mergeCell ref="SMC1:SMJ1"/>
    <mergeCell ref="SMK1:SMR1"/>
    <mergeCell ref="SMS1:SMZ1"/>
    <mergeCell ref="SNA1:SNH1"/>
    <mergeCell ref="SNI1:SNP1"/>
    <mergeCell ref="SNQ1:SNX1"/>
    <mergeCell ref="SNY1:SOF1"/>
    <mergeCell ref="SOG1:SON1"/>
    <mergeCell ref="SOO1:SOV1"/>
    <mergeCell ref="SOW1:SPD1"/>
    <mergeCell ref="SPE1:SPL1"/>
    <mergeCell ref="SPM1:SPT1"/>
    <mergeCell ref="SPU1:SQB1"/>
    <mergeCell ref="SQC1:SQJ1"/>
    <mergeCell ref="SQK1:SQR1"/>
    <mergeCell ref="SQS1:SQZ1"/>
    <mergeCell ref="SRA1:SRH1"/>
    <mergeCell ref="SGW1:SHD1"/>
    <mergeCell ref="SHE1:SHL1"/>
    <mergeCell ref="SHM1:SHT1"/>
    <mergeCell ref="SHU1:SIB1"/>
    <mergeCell ref="SIC1:SIJ1"/>
    <mergeCell ref="SIK1:SIR1"/>
    <mergeCell ref="SIS1:SIZ1"/>
    <mergeCell ref="SJA1:SJH1"/>
    <mergeCell ref="SJI1:SJP1"/>
    <mergeCell ref="SJQ1:SJX1"/>
    <mergeCell ref="SJY1:SKF1"/>
    <mergeCell ref="SKG1:SKN1"/>
    <mergeCell ref="SKO1:SKV1"/>
    <mergeCell ref="SKW1:SLD1"/>
    <mergeCell ref="SLE1:SLL1"/>
    <mergeCell ref="SLM1:SLT1"/>
    <mergeCell ref="SLU1:SMB1"/>
    <mergeCell ref="SBQ1:SBX1"/>
    <mergeCell ref="SBY1:SCF1"/>
    <mergeCell ref="SCG1:SCN1"/>
    <mergeCell ref="SCO1:SCV1"/>
    <mergeCell ref="SCW1:SDD1"/>
    <mergeCell ref="SDE1:SDL1"/>
    <mergeCell ref="SDM1:SDT1"/>
    <mergeCell ref="SDU1:SEB1"/>
    <mergeCell ref="SEC1:SEJ1"/>
    <mergeCell ref="SEK1:SER1"/>
    <mergeCell ref="SES1:SEZ1"/>
    <mergeCell ref="SFA1:SFH1"/>
    <mergeCell ref="SFI1:SFP1"/>
    <mergeCell ref="SFQ1:SFX1"/>
    <mergeCell ref="SFY1:SGF1"/>
    <mergeCell ref="SGG1:SGN1"/>
    <mergeCell ref="SGO1:SGV1"/>
    <mergeCell ref="RWK1:RWR1"/>
    <mergeCell ref="RWS1:RWZ1"/>
    <mergeCell ref="RXA1:RXH1"/>
    <mergeCell ref="RXI1:RXP1"/>
    <mergeCell ref="RXQ1:RXX1"/>
    <mergeCell ref="RXY1:RYF1"/>
    <mergeCell ref="RYG1:RYN1"/>
    <mergeCell ref="RYO1:RYV1"/>
    <mergeCell ref="RYW1:RZD1"/>
    <mergeCell ref="RZE1:RZL1"/>
    <mergeCell ref="RZM1:RZT1"/>
    <mergeCell ref="RZU1:SAB1"/>
    <mergeCell ref="SAC1:SAJ1"/>
    <mergeCell ref="SAK1:SAR1"/>
    <mergeCell ref="SAS1:SAZ1"/>
    <mergeCell ref="SBA1:SBH1"/>
    <mergeCell ref="SBI1:SBP1"/>
    <mergeCell ref="RRE1:RRL1"/>
    <mergeCell ref="RRM1:RRT1"/>
    <mergeCell ref="RRU1:RSB1"/>
    <mergeCell ref="RSC1:RSJ1"/>
    <mergeCell ref="RSK1:RSR1"/>
    <mergeCell ref="RSS1:RSZ1"/>
    <mergeCell ref="RTA1:RTH1"/>
    <mergeCell ref="RTI1:RTP1"/>
    <mergeCell ref="RTQ1:RTX1"/>
    <mergeCell ref="RTY1:RUF1"/>
    <mergeCell ref="RUG1:RUN1"/>
    <mergeCell ref="RUO1:RUV1"/>
    <mergeCell ref="RUW1:RVD1"/>
    <mergeCell ref="RVE1:RVL1"/>
    <mergeCell ref="RVM1:RVT1"/>
    <mergeCell ref="RVU1:RWB1"/>
    <mergeCell ref="RWC1:RWJ1"/>
    <mergeCell ref="RLY1:RMF1"/>
    <mergeCell ref="RMG1:RMN1"/>
    <mergeCell ref="RMO1:RMV1"/>
    <mergeCell ref="RMW1:RND1"/>
    <mergeCell ref="RNE1:RNL1"/>
    <mergeCell ref="RNM1:RNT1"/>
    <mergeCell ref="RNU1:ROB1"/>
    <mergeCell ref="ROC1:ROJ1"/>
    <mergeCell ref="ROK1:ROR1"/>
    <mergeCell ref="ROS1:ROZ1"/>
    <mergeCell ref="RPA1:RPH1"/>
    <mergeCell ref="RPI1:RPP1"/>
    <mergeCell ref="RPQ1:RPX1"/>
    <mergeCell ref="RPY1:RQF1"/>
    <mergeCell ref="RQG1:RQN1"/>
    <mergeCell ref="RQO1:RQV1"/>
    <mergeCell ref="RQW1:RRD1"/>
    <mergeCell ref="RGS1:RGZ1"/>
    <mergeCell ref="RHA1:RHH1"/>
    <mergeCell ref="RHI1:RHP1"/>
    <mergeCell ref="RHQ1:RHX1"/>
    <mergeCell ref="RHY1:RIF1"/>
    <mergeCell ref="RIG1:RIN1"/>
    <mergeCell ref="RIO1:RIV1"/>
    <mergeCell ref="RIW1:RJD1"/>
    <mergeCell ref="RJE1:RJL1"/>
    <mergeCell ref="RJM1:RJT1"/>
    <mergeCell ref="RJU1:RKB1"/>
    <mergeCell ref="RKC1:RKJ1"/>
    <mergeCell ref="RKK1:RKR1"/>
    <mergeCell ref="RKS1:RKZ1"/>
    <mergeCell ref="RLA1:RLH1"/>
    <mergeCell ref="RLI1:RLP1"/>
    <mergeCell ref="RLQ1:RLX1"/>
    <mergeCell ref="RBM1:RBT1"/>
    <mergeCell ref="RBU1:RCB1"/>
    <mergeCell ref="RCC1:RCJ1"/>
    <mergeCell ref="RCK1:RCR1"/>
    <mergeCell ref="RCS1:RCZ1"/>
    <mergeCell ref="RDA1:RDH1"/>
    <mergeCell ref="RDI1:RDP1"/>
    <mergeCell ref="RDQ1:RDX1"/>
    <mergeCell ref="RDY1:REF1"/>
    <mergeCell ref="REG1:REN1"/>
    <mergeCell ref="REO1:REV1"/>
    <mergeCell ref="REW1:RFD1"/>
    <mergeCell ref="RFE1:RFL1"/>
    <mergeCell ref="RFM1:RFT1"/>
    <mergeCell ref="RFU1:RGB1"/>
    <mergeCell ref="RGC1:RGJ1"/>
    <mergeCell ref="RGK1:RGR1"/>
    <mergeCell ref="QWG1:QWN1"/>
    <mergeCell ref="QWO1:QWV1"/>
    <mergeCell ref="QWW1:QXD1"/>
    <mergeCell ref="QXE1:QXL1"/>
    <mergeCell ref="QXM1:QXT1"/>
    <mergeCell ref="QXU1:QYB1"/>
    <mergeCell ref="QYC1:QYJ1"/>
    <mergeCell ref="QYK1:QYR1"/>
    <mergeCell ref="QYS1:QYZ1"/>
    <mergeCell ref="QZA1:QZH1"/>
    <mergeCell ref="QZI1:QZP1"/>
    <mergeCell ref="QZQ1:QZX1"/>
    <mergeCell ref="QZY1:RAF1"/>
    <mergeCell ref="RAG1:RAN1"/>
    <mergeCell ref="RAO1:RAV1"/>
    <mergeCell ref="RAW1:RBD1"/>
    <mergeCell ref="RBE1:RBL1"/>
    <mergeCell ref="QRA1:QRH1"/>
    <mergeCell ref="QRI1:QRP1"/>
    <mergeCell ref="QRQ1:QRX1"/>
    <mergeCell ref="QRY1:QSF1"/>
    <mergeCell ref="QSG1:QSN1"/>
    <mergeCell ref="QSO1:QSV1"/>
    <mergeCell ref="QSW1:QTD1"/>
    <mergeCell ref="QTE1:QTL1"/>
    <mergeCell ref="QTM1:QTT1"/>
    <mergeCell ref="QTU1:QUB1"/>
    <mergeCell ref="QUC1:QUJ1"/>
    <mergeCell ref="QUK1:QUR1"/>
    <mergeCell ref="QUS1:QUZ1"/>
    <mergeCell ref="QVA1:QVH1"/>
    <mergeCell ref="QVI1:QVP1"/>
    <mergeCell ref="QVQ1:QVX1"/>
    <mergeCell ref="QVY1:QWF1"/>
    <mergeCell ref="QLU1:QMB1"/>
    <mergeCell ref="QMC1:QMJ1"/>
    <mergeCell ref="QMK1:QMR1"/>
    <mergeCell ref="QMS1:QMZ1"/>
    <mergeCell ref="QNA1:QNH1"/>
    <mergeCell ref="QNI1:QNP1"/>
    <mergeCell ref="QNQ1:QNX1"/>
    <mergeCell ref="QNY1:QOF1"/>
    <mergeCell ref="QOG1:QON1"/>
    <mergeCell ref="QOO1:QOV1"/>
    <mergeCell ref="QOW1:QPD1"/>
    <mergeCell ref="QPE1:QPL1"/>
    <mergeCell ref="QPM1:QPT1"/>
    <mergeCell ref="QPU1:QQB1"/>
    <mergeCell ref="QQC1:QQJ1"/>
    <mergeCell ref="QQK1:QQR1"/>
    <mergeCell ref="QQS1:QQZ1"/>
    <mergeCell ref="QGO1:QGV1"/>
    <mergeCell ref="QGW1:QHD1"/>
    <mergeCell ref="QHE1:QHL1"/>
    <mergeCell ref="QHM1:QHT1"/>
    <mergeCell ref="QHU1:QIB1"/>
    <mergeCell ref="QIC1:QIJ1"/>
    <mergeCell ref="QIK1:QIR1"/>
    <mergeCell ref="QIS1:QIZ1"/>
    <mergeCell ref="QJA1:QJH1"/>
    <mergeCell ref="QJI1:QJP1"/>
    <mergeCell ref="QJQ1:QJX1"/>
    <mergeCell ref="QJY1:QKF1"/>
    <mergeCell ref="QKG1:QKN1"/>
    <mergeCell ref="QKO1:QKV1"/>
    <mergeCell ref="QKW1:QLD1"/>
    <mergeCell ref="QLE1:QLL1"/>
    <mergeCell ref="QLM1:QLT1"/>
    <mergeCell ref="QBI1:QBP1"/>
    <mergeCell ref="QBQ1:QBX1"/>
    <mergeCell ref="QBY1:QCF1"/>
    <mergeCell ref="QCG1:QCN1"/>
    <mergeCell ref="QCO1:QCV1"/>
    <mergeCell ref="QCW1:QDD1"/>
    <mergeCell ref="QDE1:QDL1"/>
    <mergeCell ref="QDM1:QDT1"/>
    <mergeCell ref="QDU1:QEB1"/>
    <mergeCell ref="QEC1:QEJ1"/>
    <mergeCell ref="QEK1:QER1"/>
    <mergeCell ref="QES1:QEZ1"/>
    <mergeCell ref="QFA1:QFH1"/>
    <mergeCell ref="QFI1:QFP1"/>
    <mergeCell ref="QFQ1:QFX1"/>
    <mergeCell ref="QFY1:QGF1"/>
    <mergeCell ref="QGG1:QGN1"/>
    <mergeCell ref="PWC1:PWJ1"/>
    <mergeCell ref="PWK1:PWR1"/>
    <mergeCell ref="PWS1:PWZ1"/>
    <mergeCell ref="PXA1:PXH1"/>
    <mergeCell ref="PXI1:PXP1"/>
    <mergeCell ref="PXQ1:PXX1"/>
    <mergeCell ref="PXY1:PYF1"/>
    <mergeCell ref="PYG1:PYN1"/>
    <mergeCell ref="PYO1:PYV1"/>
    <mergeCell ref="PYW1:PZD1"/>
    <mergeCell ref="PZE1:PZL1"/>
    <mergeCell ref="PZM1:PZT1"/>
    <mergeCell ref="PZU1:QAB1"/>
    <mergeCell ref="QAC1:QAJ1"/>
    <mergeCell ref="QAK1:QAR1"/>
    <mergeCell ref="QAS1:QAZ1"/>
    <mergeCell ref="QBA1:QBH1"/>
    <mergeCell ref="PQW1:PRD1"/>
    <mergeCell ref="PRE1:PRL1"/>
    <mergeCell ref="PRM1:PRT1"/>
    <mergeCell ref="PRU1:PSB1"/>
    <mergeCell ref="PSC1:PSJ1"/>
    <mergeCell ref="PSK1:PSR1"/>
    <mergeCell ref="PSS1:PSZ1"/>
    <mergeCell ref="PTA1:PTH1"/>
    <mergeCell ref="PTI1:PTP1"/>
    <mergeCell ref="PTQ1:PTX1"/>
    <mergeCell ref="PTY1:PUF1"/>
    <mergeCell ref="PUG1:PUN1"/>
    <mergeCell ref="PUO1:PUV1"/>
    <mergeCell ref="PUW1:PVD1"/>
    <mergeCell ref="PVE1:PVL1"/>
    <mergeCell ref="PVM1:PVT1"/>
    <mergeCell ref="PVU1:PWB1"/>
    <mergeCell ref="PLQ1:PLX1"/>
    <mergeCell ref="PLY1:PMF1"/>
    <mergeCell ref="PMG1:PMN1"/>
    <mergeCell ref="PMO1:PMV1"/>
    <mergeCell ref="PMW1:PND1"/>
    <mergeCell ref="PNE1:PNL1"/>
    <mergeCell ref="PNM1:PNT1"/>
    <mergeCell ref="PNU1:POB1"/>
    <mergeCell ref="POC1:POJ1"/>
    <mergeCell ref="POK1:POR1"/>
    <mergeCell ref="POS1:POZ1"/>
    <mergeCell ref="PPA1:PPH1"/>
    <mergeCell ref="PPI1:PPP1"/>
    <mergeCell ref="PPQ1:PPX1"/>
    <mergeCell ref="PPY1:PQF1"/>
    <mergeCell ref="PQG1:PQN1"/>
    <mergeCell ref="PQO1:PQV1"/>
    <mergeCell ref="WPU1:WQB1"/>
    <mergeCell ref="WQC1:WQJ1"/>
    <mergeCell ref="WQK1:WQR1"/>
    <mergeCell ref="WQS1:WQZ1"/>
    <mergeCell ref="WRA1:WRH1"/>
    <mergeCell ref="WRI1:WRP1"/>
    <mergeCell ref="WRQ1:WRX1"/>
    <mergeCell ref="WRY1:WSF1"/>
    <mergeCell ref="WSG1:WSN1"/>
    <mergeCell ref="WSO1:WSV1"/>
    <mergeCell ref="WSW1:WTD1"/>
    <mergeCell ref="WTE1:WTL1"/>
    <mergeCell ref="WTM1:WTT1"/>
    <mergeCell ref="WTU1:WUB1"/>
    <mergeCell ref="WUC1:WUJ1"/>
    <mergeCell ref="WUK1:WUR1"/>
    <mergeCell ref="WUS1:WUZ1"/>
    <mergeCell ref="WKO1:WKV1"/>
    <mergeCell ref="WKW1:WLD1"/>
    <mergeCell ref="WLE1:WLL1"/>
    <mergeCell ref="WLM1:WLT1"/>
    <mergeCell ref="WLU1:WMB1"/>
    <mergeCell ref="WMC1:WMJ1"/>
    <mergeCell ref="WMK1:WMR1"/>
    <mergeCell ref="WMS1:WMZ1"/>
    <mergeCell ref="WNA1:WNH1"/>
    <mergeCell ref="WNI1:WNP1"/>
    <mergeCell ref="WNQ1:WNX1"/>
    <mergeCell ref="WNY1:WOF1"/>
    <mergeCell ref="WOG1:WON1"/>
    <mergeCell ref="WOO1:WOV1"/>
    <mergeCell ref="WOW1:WPD1"/>
    <mergeCell ref="WPE1:WPL1"/>
    <mergeCell ref="WPM1:WPT1"/>
    <mergeCell ref="WZQ1:WZX1"/>
    <mergeCell ref="WZY1:XAF1"/>
    <mergeCell ref="XAG1:XAN1"/>
    <mergeCell ref="XAO1:XAV1"/>
    <mergeCell ref="XAW1:XBD1"/>
    <mergeCell ref="XBE1:XBL1"/>
    <mergeCell ref="XDQ1:XDX1"/>
    <mergeCell ref="XDY1:XEF1"/>
    <mergeCell ref="XEG1:XEN1"/>
    <mergeCell ref="XEO1:XEV1"/>
    <mergeCell ref="XEW1:XFD1"/>
    <mergeCell ref="XBM1:XBT1"/>
    <mergeCell ref="XBU1:XCB1"/>
    <mergeCell ref="XCC1:XCJ1"/>
    <mergeCell ref="XCK1:XCR1"/>
    <mergeCell ref="XCS1:XCZ1"/>
    <mergeCell ref="XDA1:XDH1"/>
    <mergeCell ref="XDI1:XDP1"/>
    <mergeCell ref="WFI1:WFP1"/>
    <mergeCell ref="WFQ1:WFX1"/>
    <mergeCell ref="WVA1:WVH1"/>
    <mergeCell ref="WVI1:WVP1"/>
    <mergeCell ref="WVQ1:WVX1"/>
    <mergeCell ref="WVY1:WWF1"/>
    <mergeCell ref="WWG1:WWN1"/>
    <mergeCell ref="WWO1:WWV1"/>
    <mergeCell ref="WWW1:WXD1"/>
    <mergeCell ref="WXE1:WXL1"/>
    <mergeCell ref="WXM1:WXT1"/>
    <mergeCell ref="WXU1:WYB1"/>
    <mergeCell ref="WYC1:WYJ1"/>
    <mergeCell ref="WYK1:WYR1"/>
    <mergeCell ref="WYS1:WYZ1"/>
    <mergeCell ref="WZA1:WZH1"/>
    <mergeCell ref="WZI1:WZP1"/>
    <mergeCell ref="WFY1:WGF1"/>
    <mergeCell ref="WGG1:WGN1"/>
    <mergeCell ref="WGO1:WGV1"/>
    <mergeCell ref="WGW1:WHD1"/>
    <mergeCell ref="WHE1:WHL1"/>
    <mergeCell ref="WHM1:WHT1"/>
    <mergeCell ref="WHU1:WIB1"/>
    <mergeCell ref="WIC1:WIJ1"/>
    <mergeCell ref="WIK1:WIR1"/>
    <mergeCell ref="WIS1:WIZ1"/>
    <mergeCell ref="WJA1:WJH1"/>
    <mergeCell ref="WJI1:WJP1"/>
    <mergeCell ref="WJQ1:WJX1"/>
    <mergeCell ref="WJY1:WKF1"/>
    <mergeCell ref="WKG1:WKN1"/>
    <mergeCell ref="WAC1:WAJ1"/>
    <mergeCell ref="WAK1:WAR1"/>
    <mergeCell ref="WAS1:WAZ1"/>
    <mergeCell ref="WBA1:WBH1"/>
    <mergeCell ref="WBI1:WBP1"/>
    <mergeCell ref="WBQ1:WBX1"/>
    <mergeCell ref="WBY1:WCF1"/>
    <mergeCell ref="WCG1:WCN1"/>
    <mergeCell ref="WCO1:WCV1"/>
    <mergeCell ref="WCW1:WDD1"/>
    <mergeCell ref="WDE1:WDL1"/>
    <mergeCell ref="WDM1:WDT1"/>
    <mergeCell ref="WDU1:WEB1"/>
    <mergeCell ref="WEC1:WEJ1"/>
    <mergeCell ref="WEK1:WER1"/>
    <mergeCell ref="WES1:WEZ1"/>
    <mergeCell ref="WFA1:WFH1"/>
    <mergeCell ref="VUW1:VVD1"/>
    <mergeCell ref="VVE1:VVL1"/>
    <mergeCell ref="VVM1:VVT1"/>
    <mergeCell ref="VVU1:VWB1"/>
    <mergeCell ref="VWC1:VWJ1"/>
    <mergeCell ref="VWK1:VWR1"/>
    <mergeCell ref="VWS1:VWZ1"/>
    <mergeCell ref="VXA1:VXH1"/>
    <mergeCell ref="VXI1:VXP1"/>
    <mergeCell ref="VXQ1:VXX1"/>
    <mergeCell ref="VXY1:VYF1"/>
    <mergeCell ref="VYG1:VYN1"/>
    <mergeCell ref="VYO1:VYV1"/>
    <mergeCell ref="VYW1:VZD1"/>
    <mergeCell ref="VZE1:VZL1"/>
    <mergeCell ref="VZM1:VZT1"/>
    <mergeCell ref="VZU1:WAB1"/>
    <mergeCell ref="VPQ1:VPX1"/>
    <mergeCell ref="VPY1:VQF1"/>
    <mergeCell ref="VQG1:VQN1"/>
    <mergeCell ref="VQO1:VQV1"/>
    <mergeCell ref="VQW1:VRD1"/>
    <mergeCell ref="VRE1:VRL1"/>
    <mergeCell ref="VRM1:VRT1"/>
    <mergeCell ref="VRU1:VSB1"/>
    <mergeCell ref="VSC1:VSJ1"/>
    <mergeCell ref="VSK1:VSR1"/>
    <mergeCell ref="VSS1:VSZ1"/>
    <mergeCell ref="VTA1:VTH1"/>
    <mergeCell ref="VTI1:VTP1"/>
    <mergeCell ref="VTQ1:VTX1"/>
    <mergeCell ref="VTY1:VUF1"/>
    <mergeCell ref="VUG1:VUN1"/>
    <mergeCell ref="VUO1:VUV1"/>
    <mergeCell ref="VKK1:VKR1"/>
    <mergeCell ref="VKS1:VKZ1"/>
    <mergeCell ref="VLA1:VLH1"/>
    <mergeCell ref="VLI1:VLP1"/>
    <mergeCell ref="VLQ1:VLX1"/>
    <mergeCell ref="VLY1:VMF1"/>
    <mergeCell ref="VMG1:VMN1"/>
    <mergeCell ref="VMO1:VMV1"/>
    <mergeCell ref="VMW1:VND1"/>
    <mergeCell ref="VNE1:VNL1"/>
    <mergeCell ref="VNM1:VNT1"/>
    <mergeCell ref="VNU1:VOB1"/>
    <mergeCell ref="VOC1:VOJ1"/>
    <mergeCell ref="VOK1:VOR1"/>
    <mergeCell ref="VOS1:VOZ1"/>
    <mergeCell ref="VPA1:VPH1"/>
    <mergeCell ref="VPI1:VPP1"/>
    <mergeCell ref="VFE1:VFL1"/>
    <mergeCell ref="VFM1:VFT1"/>
    <mergeCell ref="VFU1:VGB1"/>
    <mergeCell ref="VGC1:VGJ1"/>
    <mergeCell ref="VGK1:VGR1"/>
    <mergeCell ref="VGS1:VGZ1"/>
    <mergeCell ref="VHA1:VHH1"/>
    <mergeCell ref="VHI1:VHP1"/>
    <mergeCell ref="VHQ1:VHX1"/>
    <mergeCell ref="VHY1:VIF1"/>
    <mergeCell ref="VIG1:VIN1"/>
    <mergeCell ref="VIO1:VIV1"/>
    <mergeCell ref="VIW1:VJD1"/>
    <mergeCell ref="VJE1:VJL1"/>
    <mergeCell ref="VJM1:VJT1"/>
    <mergeCell ref="VJU1:VKB1"/>
    <mergeCell ref="VKC1:VKJ1"/>
    <mergeCell ref="UZY1:VAF1"/>
    <mergeCell ref="VAG1:VAN1"/>
    <mergeCell ref="VAO1:VAV1"/>
    <mergeCell ref="VAW1:VBD1"/>
    <mergeCell ref="VBE1:VBL1"/>
    <mergeCell ref="VBM1:VBT1"/>
    <mergeCell ref="VBU1:VCB1"/>
    <mergeCell ref="VCC1:VCJ1"/>
    <mergeCell ref="VCK1:VCR1"/>
    <mergeCell ref="VCS1:VCZ1"/>
    <mergeCell ref="VDA1:VDH1"/>
    <mergeCell ref="VDI1:VDP1"/>
    <mergeCell ref="VDQ1:VDX1"/>
    <mergeCell ref="VDY1:VEF1"/>
    <mergeCell ref="VEG1:VEN1"/>
    <mergeCell ref="VEO1:VEV1"/>
    <mergeCell ref="VEW1:VFD1"/>
    <mergeCell ref="UUS1:UUZ1"/>
    <mergeCell ref="UVA1:UVH1"/>
    <mergeCell ref="UVI1:UVP1"/>
    <mergeCell ref="UVQ1:UVX1"/>
    <mergeCell ref="UVY1:UWF1"/>
    <mergeCell ref="UWG1:UWN1"/>
    <mergeCell ref="UWO1:UWV1"/>
    <mergeCell ref="UWW1:UXD1"/>
    <mergeCell ref="UXE1:UXL1"/>
    <mergeCell ref="UXM1:UXT1"/>
    <mergeCell ref="UXU1:UYB1"/>
    <mergeCell ref="UYC1:UYJ1"/>
    <mergeCell ref="UYK1:UYR1"/>
    <mergeCell ref="UYS1:UYZ1"/>
    <mergeCell ref="UZA1:UZH1"/>
    <mergeCell ref="UZI1:UZP1"/>
    <mergeCell ref="UZQ1:UZX1"/>
    <mergeCell ref="UPM1:UPT1"/>
    <mergeCell ref="UPU1:UQB1"/>
    <mergeCell ref="UQC1:UQJ1"/>
    <mergeCell ref="UQK1:UQR1"/>
    <mergeCell ref="UQS1:UQZ1"/>
    <mergeCell ref="URA1:URH1"/>
    <mergeCell ref="URI1:URP1"/>
    <mergeCell ref="URQ1:URX1"/>
    <mergeCell ref="URY1:USF1"/>
    <mergeCell ref="USG1:USN1"/>
    <mergeCell ref="USO1:USV1"/>
    <mergeCell ref="USW1:UTD1"/>
    <mergeCell ref="UTE1:UTL1"/>
    <mergeCell ref="UTM1:UTT1"/>
    <mergeCell ref="UTU1:UUB1"/>
    <mergeCell ref="UUC1:UUJ1"/>
    <mergeCell ref="UUK1:UUR1"/>
    <mergeCell ref="UKG1:UKN1"/>
    <mergeCell ref="UKO1:UKV1"/>
    <mergeCell ref="UKW1:ULD1"/>
    <mergeCell ref="ULE1:ULL1"/>
    <mergeCell ref="ULM1:ULT1"/>
    <mergeCell ref="ULU1:UMB1"/>
    <mergeCell ref="UMC1:UMJ1"/>
    <mergeCell ref="UMK1:UMR1"/>
    <mergeCell ref="UMS1:UMZ1"/>
    <mergeCell ref="UNA1:UNH1"/>
    <mergeCell ref="UNI1:UNP1"/>
    <mergeCell ref="UNQ1:UNX1"/>
    <mergeCell ref="UNY1:UOF1"/>
    <mergeCell ref="UOG1:UON1"/>
    <mergeCell ref="UOO1:UOV1"/>
    <mergeCell ref="UOW1:UPD1"/>
    <mergeCell ref="UPE1:UPL1"/>
    <mergeCell ref="UFA1:UFH1"/>
    <mergeCell ref="UFI1:UFP1"/>
    <mergeCell ref="UFQ1:UFX1"/>
    <mergeCell ref="UFY1:UGF1"/>
    <mergeCell ref="UGG1:UGN1"/>
    <mergeCell ref="UGO1:UGV1"/>
    <mergeCell ref="UGW1:UHD1"/>
    <mergeCell ref="UHE1:UHL1"/>
    <mergeCell ref="UHM1:UHT1"/>
    <mergeCell ref="UHU1:UIB1"/>
    <mergeCell ref="UIC1:UIJ1"/>
    <mergeCell ref="UIK1:UIR1"/>
    <mergeCell ref="UIS1:UIZ1"/>
    <mergeCell ref="UJA1:UJH1"/>
    <mergeCell ref="UJI1:UJP1"/>
    <mergeCell ref="UJQ1:UJX1"/>
    <mergeCell ref="UJY1:UKF1"/>
    <mergeCell ref="TZU1:UAB1"/>
    <mergeCell ref="UAC1:UAJ1"/>
    <mergeCell ref="UAK1:UAR1"/>
    <mergeCell ref="UAS1:UAZ1"/>
    <mergeCell ref="UBA1:UBH1"/>
    <mergeCell ref="UBI1:UBP1"/>
    <mergeCell ref="UBQ1:UBX1"/>
    <mergeCell ref="UBY1:UCF1"/>
    <mergeCell ref="UCG1:UCN1"/>
    <mergeCell ref="UCO1:UCV1"/>
    <mergeCell ref="UCW1:UDD1"/>
    <mergeCell ref="UDE1:UDL1"/>
    <mergeCell ref="UDM1:UDT1"/>
    <mergeCell ref="UDU1:UEB1"/>
    <mergeCell ref="UEC1:UEJ1"/>
    <mergeCell ref="UEK1:UER1"/>
    <mergeCell ref="UES1:UEZ1"/>
    <mergeCell ref="TUO1:TUV1"/>
    <mergeCell ref="TUW1:TVD1"/>
    <mergeCell ref="TVE1:TVL1"/>
    <mergeCell ref="TVM1:TVT1"/>
    <mergeCell ref="TVU1:TWB1"/>
    <mergeCell ref="TWC1:TWJ1"/>
    <mergeCell ref="TWK1:TWR1"/>
    <mergeCell ref="TWS1:TWZ1"/>
    <mergeCell ref="TXA1:TXH1"/>
    <mergeCell ref="TXI1:TXP1"/>
    <mergeCell ref="TXQ1:TXX1"/>
    <mergeCell ref="TXY1:TYF1"/>
    <mergeCell ref="TYG1:TYN1"/>
    <mergeCell ref="TYO1:TYV1"/>
    <mergeCell ref="TYW1:TZD1"/>
    <mergeCell ref="TZE1:TZL1"/>
    <mergeCell ref="TZM1:TZT1"/>
    <mergeCell ref="TPI1:TPP1"/>
    <mergeCell ref="TPQ1:TPX1"/>
    <mergeCell ref="TPY1:TQF1"/>
    <mergeCell ref="TQG1:TQN1"/>
    <mergeCell ref="TQO1:TQV1"/>
    <mergeCell ref="TQW1:TRD1"/>
    <mergeCell ref="TRE1:TRL1"/>
    <mergeCell ref="TRM1:TRT1"/>
    <mergeCell ref="TRU1:TSB1"/>
    <mergeCell ref="TSC1:TSJ1"/>
    <mergeCell ref="TSK1:TSR1"/>
    <mergeCell ref="TSS1:TSZ1"/>
    <mergeCell ref="TTA1:TTH1"/>
    <mergeCell ref="TTI1:TTP1"/>
    <mergeCell ref="TTQ1:TTX1"/>
    <mergeCell ref="TTY1:TUF1"/>
    <mergeCell ref="TUG1:TUN1"/>
    <mergeCell ref="TKC1:TKJ1"/>
    <mergeCell ref="TKK1:TKR1"/>
    <mergeCell ref="TKS1:TKZ1"/>
    <mergeCell ref="TLA1:TLH1"/>
    <mergeCell ref="TLI1:TLP1"/>
    <mergeCell ref="TLQ1:TLX1"/>
    <mergeCell ref="TLY1:TMF1"/>
    <mergeCell ref="TMG1:TMN1"/>
    <mergeCell ref="TMO1:TMV1"/>
    <mergeCell ref="TMW1:TND1"/>
    <mergeCell ref="TNE1:TNL1"/>
    <mergeCell ref="TNM1:TNT1"/>
    <mergeCell ref="TNU1:TOB1"/>
    <mergeCell ref="TOC1:TOJ1"/>
    <mergeCell ref="TOK1:TOR1"/>
    <mergeCell ref="TOS1:TOZ1"/>
    <mergeCell ref="TPA1:TPH1"/>
    <mergeCell ref="PDI1:PDP1"/>
    <mergeCell ref="PDQ1:PDX1"/>
    <mergeCell ref="PDY1:PEF1"/>
    <mergeCell ref="PEG1:PEN1"/>
    <mergeCell ref="PEO1:PEV1"/>
    <mergeCell ref="PEW1:PFD1"/>
    <mergeCell ref="PFE1:PFL1"/>
    <mergeCell ref="PFM1:PFT1"/>
    <mergeCell ref="PFU1:PGB1"/>
    <mergeCell ref="PGC1:PGJ1"/>
    <mergeCell ref="PGK1:PGR1"/>
    <mergeCell ref="PGS1:PGZ1"/>
    <mergeCell ref="TIO1:TIV1"/>
    <mergeCell ref="TIW1:TJD1"/>
    <mergeCell ref="TJE1:TJL1"/>
    <mergeCell ref="TJM1:TJT1"/>
    <mergeCell ref="TJU1:TKB1"/>
    <mergeCell ref="PHA1:PHH1"/>
    <mergeCell ref="PHI1:PHP1"/>
    <mergeCell ref="PHQ1:PHX1"/>
    <mergeCell ref="PHY1:PIF1"/>
    <mergeCell ref="PIG1:PIN1"/>
    <mergeCell ref="PIO1:PIV1"/>
    <mergeCell ref="PIW1:PJD1"/>
    <mergeCell ref="PJE1:PJL1"/>
    <mergeCell ref="PJM1:PJT1"/>
    <mergeCell ref="PJU1:PKB1"/>
    <mergeCell ref="PKC1:PKJ1"/>
    <mergeCell ref="PKK1:PKR1"/>
    <mergeCell ref="PKS1:PKZ1"/>
    <mergeCell ref="PLA1:PLH1"/>
    <mergeCell ref="PLI1:PLP1"/>
    <mergeCell ref="OYC1:OYJ1"/>
    <mergeCell ref="OYK1:OYR1"/>
    <mergeCell ref="OYS1:OYZ1"/>
    <mergeCell ref="OZA1:OZH1"/>
    <mergeCell ref="OZI1:OZP1"/>
    <mergeCell ref="OZQ1:OZX1"/>
    <mergeCell ref="OZY1:PAF1"/>
    <mergeCell ref="PAG1:PAN1"/>
    <mergeCell ref="PAO1:PAV1"/>
    <mergeCell ref="PAW1:PBD1"/>
    <mergeCell ref="PBE1:PBL1"/>
    <mergeCell ref="PBM1:PBT1"/>
    <mergeCell ref="PBU1:PCB1"/>
    <mergeCell ref="PCC1:PCJ1"/>
    <mergeCell ref="PCK1:PCR1"/>
    <mergeCell ref="PCS1:PCZ1"/>
    <mergeCell ref="PDA1:PDH1"/>
    <mergeCell ref="OSW1:OTD1"/>
    <mergeCell ref="OTE1:OTL1"/>
    <mergeCell ref="OTM1:OTT1"/>
    <mergeCell ref="OTU1:OUB1"/>
    <mergeCell ref="OUC1:OUJ1"/>
    <mergeCell ref="OUK1:OUR1"/>
    <mergeCell ref="OUS1:OUZ1"/>
    <mergeCell ref="OVA1:OVH1"/>
    <mergeCell ref="OVI1:OVP1"/>
    <mergeCell ref="OVQ1:OVX1"/>
    <mergeCell ref="OVY1:OWF1"/>
    <mergeCell ref="OWG1:OWN1"/>
    <mergeCell ref="OWO1:OWV1"/>
    <mergeCell ref="OWW1:OXD1"/>
    <mergeCell ref="OXE1:OXL1"/>
    <mergeCell ref="OXM1:OXT1"/>
    <mergeCell ref="OXU1:OYB1"/>
    <mergeCell ref="ONQ1:ONX1"/>
    <mergeCell ref="ONY1:OOF1"/>
    <mergeCell ref="OOG1:OON1"/>
    <mergeCell ref="OOO1:OOV1"/>
    <mergeCell ref="OOW1:OPD1"/>
    <mergeCell ref="OPE1:OPL1"/>
    <mergeCell ref="OPM1:OPT1"/>
    <mergeCell ref="OPU1:OQB1"/>
    <mergeCell ref="OQC1:OQJ1"/>
    <mergeCell ref="OQK1:OQR1"/>
    <mergeCell ref="OQS1:OQZ1"/>
    <mergeCell ref="ORA1:ORH1"/>
    <mergeCell ref="ORI1:ORP1"/>
    <mergeCell ref="ORQ1:ORX1"/>
    <mergeCell ref="ORY1:OSF1"/>
    <mergeCell ref="OSG1:OSN1"/>
    <mergeCell ref="OSO1:OSV1"/>
    <mergeCell ref="OIK1:OIR1"/>
    <mergeCell ref="OIS1:OIZ1"/>
    <mergeCell ref="OJA1:OJH1"/>
    <mergeCell ref="OJI1:OJP1"/>
    <mergeCell ref="OJQ1:OJX1"/>
    <mergeCell ref="OJY1:OKF1"/>
    <mergeCell ref="OKG1:OKN1"/>
    <mergeCell ref="OKO1:OKV1"/>
    <mergeCell ref="OKW1:OLD1"/>
    <mergeCell ref="OLE1:OLL1"/>
    <mergeCell ref="OLM1:OLT1"/>
    <mergeCell ref="OLU1:OMB1"/>
    <mergeCell ref="OMC1:OMJ1"/>
    <mergeCell ref="OMK1:OMR1"/>
    <mergeCell ref="OMS1:OMZ1"/>
    <mergeCell ref="ONA1:ONH1"/>
    <mergeCell ref="ONI1:ONP1"/>
    <mergeCell ref="ODE1:ODL1"/>
    <mergeCell ref="ODM1:ODT1"/>
    <mergeCell ref="ODU1:OEB1"/>
    <mergeCell ref="OEC1:OEJ1"/>
    <mergeCell ref="OEK1:OER1"/>
    <mergeCell ref="OES1:OEZ1"/>
    <mergeCell ref="OFA1:OFH1"/>
    <mergeCell ref="OFI1:OFP1"/>
    <mergeCell ref="OFQ1:OFX1"/>
    <mergeCell ref="OFY1:OGF1"/>
    <mergeCell ref="OGG1:OGN1"/>
    <mergeCell ref="OGO1:OGV1"/>
    <mergeCell ref="OGW1:OHD1"/>
    <mergeCell ref="OHE1:OHL1"/>
    <mergeCell ref="OHM1:OHT1"/>
    <mergeCell ref="OHU1:OIB1"/>
    <mergeCell ref="OIC1:OIJ1"/>
    <mergeCell ref="NXY1:NYF1"/>
    <mergeCell ref="NYG1:NYN1"/>
    <mergeCell ref="NYO1:NYV1"/>
    <mergeCell ref="NYW1:NZD1"/>
    <mergeCell ref="NZE1:NZL1"/>
    <mergeCell ref="NZM1:NZT1"/>
    <mergeCell ref="NZU1:OAB1"/>
    <mergeCell ref="OAC1:OAJ1"/>
    <mergeCell ref="OAK1:OAR1"/>
    <mergeCell ref="OAS1:OAZ1"/>
    <mergeCell ref="OBA1:OBH1"/>
    <mergeCell ref="OBI1:OBP1"/>
    <mergeCell ref="OBQ1:OBX1"/>
    <mergeCell ref="OBY1:OCF1"/>
    <mergeCell ref="OCG1:OCN1"/>
    <mergeCell ref="OCO1:OCV1"/>
    <mergeCell ref="OCW1:ODD1"/>
    <mergeCell ref="NSS1:NSZ1"/>
    <mergeCell ref="NTA1:NTH1"/>
    <mergeCell ref="NTI1:NTP1"/>
    <mergeCell ref="NTQ1:NTX1"/>
    <mergeCell ref="NTY1:NUF1"/>
    <mergeCell ref="NUG1:NUN1"/>
    <mergeCell ref="NUO1:NUV1"/>
    <mergeCell ref="NUW1:NVD1"/>
    <mergeCell ref="NVE1:NVL1"/>
    <mergeCell ref="NVM1:NVT1"/>
    <mergeCell ref="NVU1:NWB1"/>
    <mergeCell ref="NWC1:NWJ1"/>
    <mergeCell ref="NWK1:NWR1"/>
    <mergeCell ref="NWS1:NWZ1"/>
    <mergeCell ref="NXA1:NXH1"/>
    <mergeCell ref="NXI1:NXP1"/>
    <mergeCell ref="NXQ1:NXX1"/>
    <mergeCell ref="NNM1:NNT1"/>
    <mergeCell ref="NNU1:NOB1"/>
    <mergeCell ref="NOC1:NOJ1"/>
    <mergeCell ref="NOK1:NOR1"/>
    <mergeCell ref="NOS1:NOZ1"/>
    <mergeCell ref="NPA1:NPH1"/>
    <mergeCell ref="NPI1:NPP1"/>
    <mergeCell ref="NPQ1:NPX1"/>
    <mergeCell ref="NPY1:NQF1"/>
    <mergeCell ref="NQG1:NQN1"/>
    <mergeCell ref="NQO1:NQV1"/>
    <mergeCell ref="NQW1:NRD1"/>
    <mergeCell ref="NRE1:NRL1"/>
    <mergeCell ref="NRM1:NRT1"/>
    <mergeCell ref="NRU1:NSB1"/>
    <mergeCell ref="NSC1:NSJ1"/>
    <mergeCell ref="NSK1:NSR1"/>
    <mergeCell ref="NIG1:NIN1"/>
    <mergeCell ref="NIO1:NIV1"/>
    <mergeCell ref="NIW1:NJD1"/>
    <mergeCell ref="NJE1:NJL1"/>
    <mergeCell ref="NJM1:NJT1"/>
    <mergeCell ref="NJU1:NKB1"/>
    <mergeCell ref="NKC1:NKJ1"/>
    <mergeCell ref="NKK1:NKR1"/>
    <mergeCell ref="NKS1:NKZ1"/>
    <mergeCell ref="NLA1:NLH1"/>
    <mergeCell ref="NLI1:NLP1"/>
    <mergeCell ref="NLQ1:NLX1"/>
    <mergeCell ref="NLY1:NMF1"/>
    <mergeCell ref="NMG1:NMN1"/>
    <mergeCell ref="NMO1:NMV1"/>
    <mergeCell ref="NMW1:NND1"/>
    <mergeCell ref="NNE1:NNL1"/>
    <mergeCell ref="NDA1:NDH1"/>
    <mergeCell ref="NDI1:NDP1"/>
    <mergeCell ref="NDQ1:NDX1"/>
    <mergeCell ref="NDY1:NEF1"/>
    <mergeCell ref="NEG1:NEN1"/>
    <mergeCell ref="NEO1:NEV1"/>
    <mergeCell ref="NEW1:NFD1"/>
    <mergeCell ref="NFE1:NFL1"/>
    <mergeCell ref="NFM1:NFT1"/>
    <mergeCell ref="NFU1:NGB1"/>
    <mergeCell ref="NGC1:NGJ1"/>
    <mergeCell ref="NGK1:NGR1"/>
    <mergeCell ref="NGS1:NGZ1"/>
    <mergeCell ref="NHA1:NHH1"/>
    <mergeCell ref="NHI1:NHP1"/>
    <mergeCell ref="NHQ1:NHX1"/>
    <mergeCell ref="NHY1:NIF1"/>
    <mergeCell ref="MXU1:MYB1"/>
    <mergeCell ref="MYC1:MYJ1"/>
    <mergeCell ref="MYK1:MYR1"/>
    <mergeCell ref="MYS1:MYZ1"/>
    <mergeCell ref="MZA1:MZH1"/>
    <mergeCell ref="MZI1:MZP1"/>
    <mergeCell ref="MZQ1:MZX1"/>
    <mergeCell ref="MZY1:NAF1"/>
    <mergeCell ref="NAG1:NAN1"/>
    <mergeCell ref="NAO1:NAV1"/>
    <mergeCell ref="NAW1:NBD1"/>
    <mergeCell ref="NBE1:NBL1"/>
    <mergeCell ref="NBM1:NBT1"/>
    <mergeCell ref="NBU1:NCB1"/>
    <mergeCell ref="NCC1:NCJ1"/>
    <mergeCell ref="NCK1:NCR1"/>
    <mergeCell ref="NCS1:NCZ1"/>
    <mergeCell ref="MSO1:MSV1"/>
    <mergeCell ref="MSW1:MTD1"/>
    <mergeCell ref="MTE1:MTL1"/>
    <mergeCell ref="MTM1:MTT1"/>
    <mergeCell ref="MTU1:MUB1"/>
    <mergeCell ref="MUC1:MUJ1"/>
    <mergeCell ref="MUK1:MUR1"/>
    <mergeCell ref="MUS1:MUZ1"/>
    <mergeCell ref="MVA1:MVH1"/>
    <mergeCell ref="MVI1:MVP1"/>
    <mergeCell ref="MVQ1:MVX1"/>
    <mergeCell ref="MVY1:MWF1"/>
    <mergeCell ref="MWG1:MWN1"/>
    <mergeCell ref="MWO1:MWV1"/>
    <mergeCell ref="MWW1:MXD1"/>
    <mergeCell ref="MXE1:MXL1"/>
    <mergeCell ref="MXM1:MXT1"/>
    <mergeCell ref="MNI1:MNP1"/>
    <mergeCell ref="MNQ1:MNX1"/>
    <mergeCell ref="MNY1:MOF1"/>
    <mergeCell ref="MOG1:MON1"/>
    <mergeCell ref="MOO1:MOV1"/>
    <mergeCell ref="MOW1:MPD1"/>
    <mergeCell ref="MPE1:MPL1"/>
    <mergeCell ref="MPM1:MPT1"/>
    <mergeCell ref="MPU1:MQB1"/>
    <mergeCell ref="MQC1:MQJ1"/>
    <mergeCell ref="MQK1:MQR1"/>
    <mergeCell ref="MQS1:MQZ1"/>
    <mergeCell ref="MRA1:MRH1"/>
    <mergeCell ref="MRI1:MRP1"/>
    <mergeCell ref="MRQ1:MRX1"/>
    <mergeCell ref="MRY1:MSF1"/>
    <mergeCell ref="MSG1:MSN1"/>
    <mergeCell ref="MIC1:MIJ1"/>
    <mergeCell ref="MIK1:MIR1"/>
    <mergeCell ref="MIS1:MIZ1"/>
    <mergeCell ref="MJA1:MJH1"/>
    <mergeCell ref="MJI1:MJP1"/>
    <mergeCell ref="MJQ1:MJX1"/>
    <mergeCell ref="MJY1:MKF1"/>
    <mergeCell ref="MKG1:MKN1"/>
    <mergeCell ref="MKO1:MKV1"/>
    <mergeCell ref="MKW1:MLD1"/>
    <mergeCell ref="MLE1:MLL1"/>
    <mergeCell ref="MLM1:MLT1"/>
    <mergeCell ref="MLU1:MMB1"/>
    <mergeCell ref="MMC1:MMJ1"/>
    <mergeCell ref="MMK1:MMR1"/>
    <mergeCell ref="MMS1:MMZ1"/>
    <mergeCell ref="MNA1:MNH1"/>
    <mergeCell ref="MCW1:MDD1"/>
    <mergeCell ref="MDE1:MDL1"/>
    <mergeCell ref="MDM1:MDT1"/>
    <mergeCell ref="MDU1:MEB1"/>
    <mergeCell ref="MEC1:MEJ1"/>
    <mergeCell ref="MEK1:MER1"/>
    <mergeCell ref="MES1:MEZ1"/>
    <mergeCell ref="MFA1:MFH1"/>
    <mergeCell ref="MFI1:MFP1"/>
    <mergeCell ref="MFQ1:MFX1"/>
    <mergeCell ref="MFY1:MGF1"/>
    <mergeCell ref="MGG1:MGN1"/>
    <mergeCell ref="MGO1:MGV1"/>
    <mergeCell ref="MGW1:MHD1"/>
    <mergeCell ref="MHE1:MHL1"/>
    <mergeCell ref="MHM1:MHT1"/>
    <mergeCell ref="MHU1:MIB1"/>
    <mergeCell ref="LXQ1:LXX1"/>
    <mergeCell ref="LXY1:LYF1"/>
    <mergeCell ref="LYG1:LYN1"/>
    <mergeCell ref="LYO1:LYV1"/>
    <mergeCell ref="LYW1:LZD1"/>
    <mergeCell ref="LZE1:LZL1"/>
    <mergeCell ref="LZM1:LZT1"/>
    <mergeCell ref="LZU1:MAB1"/>
    <mergeCell ref="MAC1:MAJ1"/>
    <mergeCell ref="MAK1:MAR1"/>
    <mergeCell ref="MAS1:MAZ1"/>
    <mergeCell ref="MBA1:MBH1"/>
    <mergeCell ref="MBI1:MBP1"/>
    <mergeCell ref="MBQ1:MBX1"/>
    <mergeCell ref="MBY1:MCF1"/>
    <mergeCell ref="MCG1:MCN1"/>
    <mergeCell ref="MCO1:MCV1"/>
    <mergeCell ref="LSK1:LSR1"/>
    <mergeCell ref="LSS1:LSZ1"/>
    <mergeCell ref="LTA1:LTH1"/>
    <mergeCell ref="LTI1:LTP1"/>
    <mergeCell ref="LTQ1:LTX1"/>
    <mergeCell ref="LTY1:LUF1"/>
    <mergeCell ref="LUG1:LUN1"/>
    <mergeCell ref="LUO1:LUV1"/>
    <mergeCell ref="LUW1:LVD1"/>
    <mergeCell ref="LVE1:LVL1"/>
    <mergeCell ref="LVM1:LVT1"/>
    <mergeCell ref="LVU1:LWB1"/>
    <mergeCell ref="LWC1:LWJ1"/>
    <mergeCell ref="LWK1:LWR1"/>
    <mergeCell ref="LWS1:LWZ1"/>
    <mergeCell ref="LXA1:LXH1"/>
    <mergeCell ref="LXI1:LXP1"/>
    <mergeCell ref="LNE1:LNL1"/>
    <mergeCell ref="LNM1:LNT1"/>
    <mergeCell ref="LNU1:LOB1"/>
    <mergeCell ref="LOC1:LOJ1"/>
    <mergeCell ref="LOK1:LOR1"/>
    <mergeCell ref="LOS1:LOZ1"/>
    <mergeCell ref="LPA1:LPH1"/>
    <mergeCell ref="LPI1:LPP1"/>
    <mergeCell ref="LPQ1:LPX1"/>
    <mergeCell ref="LPY1:LQF1"/>
    <mergeCell ref="LQG1:LQN1"/>
    <mergeCell ref="LQO1:LQV1"/>
    <mergeCell ref="LQW1:LRD1"/>
    <mergeCell ref="LRE1:LRL1"/>
    <mergeCell ref="LRM1:LRT1"/>
    <mergeCell ref="LRU1:LSB1"/>
    <mergeCell ref="LSC1:LSJ1"/>
    <mergeCell ref="LHY1:LIF1"/>
    <mergeCell ref="LIG1:LIN1"/>
    <mergeCell ref="LIO1:LIV1"/>
    <mergeCell ref="LIW1:LJD1"/>
    <mergeCell ref="LJE1:LJL1"/>
    <mergeCell ref="LJM1:LJT1"/>
    <mergeCell ref="LJU1:LKB1"/>
    <mergeCell ref="LKC1:LKJ1"/>
    <mergeCell ref="LKK1:LKR1"/>
    <mergeCell ref="LKS1:LKZ1"/>
    <mergeCell ref="LLA1:LLH1"/>
    <mergeCell ref="LLI1:LLP1"/>
    <mergeCell ref="LLQ1:LLX1"/>
    <mergeCell ref="LLY1:LMF1"/>
    <mergeCell ref="LMG1:LMN1"/>
    <mergeCell ref="LMO1:LMV1"/>
    <mergeCell ref="LMW1:LND1"/>
    <mergeCell ref="LCS1:LCZ1"/>
    <mergeCell ref="LDA1:LDH1"/>
    <mergeCell ref="LDI1:LDP1"/>
    <mergeCell ref="LDQ1:LDX1"/>
    <mergeCell ref="LDY1:LEF1"/>
    <mergeCell ref="LEG1:LEN1"/>
    <mergeCell ref="LEO1:LEV1"/>
    <mergeCell ref="LEW1:LFD1"/>
    <mergeCell ref="LFE1:LFL1"/>
    <mergeCell ref="LFM1:LFT1"/>
    <mergeCell ref="LFU1:LGB1"/>
    <mergeCell ref="LGC1:LGJ1"/>
    <mergeCell ref="LGK1:LGR1"/>
    <mergeCell ref="LGS1:LGZ1"/>
    <mergeCell ref="LHA1:LHH1"/>
    <mergeCell ref="LHI1:LHP1"/>
    <mergeCell ref="LHQ1:LHX1"/>
    <mergeCell ref="KXM1:KXT1"/>
    <mergeCell ref="KXU1:KYB1"/>
    <mergeCell ref="KYC1:KYJ1"/>
    <mergeCell ref="KYK1:KYR1"/>
    <mergeCell ref="KYS1:KYZ1"/>
    <mergeCell ref="KZA1:KZH1"/>
    <mergeCell ref="KZI1:KZP1"/>
    <mergeCell ref="KZQ1:KZX1"/>
    <mergeCell ref="KZY1:LAF1"/>
    <mergeCell ref="LAG1:LAN1"/>
    <mergeCell ref="LAO1:LAV1"/>
    <mergeCell ref="LAW1:LBD1"/>
    <mergeCell ref="LBE1:LBL1"/>
    <mergeCell ref="LBM1:LBT1"/>
    <mergeCell ref="LBU1:LCB1"/>
    <mergeCell ref="LCC1:LCJ1"/>
    <mergeCell ref="LCK1:LCR1"/>
    <mergeCell ref="KSG1:KSN1"/>
    <mergeCell ref="KSO1:KSV1"/>
    <mergeCell ref="KSW1:KTD1"/>
    <mergeCell ref="KTE1:KTL1"/>
    <mergeCell ref="KTM1:KTT1"/>
    <mergeCell ref="KTU1:KUB1"/>
    <mergeCell ref="KUC1:KUJ1"/>
    <mergeCell ref="KUK1:KUR1"/>
    <mergeCell ref="KUS1:KUZ1"/>
    <mergeCell ref="KVA1:KVH1"/>
    <mergeCell ref="KVI1:KVP1"/>
    <mergeCell ref="KVQ1:KVX1"/>
    <mergeCell ref="KVY1:KWF1"/>
    <mergeCell ref="KWG1:KWN1"/>
    <mergeCell ref="KWO1:KWV1"/>
    <mergeCell ref="KWW1:KXD1"/>
    <mergeCell ref="KXE1:KXL1"/>
    <mergeCell ref="KNA1:KNH1"/>
    <mergeCell ref="KNI1:KNP1"/>
    <mergeCell ref="KNQ1:KNX1"/>
    <mergeCell ref="KNY1:KOF1"/>
    <mergeCell ref="KOG1:KON1"/>
    <mergeCell ref="KOO1:KOV1"/>
    <mergeCell ref="KOW1:KPD1"/>
    <mergeCell ref="KPE1:KPL1"/>
    <mergeCell ref="KPM1:KPT1"/>
    <mergeCell ref="KPU1:KQB1"/>
    <mergeCell ref="KQC1:KQJ1"/>
    <mergeCell ref="KQK1:KQR1"/>
    <mergeCell ref="KQS1:KQZ1"/>
    <mergeCell ref="KRA1:KRH1"/>
    <mergeCell ref="KRI1:KRP1"/>
    <mergeCell ref="KRQ1:KRX1"/>
    <mergeCell ref="KRY1:KSF1"/>
    <mergeCell ref="KHU1:KIB1"/>
    <mergeCell ref="KIC1:KIJ1"/>
    <mergeCell ref="KIK1:KIR1"/>
    <mergeCell ref="KIS1:KIZ1"/>
    <mergeCell ref="KJA1:KJH1"/>
    <mergeCell ref="KJI1:KJP1"/>
    <mergeCell ref="KJQ1:KJX1"/>
    <mergeCell ref="KJY1:KKF1"/>
    <mergeCell ref="KKG1:KKN1"/>
    <mergeCell ref="KKO1:KKV1"/>
    <mergeCell ref="KKW1:KLD1"/>
    <mergeCell ref="KLE1:KLL1"/>
    <mergeCell ref="KLM1:KLT1"/>
    <mergeCell ref="KLU1:KMB1"/>
    <mergeCell ref="KMC1:KMJ1"/>
    <mergeCell ref="KMK1:KMR1"/>
    <mergeCell ref="KMS1:KMZ1"/>
    <mergeCell ref="KCO1:KCV1"/>
    <mergeCell ref="KCW1:KDD1"/>
    <mergeCell ref="KDE1:KDL1"/>
    <mergeCell ref="KDM1:KDT1"/>
    <mergeCell ref="KDU1:KEB1"/>
    <mergeCell ref="KEC1:KEJ1"/>
    <mergeCell ref="KEK1:KER1"/>
    <mergeCell ref="KES1:KEZ1"/>
    <mergeCell ref="KFA1:KFH1"/>
    <mergeCell ref="KFI1:KFP1"/>
    <mergeCell ref="KFQ1:KFX1"/>
    <mergeCell ref="KFY1:KGF1"/>
    <mergeCell ref="KGG1:KGN1"/>
    <mergeCell ref="KGO1:KGV1"/>
    <mergeCell ref="KGW1:KHD1"/>
    <mergeCell ref="KHE1:KHL1"/>
    <mergeCell ref="KHM1:KHT1"/>
    <mergeCell ref="JXI1:JXP1"/>
    <mergeCell ref="JXQ1:JXX1"/>
    <mergeCell ref="JXY1:JYF1"/>
    <mergeCell ref="JYG1:JYN1"/>
    <mergeCell ref="JYO1:JYV1"/>
    <mergeCell ref="JYW1:JZD1"/>
    <mergeCell ref="JZE1:JZL1"/>
    <mergeCell ref="JZM1:JZT1"/>
    <mergeCell ref="JZU1:KAB1"/>
    <mergeCell ref="KAC1:KAJ1"/>
    <mergeCell ref="KAK1:KAR1"/>
    <mergeCell ref="KAS1:KAZ1"/>
    <mergeCell ref="KBA1:KBH1"/>
    <mergeCell ref="KBI1:KBP1"/>
    <mergeCell ref="KBQ1:KBX1"/>
    <mergeCell ref="KBY1:KCF1"/>
    <mergeCell ref="KCG1:KCN1"/>
    <mergeCell ref="JSC1:JSJ1"/>
    <mergeCell ref="JSK1:JSR1"/>
    <mergeCell ref="JSS1:JSZ1"/>
    <mergeCell ref="JTA1:JTH1"/>
    <mergeCell ref="JTI1:JTP1"/>
    <mergeCell ref="JTQ1:JTX1"/>
    <mergeCell ref="JTY1:JUF1"/>
    <mergeCell ref="JUG1:JUN1"/>
    <mergeCell ref="JUO1:JUV1"/>
    <mergeCell ref="JUW1:JVD1"/>
    <mergeCell ref="JVE1:JVL1"/>
    <mergeCell ref="JVM1:JVT1"/>
    <mergeCell ref="JVU1:JWB1"/>
    <mergeCell ref="JWC1:JWJ1"/>
    <mergeCell ref="JWK1:JWR1"/>
    <mergeCell ref="JWS1:JWZ1"/>
    <mergeCell ref="JXA1:JXH1"/>
    <mergeCell ref="JMW1:JND1"/>
    <mergeCell ref="JNE1:JNL1"/>
    <mergeCell ref="JNM1:JNT1"/>
    <mergeCell ref="JNU1:JOB1"/>
    <mergeCell ref="JOC1:JOJ1"/>
    <mergeCell ref="JOK1:JOR1"/>
    <mergeCell ref="JOS1:JOZ1"/>
    <mergeCell ref="JPA1:JPH1"/>
    <mergeCell ref="JPI1:JPP1"/>
    <mergeCell ref="JPQ1:JPX1"/>
    <mergeCell ref="JPY1:JQF1"/>
    <mergeCell ref="JQG1:JQN1"/>
    <mergeCell ref="JQO1:JQV1"/>
    <mergeCell ref="JQW1:JRD1"/>
    <mergeCell ref="JRE1:JRL1"/>
    <mergeCell ref="JRM1:JRT1"/>
    <mergeCell ref="JRU1:JSB1"/>
    <mergeCell ref="JHQ1:JHX1"/>
    <mergeCell ref="JHY1:JIF1"/>
    <mergeCell ref="JIG1:JIN1"/>
    <mergeCell ref="JIO1:JIV1"/>
    <mergeCell ref="JIW1:JJD1"/>
    <mergeCell ref="JJE1:JJL1"/>
    <mergeCell ref="JJM1:JJT1"/>
    <mergeCell ref="JJU1:JKB1"/>
    <mergeCell ref="JKC1:JKJ1"/>
    <mergeCell ref="JKK1:JKR1"/>
    <mergeCell ref="JKS1:JKZ1"/>
    <mergeCell ref="JLA1:JLH1"/>
    <mergeCell ref="JLI1:JLP1"/>
    <mergeCell ref="JLQ1:JLX1"/>
    <mergeCell ref="JLY1:JMF1"/>
    <mergeCell ref="JMG1:JMN1"/>
    <mergeCell ref="JMO1:JMV1"/>
    <mergeCell ref="JCK1:JCR1"/>
    <mergeCell ref="JCS1:JCZ1"/>
    <mergeCell ref="JDA1:JDH1"/>
    <mergeCell ref="JDI1:JDP1"/>
    <mergeCell ref="JDQ1:JDX1"/>
    <mergeCell ref="JDY1:JEF1"/>
    <mergeCell ref="JEG1:JEN1"/>
    <mergeCell ref="JEO1:JEV1"/>
    <mergeCell ref="JEW1:JFD1"/>
    <mergeCell ref="JFE1:JFL1"/>
    <mergeCell ref="JFM1:JFT1"/>
    <mergeCell ref="JFU1:JGB1"/>
    <mergeCell ref="JGC1:JGJ1"/>
    <mergeCell ref="JGK1:JGR1"/>
    <mergeCell ref="JGS1:JGZ1"/>
    <mergeCell ref="JHA1:JHH1"/>
    <mergeCell ref="JHI1:JHP1"/>
    <mergeCell ref="IXE1:IXL1"/>
    <mergeCell ref="IXM1:IXT1"/>
    <mergeCell ref="IXU1:IYB1"/>
    <mergeCell ref="IYC1:IYJ1"/>
    <mergeCell ref="IYK1:IYR1"/>
    <mergeCell ref="IYS1:IYZ1"/>
    <mergeCell ref="IZA1:IZH1"/>
    <mergeCell ref="IZI1:IZP1"/>
    <mergeCell ref="IZQ1:IZX1"/>
    <mergeCell ref="IZY1:JAF1"/>
    <mergeCell ref="JAG1:JAN1"/>
    <mergeCell ref="JAO1:JAV1"/>
    <mergeCell ref="JAW1:JBD1"/>
    <mergeCell ref="JBE1:JBL1"/>
    <mergeCell ref="JBM1:JBT1"/>
    <mergeCell ref="JBU1:JCB1"/>
    <mergeCell ref="JCC1:JCJ1"/>
    <mergeCell ref="IRY1:ISF1"/>
    <mergeCell ref="ISG1:ISN1"/>
    <mergeCell ref="ISO1:ISV1"/>
    <mergeCell ref="ISW1:ITD1"/>
    <mergeCell ref="ITE1:ITL1"/>
    <mergeCell ref="ITM1:ITT1"/>
    <mergeCell ref="ITU1:IUB1"/>
    <mergeCell ref="IUC1:IUJ1"/>
    <mergeCell ref="IUK1:IUR1"/>
    <mergeCell ref="IUS1:IUZ1"/>
    <mergeCell ref="IVA1:IVH1"/>
    <mergeCell ref="IVI1:IVP1"/>
    <mergeCell ref="IVQ1:IVX1"/>
    <mergeCell ref="IVY1:IWF1"/>
    <mergeCell ref="IWG1:IWN1"/>
    <mergeCell ref="IWO1:IWV1"/>
    <mergeCell ref="IWW1:IXD1"/>
    <mergeCell ref="IMS1:IMZ1"/>
    <mergeCell ref="INA1:INH1"/>
    <mergeCell ref="INI1:INP1"/>
    <mergeCell ref="INQ1:INX1"/>
    <mergeCell ref="INY1:IOF1"/>
    <mergeCell ref="IOG1:ION1"/>
    <mergeCell ref="IOO1:IOV1"/>
    <mergeCell ref="IOW1:IPD1"/>
    <mergeCell ref="IPE1:IPL1"/>
    <mergeCell ref="IPM1:IPT1"/>
    <mergeCell ref="IPU1:IQB1"/>
    <mergeCell ref="IQC1:IQJ1"/>
    <mergeCell ref="IQK1:IQR1"/>
    <mergeCell ref="IQS1:IQZ1"/>
    <mergeCell ref="IRA1:IRH1"/>
    <mergeCell ref="IRI1:IRP1"/>
    <mergeCell ref="IRQ1:IRX1"/>
    <mergeCell ref="IHM1:IHT1"/>
    <mergeCell ref="IHU1:IIB1"/>
    <mergeCell ref="IIC1:IIJ1"/>
    <mergeCell ref="IIK1:IIR1"/>
    <mergeCell ref="IIS1:IIZ1"/>
    <mergeCell ref="IJA1:IJH1"/>
    <mergeCell ref="IJI1:IJP1"/>
    <mergeCell ref="IJQ1:IJX1"/>
    <mergeCell ref="IJY1:IKF1"/>
    <mergeCell ref="IKG1:IKN1"/>
    <mergeCell ref="IKO1:IKV1"/>
    <mergeCell ref="IKW1:ILD1"/>
    <mergeCell ref="ILE1:ILL1"/>
    <mergeCell ref="ILM1:ILT1"/>
    <mergeCell ref="ILU1:IMB1"/>
    <mergeCell ref="IMC1:IMJ1"/>
    <mergeCell ref="IMK1:IMR1"/>
    <mergeCell ref="ICG1:ICN1"/>
    <mergeCell ref="ICO1:ICV1"/>
    <mergeCell ref="ICW1:IDD1"/>
    <mergeCell ref="IDE1:IDL1"/>
    <mergeCell ref="IDM1:IDT1"/>
    <mergeCell ref="IDU1:IEB1"/>
    <mergeCell ref="IEC1:IEJ1"/>
    <mergeCell ref="IEK1:IER1"/>
    <mergeCell ref="IES1:IEZ1"/>
    <mergeCell ref="IFA1:IFH1"/>
    <mergeCell ref="IFI1:IFP1"/>
    <mergeCell ref="IFQ1:IFX1"/>
    <mergeCell ref="IFY1:IGF1"/>
    <mergeCell ref="IGG1:IGN1"/>
    <mergeCell ref="IGO1:IGV1"/>
    <mergeCell ref="IGW1:IHD1"/>
    <mergeCell ref="IHE1:IHL1"/>
    <mergeCell ref="HXA1:HXH1"/>
    <mergeCell ref="HXI1:HXP1"/>
    <mergeCell ref="HXQ1:HXX1"/>
    <mergeCell ref="HXY1:HYF1"/>
    <mergeCell ref="HYG1:HYN1"/>
    <mergeCell ref="HYO1:HYV1"/>
    <mergeCell ref="HYW1:HZD1"/>
    <mergeCell ref="HZE1:HZL1"/>
    <mergeCell ref="HZM1:HZT1"/>
    <mergeCell ref="HZU1:IAB1"/>
    <mergeCell ref="IAC1:IAJ1"/>
    <mergeCell ref="IAK1:IAR1"/>
    <mergeCell ref="IAS1:IAZ1"/>
    <mergeCell ref="IBA1:IBH1"/>
    <mergeCell ref="IBI1:IBP1"/>
    <mergeCell ref="IBQ1:IBX1"/>
    <mergeCell ref="IBY1:ICF1"/>
    <mergeCell ref="HRU1:HSB1"/>
    <mergeCell ref="HSC1:HSJ1"/>
    <mergeCell ref="HSK1:HSR1"/>
    <mergeCell ref="HSS1:HSZ1"/>
    <mergeCell ref="HTA1:HTH1"/>
    <mergeCell ref="HTI1:HTP1"/>
    <mergeCell ref="HTQ1:HTX1"/>
    <mergeCell ref="HTY1:HUF1"/>
    <mergeCell ref="HUG1:HUN1"/>
    <mergeCell ref="HUO1:HUV1"/>
    <mergeCell ref="HUW1:HVD1"/>
    <mergeCell ref="HVE1:HVL1"/>
    <mergeCell ref="HVM1:HVT1"/>
    <mergeCell ref="HVU1:HWB1"/>
    <mergeCell ref="HWC1:HWJ1"/>
    <mergeCell ref="HWK1:HWR1"/>
    <mergeCell ref="HWS1:HWZ1"/>
    <mergeCell ref="HMO1:HMV1"/>
    <mergeCell ref="HMW1:HND1"/>
    <mergeCell ref="HNE1:HNL1"/>
    <mergeCell ref="HNM1:HNT1"/>
    <mergeCell ref="HNU1:HOB1"/>
    <mergeCell ref="HOC1:HOJ1"/>
    <mergeCell ref="HOK1:HOR1"/>
    <mergeCell ref="HOS1:HOZ1"/>
    <mergeCell ref="HPA1:HPH1"/>
    <mergeCell ref="HPI1:HPP1"/>
    <mergeCell ref="HPQ1:HPX1"/>
    <mergeCell ref="HPY1:HQF1"/>
    <mergeCell ref="HQG1:HQN1"/>
    <mergeCell ref="HQO1:HQV1"/>
    <mergeCell ref="HQW1:HRD1"/>
    <mergeCell ref="HRE1:HRL1"/>
    <mergeCell ref="HRM1:HRT1"/>
    <mergeCell ref="HHI1:HHP1"/>
    <mergeCell ref="HHQ1:HHX1"/>
    <mergeCell ref="HHY1:HIF1"/>
    <mergeCell ref="HIG1:HIN1"/>
    <mergeCell ref="HIO1:HIV1"/>
    <mergeCell ref="HIW1:HJD1"/>
    <mergeCell ref="HJE1:HJL1"/>
    <mergeCell ref="HJM1:HJT1"/>
    <mergeCell ref="HJU1:HKB1"/>
    <mergeCell ref="HKC1:HKJ1"/>
    <mergeCell ref="HKK1:HKR1"/>
    <mergeCell ref="HKS1:HKZ1"/>
    <mergeCell ref="HLA1:HLH1"/>
    <mergeCell ref="HLI1:HLP1"/>
    <mergeCell ref="HLQ1:HLX1"/>
    <mergeCell ref="HLY1:HMF1"/>
    <mergeCell ref="HMG1:HMN1"/>
    <mergeCell ref="HCC1:HCJ1"/>
    <mergeCell ref="HCK1:HCR1"/>
    <mergeCell ref="HCS1:HCZ1"/>
    <mergeCell ref="HDA1:HDH1"/>
    <mergeCell ref="HDI1:HDP1"/>
    <mergeCell ref="HDQ1:HDX1"/>
    <mergeCell ref="HDY1:HEF1"/>
    <mergeCell ref="HEG1:HEN1"/>
    <mergeCell ref="HEO1:HEV1"/>
    <mergeCell ref="HEW1:HFD1"/>
    <mergeCell ref="HFE1:HFL1"/>
    <mergeCell ref="HFM1:HFT1"/>
    <mergeCell ref="HFU1:HGB1"/>
    <mergeCell ref="HGC1:HGJ1"/>
    <mergeCell ref="HGK1:HGR1"/>
    <mergeCell ref="HGS1:HGZ1"/>
    <mergeCell ref="HHA1:HHH1"/>
    <mergeCell ref="GWW1:GXD1"/>
    <mergeCell ref="GXE1:GXL1"/>
    <mergeCell ref="GXM1:GXT1"/>
    <mergeCell ref="GXU1:GYB1"/>
    <mergeCell ref="GYC1:GYJ1"/>
    <mergeCell ref="GYK1:GYR1"/>
    <mergeCell ref="GYS1:GYZ1"/>
    <mergeCell ref="GZA1:GZH1"/>
    <mergeCell ref="GZI1:GZP1"/>
    <mergeCell ref="GZQ1:GZX1"/>
    <mergeCell ref="GZY1:HAF1"/>
    <mergeCell ref="HAG1:HAN1"/>
    <mergeCell ref="HAO1:HAV1"/>
    <mergeCell ref="HAW1:HBD1"/>
    <mergeCell ref="HBE1:HBL1"/>
    <mergeCell ref="HBM1:HBT1"/>
    <mergeCell ref="HBU1:HCB1"/>
    <mergeCell ref="GRQ1:GRX1"/>
    <mergeCell ref="GRY1:GSF1"/>
    <mergeCell ref="GSG1:GSN1"/>
    <mergeCell ref="GSO1:GSV1"/>
    <mergeCell ref="GSW1:GTD1"/>
    <mergeCell ref="GTE1:GTL1"/>
    <mergeCell ref="GTM1:GTT1"/>
    <mergeCell ref="GTU1:GUB1"/>
    <mergeCell ref="GUC1:GUJ1"/>
    <mergeCell ref="GUK1:GUR1"/>
    <mergeCell ref="GUS1:GUZ1"/>
    <mergeCell ref="GVA1:GVH1"/>
    <mergeCell ref="GVI1:GVP1"/>
    <mergeCell ref="GVQ1:GVX1"/>
    <mergeCell ref="GVY1:GWF1"/>
    <mergeCell ref="GWG1:GWN1"/>
    <mergeCell ref="GWO1:GWV1"/>
    <mergeCell ref="GMK1:GMR1"/>
    <mergeCell ref="GMS1:GMZ1"/>
    <mergeCell ref="GNA1:GNH1"/>
    <mergeCell ref="GNI1:GNP1"/>
    <mergeCell ref="GNQ1:GNX1"/>
    <mergeCell ref="GNY1:GOF1"/>
    <mergeCell ref="GOG1:GON1"/>
    <mergeCell ref="GOO1:GOV1"/>
    <mergeCell ref="GOW1:GPD1"/>
    <mergeCell ref="GPE1:GPL1"/>
    <mergeCell ref="GPM1:GPT1"/>
    <mergeCell ref="GPU1:GQB1"/>
    <mergeCell ref="GQC1:GQJ1"/>
    <mergeCell ref="GQK1:GQR1"/>
    <mergeCell ref="GQS1:GQZ1"/>
    <mergeCell ref="GRA1:GRH1"/>
    <mergeCell ref="GRI1:GRP1"/>
    <mergeCell ref="GHE1:GHL1"/>
    <mergeCell ref="GHM1:GHT1"/>
    <mergeCell ref="GHU1:GIB1"/>
    <mergeCell ref="GIC1:GIJ1"/>
    <mergeCell ref="GIK1:GIR1"/>
    <mergeCell ref="GIS1:GIZ1"/>
    <mergeCell ref="GJA1:GJH1"/>
    <mergeCell ref="GJI1:GJP1"/>
    <mergeCell ref="GJQ1:GJX1"/>
    <mergeCell ref="GJY1:GKF1"/>
    <mergeCell ref="GKG1:GKN1"/>
    <mergeCell ref="GKO1:GKV1"/>
    <mergeCell ref="GKW1:GLD1"/>
    <mergeCell ref="GLE1:GLL1"/>
    <mergeCell ref="GLM1:GLT1"/>
    <mergeCell ref="GLU1:GMB1"/>
    <mergeCell ref="GMC1:GMJ1"/>
    <mergeCell ref="GBY1:GCF1"/>
    <mergeCell ref="GCG1:GCN1"/>
    <mergeCell ref="GCO1:GCV1"/>
    <mergeCell ref="GCW1:GDD1"/>
    <mergeCell ref="GDE1:GDL1"/>
    <mergeCell ref="GDM1:GDT1"/>
    <mergeCell ref="GDU1:GEB1"/>
    <mergeCell ref="GEC1:GEJ1"/>
    <mergeCell ref="GEK1:GER1"/>
    <mergeCell ref="GES1:GEZ1"/>
    <mergeCell ref="GFA1:GFH1"/>
    <mergeCell ref="GFI1:GFP1"/>
    <mergeCell ref="GFQ1:GFX1"/>
    <mergeCell ref="GFY1:GGF1"/>
    <mergeCell ref="GGG1:GGN1"/>
    <mergeCell ref="GGO1:GGV1"/>
    <mergeCell ref="GGW1:GHD1"/>
    <mergeCell ref="FWS1:FWZ1"/>
    <mergeCell ref="FXA1:FXH1"/>
    <mergeCell ref="FXI1:FXP1"/>
    <mergeCell ref="FXQ1:FXX1"/>
    <mergeCell ref="FXY1:FYF1"/>
    <mergeCell ref="FYG1:FYN1"/>
    <mergeCell ref="FYO1:FYV1"/>
    <mergeCell ref="FYW1:FZD1"/>
    <mergeCell ref="FZE1:FZL1"/>
    <mergeCell ref="FZM1:FZT1"/>
    <mergeCell ref="FZU1:GAB1"/>
    <mergeCell ref="GAC1:GAJ1"/>
    <mergeCell ref="GAK1:GAR1"/>
    <mergeCell ref="GAS1:GAZ1"/>
    <mergeCell ref="GBA1:GBH1"/>
    <mergeCell ref="GBI1:GBP1"/>
    <mergeCell ref="GBQ1:GBX1"/>
    <mergeCell ref="FRM1:FRT1"/>
    <mergeCell ref="FRU1:FSB1"/>
    <mergeCell ref="FSC1:FSJ1"/>
    <mergeCell ref="FSK1:FSR1"/>
    <mergeCell ref="FSS1:FSZ1"/>
    <mergeCell ref="FTA1:FTH1"/>
    <mergeCell ref="FTI1:FTP1"/>
    <mergeCell ref="FTQ1:FTX1"/>
    <mergeCell ref="FTY1:FUF1"/>
    <mergeCell ref="FUG1:FUN1"/>
    <mergeCell ref="FUO1:FUV1"/>
    <mergeCell ref="FUW1:FVD1"/>
    <mergeCell ref="FVE1:FVL1"/>
    <mergeCell ref="FVM1:FVT1"/>
    <mergeCell ref="FVU1:FWB1"/>
    <mergeCell ref="FWC1:FWJ1"/>
    <mergeCell ref="FWK1:FWR1"/>
    <mergeCell ref="FMG1:FMN1"/>
    <mergeCell ref="FMO1:FMV1"/>
    <mergeCell ref="FMW1:FND1"/>
    <mergeCell ref="FNE1:FNL1"/>
    <mergeCell ref="FNM1:FNT1"/>
    <mergeCell ref="FNU1:FOB1"/>
    <mergeCell ref="FOC1:FOJ1"/>
    <mergeCell ref="FOK1:FOR1"/>
    <mergeCell ref="FOS1:FOZ1"/>
    <mergeCell ref="FPA1:FPH1"/>
    <mergeCell ref="FPI1:FPP1"/>
    <mergeCell ref="FPQ1:FPX1"/>
    <mergeCell ref="FPY1:FQF1"/>
    <mergeCell ref="FQG1:FQN1"/>
    <mergeCell ref="FQO1:FQV1"/>
    <mergeCell ref="FQW1:FRD1"/>
    <mergeCell ref="FRE1:FRL1"/>
    <mergeCell ref="FHA1:FHH1"/>
    <mergeCell ref="FHI1:FHP1"/>
    <mergeCell ref="FHQ1:FHX1"/>
    <mergeCell ref="FHY1:FIF1"/>
    <mergeCell ref="FIG1:FIN1"/>
    <mergeCell ref="FIO1:FIV1"/>
    <mergeCell ref="FIW1:FJD1"/>
    <mergeCell ref="FJE1:FJL1"/>
    <mergeCell ref="FJM1:FJT1"/>
    <mergeCell ref="FJU1:FKB1"/>
    <mergeCell ref="FKC1:FKJ1"/>
    <mergeCell ref="FKK1:FKR1"/>
    <mergeCell ref="FKS1:FKZ1"/>
    <mergeCell ref="FLA1:FLH1"/>
    <mergeCell ref="FLI1:FLP1"/>
    <mergeCell ref="FLQ1:FLX1"/>
    <mergeCell ref="FLY1:FMF1"/>
    <mergeCell ref="FBU1:FCB1"/>
    <mergeCell ref="FCC1:FCJ1"/>
    <mergeCell ref="FCK1:FCR1"/>
    <mergeCell ref="FCS1:FCZ1"/>
    <mergeCell ref="FDA1:FDH1"/>
    <mergeCell ref="FDI1:FDP1"/>
    <mergeCell ref="FDQ1:FDX1"/>
    <mergeCell ref="FDY1:FEF1"/>
    <mergeCell ref="FEG1:FEN1"/>
    <mergeCell ref="FEO1:FEV1"/>
    <mergeCell ref="FEW1:FFD1"/>
    <mergeCell ref="FFE1:FFL1"/>
    <mergeCell ref="FFM1:FFT1"/>
    <mergeCell ref="FFU1:FGB1"/>
    <mergeCell ref="FGC1:FGJ1"/>
    <mergeCell ref="FGK1:FGR1"/>
    <mergeCell ref="FGS1:FGZ1"/>
    <mergeCell ref="EWO1:EWV1"/>
    <mergeCell ref="EWW1:EXD1"/>
    <mergeCell ref="EXE1:EXL1"/>
    <mergeCell ref="EXM1:EXT1"/>
    <mergeCell ref="EXU1:EYB1"/>
    <mergeCell ref="EYC1:EYJ1"/>
    <mergeCell ref="EYK1:EYR1"/>
    <mergeCell ref="EYS1:EYZ1"/>
    <mergeCell ref="EZA1:EZH1"/>
    <mergeCell ref="EZI1:EZP1"/>
    <mergeCell ref="EZQ1:EZX1"/>
    <mergeCell ref="EZY1:FAF1"/>
    <mergeCell ref="FAG1:FAN1"/>
    <mergeCell ref="FAO1:FAV1"/>
    <mergeCell ref="FAW1:FBD1"/>
    <mergeCell ref="FBE1:FBL1"/>
    <mergeCell ref="FBM1:FBT1"/>
    <mergeCell ref="ERI1:ERP1"/>
    <mergeCell ref="ERQ1:ERX1"/>
    <mergeCell ref="ERY1:ESF1"/>
    <mergeCell ref="ESG1:ESN1"/>
    <mergeCell ref="ESO1:ESV1"/>
    <mergeCell ref="ESW1:ETD1"/>
    <mergeCell ref="ETE1:ETL1"/>
    <mergeCell ref="ETM1:ETT1"/>
    <mergeCell ref="ETU1:EUB1"/>
    <mergeCell ref="EUC1:EUJ1"/>
    <mergeCell ref="EUK1:EUR1"/>
    <mergeCell ref="EUS1:EUZ1"/>
    <mergeCell ref="EVA1:EVH1"/>
    <mergeCell ref="EVI1:EVP1"/>
    <mergeCell ref="EVQ1:EVX1"/>
    <mergeCell ref="EVY1:EWF1"/>
    <mergeCell ref="EWG1:EWN1"/>
    <mergeCell ref="EMC1:EMJ1"/>
    <mergeCell ref="EMK1:EMR1"/>
    <mergeCell ref="EMS1:EMZ1"/>
    <mergeCell ref="ENA1:ENH1"/>
    <mergeCell ref="ENI1:ENP1"/>
    <mergeCell ref="ENQ1:ENX1"/>
    <mergeCell ref="ENY1:EOF1"/>
    <mergeCell ref="EOG1:EON1"/>
    <mergeCell ref="EOO1:EOV1"/>
    <mergeCell ref="EOW1:EPD1"/>
    <mergeCell ref="EPE1:EPL1"/>
    <mergeCell ref="EPM1:EPT1"/>
    <mergeCell ref="EPU1:EQB1"/>
    <mergeCell ref="EQC1:EQJ1"/>
    <mergeCell ref="EQK1:EQR1"/>
    <mergeCell ref="EQS1:EQZ1"/>
    <mergeCell ref="ERA1:ERH1"/>
    <mergeCell ref="EGW1:EHD1"/>
    <mergeCell ref="EHE1:EHL1"/>
    <mergeCell ref="EHM1:EHT1"/>
    <mergeCell ref="EHU1:EIB1"/>
    <mergeCell ref="EIC1:EIJ1"/>
    <mergeCell ref="EIK1:EIR1"/>
    <mergeCell ref="EIS1:EIZ1"/>
    <mergeCell ref="EJA1:EJH1"/>
    <mergeCell ref="EJI1:EJP1"/>
    <mergeCell ref="EJQ1:EJX1"/>
    <mergeCell ref="EJY1:EKF1"/>
    <mergeCell ref="EKG1:EKN1"/>
    <mergeCell ref="EKO1:EKV1"/>
    <mergeCell ref="EKW1:ELD1"/>
    <mergeCell ref="ELE1:ELL1"/>
    <mergeCell ref="ELM1:ELT1"/>
    <mergeCell ref="ELU1:EMB1"/>
    <mergeCell ref="EBQ1:EBX1"/>
    <mergeCell ref="EBY1:ECF1"/>
    <mergeCell ref="ECG1:ECN1"/>
    <mergeCell ref="ECO1:ECV1"/>
    <mergeCell ref="ECW1:EDD1"/>
    <mergeCell ref="EDE1:EDL1"/>
    <mergeCell ref="EDM1:EDT1"/>
    <mergeCell ref="EDU1:EEB1"/>
    <mergeCell ref="EEC1:EEJ1"/>
    <mergeCell ref="EEK1:EER1"/>
    <mergeCell ref="EES1:EEZ1"/>
    <mergeCell ref="EFA1:EFH1"/>
    <mergeCell ref="EFI1:EFP1"/>
    <mergeCell ref="EFQ1:EFX1"/>
    <mergeCell ref="EFY1:EGF1"/>
    <mergeCell ref="EGG1:EGN1"/>
    <mergeCell ref="EGO1:EGV1"/>
    <mergeCell ref="DWK1:DWR1"/>
    <mergeCell ref="DWS1:DWZ1"/>
    <mergeCell ref="DXA1:DXH1"/>
    <mergeCell ref="DXI1:DXP1"/>
    <mergeCell ref="DXQ1:DXX1"/>
    <mergeCell ref="DXY1:DYF1"/>
    <mergeCell ref="DYG1:DYN1"/>
    <mergeCell ref="DYO1:DYV1"/>
    <mergeCell ref="DYW1:DZD1"/>
    <mergeCell ref="DZE1:DZL1"/>
    <mergeCell ref="DZM1:DZT1"/>
    <mergeCell ref="DZU1:EAB1"/>
    <mergeCell ref="EAC1:EAJ1"/>
    <mergeCell ref="EAK1:EAR1"/>
    <mergeCell ref="EAS1:EAZ1"/>
    <mergeCell ref="EBA1:EBH1"/>
    <mergeCell ref="EBI1:EBP1"/>
    <mergeCell ref="DRE1:DRL1"/>
    <mergeCell ref="DRM1:DRT1"/>
    <mergeCell ref="DRU1:DSB1"/>
    <mergeCell ref="DSC1:DSJ1"/>
    <mergeCell ref="DSK1:DSR1"/>
    <mergeCell ref="DSS1:DSZ1"/>
    <mergeCell ref="DTA1:DTH1"/>
    <mergeCell ref="DTI1:DTP1"/>
    <mergeCell ref="DTQ1:DTX1"/>
    <mergeCell ref="DTY1:DUF1"/>
    <mergeCell ref="DUG1:DUN1"/>
    <mergeCell ref="DUO1:DUV1"/>
    <mergeCell ref="DUW1:DVD1"/>
    <mergeCell ref="DVE1:DVL1"/>
    <mergeCell ref="DVM1:DVT1"/>
    <mergeCell ref="DVU1:DWB1"/>
    <mergeCell ref="DWC1:DWJ1"/>
    <mergeCell ref="DLY1:DMF1"/>
    <mergeCell ref="DMG1:DMN1"/>
    <mergeCell ref="DMO1:DMV1"/>
    <mergeCell ref="DMW1:DND1"/>
    <mergeCell ref="DNE1:DNL1"/>
    <mergeCell ref="DNM1:DNT1"/>
    <mergeCell ref="DNU1:DOB1"/>
    <mergeCell ref="DOC1:DOJ1"/>
    <mergeCell ref="DOK1:DOR1"/>
    <mergeCell ref="DOS1:DOZ1"/>
    <mergeCell ref="DPA1:DPH1"/>
    <mergeCell ref="DPI1:DPP1"/>
    <mergeCell ref="DPQ1:DPX1"/>
    <mergeCell ref="DPY1:DQF1"/>
    <mergeCell ref="DQG1:DQN1"/>
    <mergeCell ref="DQO1:DQV1"/>
    <mergeCell ref="DQW1:DRD1"/>
    <mergeCell ref="DGS1:DGZ1"/>
    <mergeCell ref="DHA1:DHH1"/>
    <mergeCell ref="DHI1:DHP1"/>
    <mergeCell ref="DHQ1:DHX1"/>
    <mergeCell ref="DHY1:DIF1"/>
    <mergeCell ref="DIG1:DIN1"/>
    <mergeCell ref="DIO1:DIV1"/>
    <mergeCell ref="DIW1:DJD1"/>
    <mergeCell ref="DJE1:DJL1"/>
    <mergeCell ref="DJM1:DJT1"/>
    <mergeCell ref="DJU1:DKB1"/>
    <mergeCell ref="DKC1:DKJ1"/>
    <mergeCell ref="DKK1:DKR1"/>
    <mergeCell ref="DKS1:DKZ1"/>
    <mergeCell ref="DLA1:DLH1"/>
    <mergeCell ref="DLI1:DLP1"/>
    <mergeCell ref="DLQ1:DLX1"/>
    <mergeCell ref="DBM1:DBT1"/>
    <mergeCell ref="DBU1:DCB1"/>
    <mergeCell ref="DCC1:DCJ1"/>
    <mergeCell ref="DCK1:DCR1"/>
    <mergeCell ref="DCS1:DCZ1"/>
    <mergeCell ref="DDA1:DDH1"/>
    <mergeCell ref="DDI1:DDP1"/>
    <mergeCell ref="DDQ1:DDX1"/>
    <mergeCell ref="DDY1:DEF1"/>
    <mergeCell ref="DEG1:DEN1"/>
    <mergeCell ref="DEO1:DEV1"/>
    <mergeCell ref="DEW1:DFD1"/>
    <mergeCell ref="DFE1:DFL1"/>
    <mergeCell ref="DFM1:DFT1"/>
    <mergeCell ref="DFU1:DGB1"/>
    <mergeCell ref="DGC1:DGJ1"/>
    <mergeCell ref="DGK1:DGR1"/>
    <mergeCell ref="CWG1:CWN1"/>
    <mergeCell ref="CWO1:CWV1"/>
    <mergeCell ref="CWW1:CXD1"/>
    <mergeCell ref="CXE1:CXL1"/>
    <mergeCell ref="CXM1:CXT1"/>
    <mergeCell ref="CXU1:CYB1"/>
    <mergeCell ref="CYC1:CYJ1"/>
    <mergeCell ref="CYK1:CYR1"/>
    <mergeCell ref="CYS1:CYZ1"/>
    <mergeCell ref="CZA1:CZH1"/>
    <mergeCell ref="CZI1:CZP1"/>
    <mergeCell ref="CZQ1:CZX1"/>
    <mergeCell ref="CZY1:DAF1"/>
    <mergeCell ref="DAG1:DAN1"/>
    <mergeCell ref="DAO1:DAV1"/>
    <mergeCell ref="DAW1:DBD1"/>
    <mergeCell ref="DBE1:DBL1"/>
    <mergeCell ref="CRA1:CRH1"/>
    <mergeCell ref="CRI1:CRP1"/>
    <mergeCell ref="CRQ1:CRX1"/>
    <mergeCell ref="CRY1:CSF1"/>
    <mergeCell ref="CSG1:CSN1"/>
    <mergeCell ref="CSO1:CSV1"/>
    <mergeCell ref="CSW1:CTD1"/>
    <mergeCell ref="CTE1:CTL1"/>
    <mergeCell ref="CTM1:CTT1"/>
    <mergeCell ref="CTU1:CUB1"/>
    <mergeCell ref="CUC1:CUJ1"/>
    <mergeCell ref="CUK1:CUR1"/>
    <mergeCell ref="CUS1:CUZ1"/>
    <mergeCell ref="CVA1:CVH1"/>
    <mergeCell ref="CVI1:CVP1"/>
    <mergeCell ref="CVQ1:CVX1"/>
    <mergeCell ref="CVY1:CWF1"/>
    <mergeCell ref="CLU1:CMB1"/>
    <mergeCell ref="CMC1:CMJ1"/>
    <mergeCell ref="CMK1:CMR1"/>
    <mergeCell ref="CMS1:CMZ1"/>
    <mergeCell ref="CNA1:CNH1"/>
    <mergeCell ref="CNI1:CNP1"/>
    <mergeCell ref="CNQ1:CNX1"/>
    <mergeCell ref="CNY1:COF1"/>
    <mergeCell ref="COG1:CON1"/>
    <mergeCell ref="COO1:COV1"/>
    <mergeCell ref="COW1:CPD1"/>
    <mergeCell ref="CPE1:CPL1"/>
    <mergeCell ref="CPM1:CPT1"/>
    <mergeCell ref="CPU1:CQB1"/>
    <mergeCell ref="CQC1:CQJ1"/>
    <mergeCell ref="CQK1:CQR1"/>
    <mergeCell ref="CQS1:CQZ1"/>
    <mergeCell ref="CGO1:CGV1"/>
    <mergeCell ref="CGW1:CHD1"/>
    <mergeCell ref="CHE1:CHL1"/>
    <mergeCell ref="CHM1:CHT1"/>
    <mergeCell ref="CHU1:CIB1"/>
    <mergeCell ref="CIC1:CIJ1"/>
    <mergeCell ref="CIK1:CIR1"/>
    <mergeCell ref="CIS1:CIZ1"/>
    <mergeCell ref="CJA1:CJH1"/>
    <mergeCell ref="CJI1:CJP1"/>
    <mergeCell ref="CJQ1:CJX1"/>
    <mergeCell ref="CJY1:CKF1"/>
    <mergeCell ref="CKG1:CKN1"/>
    <mergeCell ref="CKO1:CKV1"/>
    <mergeCell ref="CKW1:CLD1"/>
    <mergeCell ref="CLE1:CLL1"/>
    <mergeCell ref="CLM1:CLT1"/>
    <mergeCell ref="CBI1:CBP1"/>
    <mergeCell ref="CBQ1:CBX1"/>
    <mergeCell ref="CBY1:CCF1"/>
    <mergeCell ref="CCG1:CCN1"/>
    <mergeCell ref="CCO1:CCV1"/>
    <mergeCell ref="CCW1:CDD1"/>
    <mergeCell ref="CDE1:CDL1"/>
    <mergeCell ref="CDM1:CDT1"/>
    <mergeCell ref="CDU1:CEB1"/>
    <mergeCell ref="CEC1:CEJ1"/>
    <mergeCell ref="CEK1:CER1"/>
    <mergeCell ref="CES1:CEZ1"/>
    <mergeCell ref="CFA1:CFH1"/>
    <mergeCell ref="CFI1:CFP1"/>
    <mergeCell ref="CFQ1:CFX1"/>
    <mergeCell ref="CFY1:CGF1"/>
    <mergeCell ref="CGG1:CGN1"/>
    <mergeCell ref="BWC1:BWJ1"/>
    <mergeCell ref="BWK1:BWR1"/>
    <mergeCell ref="BWS1:BWZ1"/>
    <mergeCell ref="BXA1:BXH1"/>
    <mergeCell ref="BXI1:BXP1"/>
    <mergeCell ref="BXQ1:BXX1"/>
    <mergeCell ref="BXY1:BYF1"/>
    <mergeCell ref="BYG1:BYN1"/>
    <mergeCell ref="BYO1:BYV1"/>
    <mergeCell ref="BYW1:BZD1"/>
    <mergeCell ref="BZE1:BZL1"/>
    <mergeCell ref="BZM1:BZT1"/>
    <mergeCell ref="BZU1:CAB1"/>
    <mergeCell ref="CAC1:CAJ1"/>
    <mergeCell ref="CAK1:CAR1"/>
    <mergeCell ref="CAS1:CAZ1"/>
    <mergeCell ref="CBA1:CBH1"/>
    <mergeCell ref="BQW1:BRD1"/>
    <mergeCell ref="BRE1:BRL1"/>
    <mergeCell ref="BRM1:BRT1"/>
    <mergeCell ref="BRU1:BSB1"/>
    <mergeCell ref="BSC1:BSJ1"/>
    <mergeCell ref="BSK1:BSR1"/>
    <mergeCell ref="BSS1:BSZ1"/>
    <mergeCell ref="BTA1:BTH1"/>
    <mergeCell ref="BTI1:BTP1"/>
    <mergeCell ref="BTQ1:BTX1"/>
    <mergeCell ref="BTY1:BUF1"/>
    <mergeCell ref="BUG1:BUN1"/>
    <mergeCell ref="BUO1:BUV1"/>
    <mergeCell ref="BUW1:BVD1"/>
    <mergeCell ref="BVE1:BVL1"/>
    <mergeCell ref="BVM1:BVT1"/>
    <mergeCell ref="BVU1:BWB1"/>
    <mergeCell ref="BLQ1:BLX1"/>
    <mergeCell ref="BLY1:BMF1"/>
    <mergeCell ref="BMG1:BMN1"/>
    <mergeCell ref="BMO1:BMV1"/>
    <mergeCell ref="BMW1:BND1"/>
    <mergeCell ref="BNE1:BNL1"/>
    <mergeCell ref="BNM1:BNT1"/>
    <mergeCell ref="BNU1:BOB1"/>
    <mergeCell ref="BOC1:BOJ1"/>
    <mergeCell ref="BOK1:BOR1"/>
    <mergeCell ref="BOS1:BOZ1"/>
    <mergeCell ref="BPA1:BPH1"/>
    <mergeCell ref="BPI1:BPP1"/>
    <mergeCell ref="BPQ1:BPX1"/>
    <mergeCell ref="BPY1:BQF1"/>
    <mergeCell ref="BQG1:BQN1"/>
    <mergeCell ref="BQO1:BQV1"/>
    <mergeCell ref="BGK1:BGR1"/>
    <mergeCell ref="BGS1:BGZ1"/>
    <mergeCell ref="BHA1:BHH1"/>
    <mergeCell ref="BHI1:BHP1"/>
    <mergeCell ref="BHQ1:BHX1"/>
    <mergeCell ref="BHY1:BIF1"/>
    <mergeCell ref="BIG1:BIN1"/>
    <mergeCell ref="BIO1:BIV1"/>
    <mergeCell ref="BIW1:BJD1"/>
    <mergeCell ref="BJE1:BJL1"/>
    <mergeCell ref="BJM1:BJT1"/>
    <mergeCell ref="BJU1:BKB1"/>
    <mergeCell ref="BKC1:BKJ1"/>
    <mergeCell ref="BKK1:BKR1"/>
    <mergeCell ref="BKS1:BKZ1"/>
    <mergeCell ref="BLA1:BLH1"/>
    <mergeCell ref="BLI1:BLP1"/>
    <mergeCell ref="BBE1:BBL1"/>
    <mergeCell ref="BBM1:BBT1"/>
    <mergeCell ref="BBU1:BCB1"/>
    <mergeCell ref="BCC1:BCJ1"/>
    <mergeCell ref="BCK1:BCR1"/>
    <mergeCell ref="BCS1:BCZ1"/>
    <mergeCell ref="BDA1:BDH1"/>
    <mergeCell ref="BDI1:BDP1"/>
    <mergeCell ref="BDQ1:BDX1"/>
    <mergeCell ref="BDY1:BEF1"/>
    <mergeCell ref="BEG1:BEN1"/>
    <mergeCell ref="BEO1:BEV1"/>
    <mergeCell ref="BEW1:BFD1"/>
    <mergeCell ref="BFE1:BFL1"/>
    <mergeCell ref="BFM1:BFT1"/>
    <mergeCell ref="BFU1:BGB1"/>
    <mergeCell ref="BGC1:BGJ1"/>
    <mergeCell ref="AVY1:AWF1"/>
    <mergeCell ref="AWG1:AWN1"/>
    <mergeCell ref="AWO1:AWV1"/>
    <mergeCell ref="AWW1:AXD1"/>
    <mergeCell ref="AXE1:AXL1"/>
    <mergeCell ref="AXM1:AXT1"/>
    <mergeCell ref="AXU1:AYB1"/>
    <mergeCell ref="AYC1:AYJ1"/>
    <mergeCell ref="AYK1:AYR1"/>
    <mergeCell ref="AYS1:AYZ1"/>
    <mergeCell ref="AZA1:AZH1"/>
    <mergeCell ref="AZI1:AZP1"/>
    <mergeCell ref="AZQ1:AZX1"/>
    <mergeCell ref="AZY1:BAF1"/>
    <mergeCell ref="BAG1:BAN1"/>
    <mergeCell ref="BAO1:BAV1"/>
    <mergeCell ref="BAW1:BBD1"/>
    <mergeCell ref="AQS1:AQZ1"/>
    <mergeCell ref="ARA1:ARH1"/>
    <mergeCell ref="ARI1:ARP1"/>
    <mergeCell ref="ARQ1:ARX1"/>
    <mergeCell ref="ARY1:ASF1"/>
    <mergeCell ref="ASG1:ASN1"/>
    <mergeCell ref="ASO1:ASV1"/>
    <mergeCell ref="ASW1:ATD1"/>
    <mergeCell ref="ATE1:ATL1"/>
    <mergeCell ref="ATM1:ATT1"/>
    <mergeCell ref="ATU1:AUB1"/>
    <mergeCell ref="AUC1:AUJ1"/>
    <mergeCell ref="AUK1:AUR1"/>
    <mergeCell ref="AUS1:AUZ1"/>
    <mergeCell ref="AVA1:AVH1"/>
    <mergeCell ref="AVI1:AVP1"/>
    <mergeCell ref="AVQ1:AVX1"/>
    <mergeCell ref="ALM1:ALT1"/>
    <mergeCell ref="ALU1:AMB1"/>
    <mergeCell ref="AMC1:AMJ1"/>
    <mergeCell ref="AMK1:AMR1"/>
    <mergeCell ref="AMS1:AMZ1"/>
    <mergeCell ref="ANA1:ANH1"/>
    <mergeCell ref="ANI1:ANP1"/>
    <mergeCell ref="ANQ1:ANX1"/>
    <mergeCell ref="ANY1:AOF1"/>
    <mergeCell ref="AOG1:AON1"/>
    <mergeCell ref="AOO1:AOV1"/>
    <mergeCell ref="AOW1:APD1"/>
    <mergeCell ref="APE1:APL1"/>
    <mergeCell ref="APM1:APT1"/>
    <mergeCell ref="APU1:AQB1"/>
    <mergeCell ref="AQC1:AQJ1"/>
    <mergeCell ref="AQK1:AQR1"/>
    <mergeCell ref="AGG1:AGN1"/>
    <mergeCell ref="AGO1:AGV1"/>
    <mergeCell ref="AGW1:AHD1"/>
    <mergeCell ref="AHE1:AHL1"/>
    <mergeCell ref="AHM1:AHT1"/>
    <mergeCell ref="AHU1:AIB1"/>
    <mergeCell ref="AIC1:AIJ1"/>
    <mergeCell ref="AIK1:AIR1"/>
    <mergeCell ref="AIS1:AIZ1"/>
    <mergeCell ref="AJA1:AJH1"/>
    <mergeCell ref="AJI1:AJP1"/>
    <mergeCell ref="AJQ1:AJX1"/>
    <mergeCell ref="AJY1:AKF1"/>
    <mergeCell ref="AKG1:AKN1"/>
    <mergeCell ref="AKO1:AKV1"/>
    <mergeCell ref="AKW1:ALD1"/>
    <mergeCell ref="ALE1:ALL1"/>
    <mergeCell ref="ABA1:ABH1"/>
    <mergeCell ref="ABI1:ABP1"/>
    <mergeCell ref="ABQ1:ABX1"/>
    <mergeCell ref="ABY1:ACF1"/>
    <mergeCell ref="ACG1:ACN1"/>
    <mergeCell ref="ACO1:ACV1"/>
    <mergeCell ref="ACW1:ADD1"/>
    <mergeCell ref="ADE1:ADL1"/>
    <mergeCell ref="ADM1:ADT1"/>
    <mergeCell ref="ADU1:AEB1"/>
    <mergeCell ref="AEC1:AEJ1"/>
    <mergeCell ref="AEK1:AER1"/>
    <mergeCell ref="AES1:AEZ1"/>
    <mergeCell ref="AFA1:AFH1"/>
    <mergeCell ref="AFI1:AFP1"/>
    <mergeCell ref="AFQ1:AFX1"/>
    <mergeCell ref="AFY1:AGF1"/>
    <mergeCell ref="VU1:WB1"/>
    <mergeCell ref="WC1:WJ1"/>
    <mergeCell ref="WK1:WR1"/>
    <mergeCell ref="WS1:WZ1"/>
    <mergeCell ref="XA1:XH1"/>
    <mergeCell ref="XI1:XP1"/>
    <mergeCell ref="XQ1:XX1"/>
    <mergeCell ref="XY1:YF1"/>
    <mergeCell ref="YG1:YN1"/>
    <mergeCell ref="YO1:YV1"/>
    <mergeCell ref="YW1:ZD1"/>
    <mergeCell ref="ZE1:ZL1"/>
    <mergeCell ref="ZM1:ZT1"/>
    <mergeCell ref="ZU1:AAB1"/>
    <mergeCell ref="AAC1:AAJ1"/>
    <mergeCell ref="AAK1:AAR1"/>
    <mergeCell ref="AAS1:AAZ1"/>
    <mergeCell ref="QO1:QV1"/>
    <mergeCell ref="QW1:RD1"/>
    <mergeCell ref="RE1:RL1"/>
    <mergeCell ref="RM1:RT1"/>
    <mergeCell ref="RU1:SB1"/>
    <mergeCell ref="SC1:SJ1"/>
    <mergeCell ref="SK1:SR1"/>
    <mergeCell ref="SS1:SZ1"/>
    <mergeCell ref="TA1:TH1"/>
    <mergeCell ref="TI1:TP1"/>
    <mergeCell ref="TQ1:TX1"/>
    <mergeCell ref="TY1:UF1"/>
    <mergeCell ref="UG1:UN1"/>
    <mergeCell ref="UO1:UV1"/>
    <mergeCell ref="UW1:VD1"/>
    <mergeCell ref="VE1:VL1"/>
    <mergeCell ref="VM1:VT1"/>
    <mergeCell ref="LI1:LP1"/>
    <mergeCell ref="LQ1:LX1"/>
    <mergeCell ref="LY1:MF1"/>
    <mergeCell ref="MG1:MN1"/>
    <mergeCell ref="MO1:MV1"/>
    <mergeCell ref="MW1:ND1"/>
    <mergeCell ref="NE1:NL1"/>
    <mergeCell ref="NM1:NT1"/>
    <mergeCell ref="NU1:OB1"/>
    <mergeCell ref="OC1:OJ1"/>
    <mergeCell ref="OK1:OR1"/>
    <mergeCell ref="OS1:OZ1"/>
    <mergeCell ref="PA1:PH1"/>
    <mergeCell ref="PI1:PP1"/>
    <mergeCell ref="PQ1:PX1"/>
    <mergeCell ref="PY1:QF1"/>
    <mergeCell ref="QG1:QN1"/>
    <mergeCell ref="GC1:GJ1"/>
    <mergeCell ref="GK1:GR1"/>
    <mergeCell ref="GS1:GZ1"/>
    <mergeCell ref="HA1:HH1"/>
    <mergeCell ref="HI1:HP1"/>
    <mergeCell ref="HQ1:HX1"/>
    <mergeCell ref="HY1:IF1"/>
    <mergeCell ref="IG1:IN1"/>
    <mergeCell ref="IO1:IV1"/>
    <mergeCell ref="IW1:JD1"/>
    <mergeCell ref="JE1:JL1"/>
    <mergeCell ref="JM1:JT1"/>
    <mergeCell ref="JU1:KB1"/>
    <mergeCell ref="KC1:KJ1"/>
    <mergeCell ref="KK1:KR1"/>
    <mergeCell ref="KS1:KZ1"/>
    <mergeCell ref="LA1:LH1"/>
    <mergeCell ref="A1:M1"/>
    <mergeCell ref="BE1:BL1"/>
    <mergeCell ref="BM1:BT1"/>
    <mergeCell ref="BU1:CB1"/>
    <mergeCell ref="CC1:CJ1"/>
    <mergeCell ref="CK1:CR1"/>
    <mergeCell ref="CS1:CZ1"/>
    <mergeCell ref="DA1:DH1"/>
    <mergeCell ref="DI1:DP1"/>
    <mergeCell ref="DQ1:DX1"/>
    <mergeCell ref="DY1:EF1"/>
    <mergeCell ref="EG1:EN1"/>
    <mergeCell ref="EO1:EV1"/>
    <mergeCell ref="EW1:FD1"/>
    <mergeCell ref="FE1:FL1"/>
    <mergeCell ref="FM1:FT1"/>
    <mergeCell ref="FU1:GB1"/>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pane xSplit="1" ySplit="2" topLeftCell="B3" activePane="bottomRight" state="frozen"/>
      <selection pane="topRight" activeCell="B1" sqref="B1"/>
      <selection pane="bottomLeft" activeCell="A3" sqref="A3"/>
      <selection pane="bottomRight" sqref="A1:XFD1"/>
    </sheetView>
  </sheetViews>
  <sheetFormatPr defaultColWidth="12.6640625" defaultRowHeight="15" customHeight="1"/>
  <cols>
    <col min="1" max="1" width="55.44140625" customWidth="1"/>
    <col min="2" max="13" width="13.33203125" customWidth="1"/>
    <col min="14" max="14" width="12.33203125" customWidth="1"/>
    <col min="15" max="26" width="8.6640625" customWidth="1"/>
  </cols>
  <sheetData>
    <row r="1" spans="1:26" ht="28.8" customHeight="1">
      <c r="A1" s="406" t="s">
        <v>108</v>
      </c>
      <c r="B1" s="404"/>
      <c r="C1" s="404"/>
      <c r="D1" s="404"/>
      <c r="E1" s="404"/>
      <c r="F1" s="404"/>
      <c r="G1" s="404"/>
      <c r="H1" s="404"/>
      <c r="I1" s="404"/>
      <c r="J1" s="404"/>
      <c r="K1" s="404"/>
      <c r="L1" s="404"/>
      <c r="M1" s="405"/>
      <c r="N1" s="46"/>
      <c r="O1" s="11"/>
      <c r="P1" s="11"/>
      <c r="Q1" s="11"/>
      <c r="R1" s="11"/>
      <c r="S1" s="11"/>
      <c r="T1" s="11"/>
      <c r="U1" s="11"/>
      <c r="V1" s="11"/>
      <c r="W1" s="11"/>
      <c r="X1" s="11"/>
      <c r="Y1" s="11"/>
      <c r="Z1" s="11"/>
    </row>
    <row r="2" spans="1:26" ht="14.25" customHeight="1">
      <c r="A2" s="47" t="s">
        <v>42</v>
      </c>
      <c r="B2" s="47">
        <v>2019</v>
      </c>
      <c r="C2" s="47">
        <v>2020</v>
      </c>
      <c r="D2" s="47">
        <v>2021</v>
      </c>
      <c r="E2" s="47">
        <v>2022</v>
      </c>
      <c r="F2" s="47">
        <v>2023</v>
      </c>
      <c r="G2" s="47">
        <v>2024</v>
      </c>
      <c r="H2" s="47">
        <v>2025</v>
      </c>
      <c r="I2" s="116">
        <v>2026</v>
      </c>
      <c r="J2" s="117">
        <v>2027</v>
      </c>
      <c r="K2" s="117">
        <v>2028</v>
      </c>
      <c r="L2" s="117">
        <v>2029</v>
      </c>
      <c r="M2" s="117">
        <v>2030</v>
      </c>
      <c r="N2" s="46"/>
      <c r="O2" s="11"/>
      <c r="P2" s="11"/>
      <c r="Q2" s="11"/>
      <c r="R2" s="11"/>
      <c r="S2" s="11"/>
      <c r="T2" s="11"/>
      <c r="U2" s="11"/>
      <c r="V2" s="11"/>
      <c r="W2" s="11"/>
      <c r="X2" s="11"/>
      <c r="Y2" s="11"/>
      <c r="Z2" s="11"/>
    </row>
    <row r="3" spans="1:26" ht="14.25" customHeight="1">
      <c r="A3" s="118" t="s">
        <v>109</v>
      </c>
      <c r="B3" s="11"/>
      <c r="C3" s="11"/>
      <c r="D3" s="11"/>
      <c r="E3" s="11"/>
      <c r="F3" s="11"/>
      <c r="G3" s="11"/>
      <c r="H3" s="11"/>
      <c r="I3" s="50"/>
      <c r="J3" s="51"/>
      <c r="K3" s="51"/>
      <c r="L3" s="51"/>
      <c r="M3" s="51"/>
      <c r="N3" s="46"/>
      <c r="O3" s="11"/>
      <c r="P3" s="11"/>
      <c r="Q3" s="11"/>
      <c r="R3" s="11"/>
      <c r="S3" s="11"/>
      <c r="T3" s="11"/>
      <c r="U3" s="11"/>
      <c r="V3" s="11"/>
      <c r="W3" s="11"/>
      <c r="X3" s="11"/>
      <c r="Y3" s="11"/>
      <c r="Z3" s="11"/>
    </row>
    <row r="4" spans="1:26" ht="14.25" customHeight="1">
      <c r="A4" s="11" t="s">
        <v>110</v>
      </c>
      <c r="B4" s="11">
        <f>IS!B15</f>
        <v>6300465</v>
      </c>
      <c r="C4" s="11">
        <f>IS!C15</f>
        <v>5233500</v>
      </c>
      <c r="D4" s="11">
        <f>IS!D15</f>
        <v>5321802</v>
      </c>
      <c r="E4" s="11">
        <f>IS!E15</f>
        <v>5712300</v>
      </c>
      <c r="F4" s="11">
        <f>IS!F15</f>
        <v>13464823</v>
      </c>
      <c r="G4" s="11">
        <f>IS!G15</f>
        <v>15657291</v>
      </c>
      <c r="H4" s="11">
        <f>IS!H15</f>
        <v>16598854</v>
      </c>
      <c r="I4" s="50">
        <f>IS!I15</f>
        <v>19320939.97346998</v>
      </c>
      <c r="J4" s="51">
        <f>IS!J15</f>
        <v>21788217.083648693</v>
      </c>
      <c r="K4" s="51">
        <f>IS!K15</f>
        <v>24412591.309410822</v>
      </c>
      <c r="L4" s="51">
        <f>IS!L15</f>
        <v>27223652.369491987</v>
      </c>
      <c r="M4" s="51">
        <f>IS!M15</f>
        <v>30384954.945251435</v>
      </c>
      <c r="N4" s="46"/>
      <c r="O4" s="11"/>
      <c r="P4" s="11"/>
      <c r="Q4" s="11"/>
      <c r="R4" s="11"/>
      <c r="S4" s="11"/>
      <c r="T4" s="11"/>
      <c r="U4" s="11"/>
      <c r="V4" s="11"/>
      <c r="W4" s="11"/>
      <c r="X4" s="11"/>
      <c r="Y4" s="11"/>
      <c r="Z4" s="11"/>
    </row>
    <row r="5" spans="1:26" ht="14.25" customHeight="1">
      <c r="A5" s="75" t="s">
        <v>111</v>
      </c>
      <c r="B5" s="11"/>
      <c r="C5" s="11"/>
      <c r="D5" s="11"/>
      <c r="E5" s="11"/>
      <c r="F5" s="11"/>
      <c r="G5" s="11"/>
      <c r="H5" s="11"/>
      <c r="I5" s="50"/>
      <c r="J5" s="51"/>
      <c r="K5" s="51"/>
      <c r="L5" s="51"/>
      <c r="M5" s="51"/>
      <c r="N5" s="46"/>
      <c r="O5" s="11"/>
      <c r="P5" s="11"/>
      <c r="Q5" s="11"/>
      <c r="R5" s="11"/>
      <c r="S5" s="11"/>
      <c r="T5" s="11"/>
      <c r="U5" s="11"/>
      <c r="V5" s="11"/>
      <c r="W5" s="11"/>
      <c r="X5" s="11"/>
      <c r="Y5" s="11"/>
      <c r="Z5" s="11"/>
    </row>
    <row r="6" spans="1:26" ht="14.25" customHeight="1">
      <c r="A6" s="119" t="s">
        <v>112</v>
      </c>
      <c r="B6" s="11" t="s">
        <v>5</v>
      </c>
      <c r="C6" s="11">
        <v>69116</v>
      </c>
      <c r="D6" s="11">
        <v>77793</v>
      </c>
      <c r="E6" s="11">
        <v>70156</v>
      </c>
      <c r="F6" s="11">
        <v>65766</v>
      </c>
      <c r="G6" s="11">
        <v>63516</v>
      </c>
      <c r="H6" s="11">
        <v>56952</v>
      </c>
      <c r="I6" s="50">
        <f>CapEx!I21</f>
        <v>67239.852507988151</v>
      </c>
      <c r="J6" s="51">
        <f>CapEx!J21</f>
        <v>75400.833193133105</v>
      </c>
      <c r="K6" s="51">
        <f>CapEx!K21</f>
        <v>84554.961318123416</v>
      </c>
      <c r="L6" s="51">
        <f>CapEx!L21</f>
        <v>94823.489039384687</v>
      </c>
      <c r="M6" s="51">
        <f>CapEx!M21</f>
        <v>106342.52994166032</v>
      </c>
      <c r="N6" s="46"/>
      <c r="O6" s="11"/>
      <c r="P6" s="11"/>
      <c r="Q6" s="11"/>
      <c r="R6" s="11"/>
      <c r="S6" s="11"/>
      <c r="T6" s="11"/>
      <c r="U6" s="11"/>
      <c r="V6" s="11"/>
      <c r="W6" s="11"/>
      <c r="X6" s="11"/>
      <c r="Y6" s="11"/>
      <c r="Z6" s="11"/>
    </row>
    <row r="7" spans="1:26" ht="14.25" customHeight="1">
      <c r="A7" s="119" t="s">
        <v>113</v>
      </c>
      <c r="B7" s="11"/>
      <c r="C7" s="11"/>
      <c r="D7" s="11">
        <v>-7106</v>
      </c>
      <c r="E7" s="11">
        <v>-714</v>
      </c>
      <c r="F7" s="11">
        <v>-1839</v>
      </c>
      <c r="G7" s="11">
        <v>-14330</v>
      </c>
      <c r="H7" s="11">
        <v>-4040</v>
      </c>
      <c r="I7" s="50">
        <v>0</v>
      </c>
      <c r="J7" s="51">
        <v>0</v>
      </c>
      <c r="K7" s="51">
        <v>0</v>
      </c>
      <c r="L7" s="51">
        <v>0</v>
      </c>
      <c r="M7" s="51">
        <v>0</v>
      </c>
      <c r="N7" s="46"/>
      <c r="O7" s="11"/>
      <c r="P7" s="11"/>
      <c r="Q7" s="11"/>
      <c r="R7" s="11"/>
      <c r="S7" s="11"/>
      <c r="T7" s="11"/>
      <c r="U7" s="11"/>
      <c r="V7" s="11"/>
      <c r="W7" s="11"/>
      <c r="X7" s="11"/>
      <c r="Y7" s="11"/>
      <c r="Z7" s="11"/>
    </row>
    <row r="8" spans="1:26" ht="14.25" customHeight="1">
      <c r="A8" s="119" t="s">
        <v>114</v>
      </c>
      <c r="B8" s="11">
        <v>1224466</v>
      </c>
      <c r="C8" s="11">
        <v>1233239</v>
      </c>
      <c r="D8" s="11">
        <v>1319131</v>
      </c>
      <c r="E8" s="11">
        <v>1532988</v>
      </c>
      <c r="F8" s="11">
        <v>1796689</v>
      </c>
      <c r="G8" s="11">
        <v>2359441</v>
      </c>
      <c r="H8" s="11">
        <v>2778103</v>
      </c>
      <c r="I8" s="50">
        <f>-CapEx!I5</f>
        <v>2778103</v>
      </c>
      <c r="J8" s="51">
        <f>-CapEx!J5</f>
        <v>2984588.482429008</v>
      </c>
      <c r="K8" s="51">
        <f>-CapEx!K5</f>
        <v>3183197.8031197246</v>
      </c>
      <c r="L8" s="51">
        <f>-CapEx!L5</f>
        <v>3374974.6157805636</v>
      </c>
      <c r="M8" s="51">
        <f>-CapEx!M5</f>
        <v>3560870.6298539047</v>
      </c>
      <c r="N8" s="46"/>
      <c r="O8" s="11"/>
      <c r="P8" s="11"/>
      <c r="Q8" s="11"/>
      <c r="R8" s="11"/>
      <c r="S8" s="11"/>
      <c r="T8" s="11"/>
      <c r="U8" s="11"/>
      <c r="V8" s="11"/>
      <c r="W8" s="11"/>
      <c r="X8" s="11"/>
      <c r="Y8" s="11"/>
      <c r="Z8" s="11"/>
    </row>
    <row r="9" spans="1:26" ht="14.25" customHeight="1">
      <c r="A9" s="119" t="s">
        <v>115</v>
      </c>
      <c r="B9" s="11">
        <v>53515</v>
      </c>
      <c r="C9" s="11">
        <v>4850</v>
      </c>
      <c r="D9" s="11">
        <v>7437</v>
      </c>
      <c r="E9" s="11">
        <v>12360</v>
      </c>
      <c r="F9" s="11">
        <v>12101</v>
      </c>
      <c r="G9" s="11">
        <v>13463</v>
      </c>
      <c r="H9" s="11">
        <v>16157</v>
      </c>
      <c r="I9" s="50">
        <f>-CapEx!I14</f>
        <v>42445.8</v>
      </c>
      <c r="J9" s="51">
        <f>-CapEx!J14</f>
        <v>47992.641312000007</v>
      </c>
      <c r="K9" s="51">
        <f>-CapEx!K14</f>
        <v>54133.68049584001</v>
      </c>
      <c r="L9" s="51">
        <f>-CapEx!L14</f>
        <v>60957.392809780809</v>
      </c>
      <c r="M9" s="51">
        <f>-CapEx!M14</f>
        <v>68559.869274824508</v>
      </c>
      <c r="N9" s="46"/>
      <c r="O9" s="11"/>
      <c r="P9" s="11"/>
      <c r="Q9" s="11"/>
      <c r="R9" s="11"/>
      <c r="S9" s="11"/>
      <c r="T9" s="11"/>
      <c r="U9" s="11"/>
      <c r="V9" s="11"/>
      <c r="W9" s="11"/>
      <c r="X9" s="11"/>
      <c r="Y9" s="11"/>
      <c r="Z9" s="11"/>
    </row>
    <row r="10" spans="1:26" ht="14.25" customHeight="1">
      <c r="A10" s="119" t="s">
        <v>116</v>
      </c>
      <c r="B10" s="11">
        <v>-20818</v>
      </c>
      <c r="C10" s="11">
        <v>38847</v>
      </c>
      <c r="D10" s="11">
        <v>1096</v>
      </c>
      <c r="E10" s="11">
        <v>-10317</v>
      </c>
      <c r="F10" s="11">
        <v>49011</v>
      </c>
      <c r="G10" s="11">
        <v>-50310</v>
      </c>
      <c r="H10" s="11">
        <v>109225</v>
      </c>
      <c r="I10" s="50">
        <v>0</v>
      </c>
      <c r="J10" s="51">
        <f>CF!$I10</f>
        <v>0</v>
      </c>
      <c r="K10" s="51">
        <f>CF!$J10</f>
        <v>0</v>
      </c>
      <c r="L10" s="51">
        <f>CF!$K10</f>
        <v>0</v>
      </c>
      <c r="M10" s="51">
        <f>CF!$L10</f>
        <v>0</v>
      </c>
      <c r="N10" s="46"/>
      <c r="O10" s="11"/>
      <c r="P10" s="11"/>
      <c r="Q10" s="11"/>
      <c r="R10" s="11"/>
      <c r="S10" s="11"/>
      <c r="T10" s="11"/>
      <c r="U10" s="11"/>
      <c r="V10" s="11"/>
      <c r="W10" s="11"/>
      <c r="X10" s="11"/>
      <c r="Y10" s="11"/>
      <c r="Z10" s="11"/>
    </row>
    <row r="11" spans="1:26" ht="14.25" customHeight="1">
      <c r="A11" s="119" t="s">
        <v>117</v>
      </c>
      <c r="B11" s="11">
        <v>36847</v>
      </c>
      <c r="C11" s="11">
        <v>40826</v>
      </c>
      <c r="D11" s="11">
        <v>43030</v>
      </c>
      <c r="E11" s="11">
        <v>14847</v>
      </c>
      <c r="F11" s="11">
        <v>41659</v>
      </c>
      <c r="G11" s="11">
        <v>71786</v>
      </c>
      <c r="H11" s="11">
        <v>69714</v>
      </c>
      <c r="I11" s="50">
        <v>0</v>
      </c>
      <c r="J11" s="51">
        <f>CF!$I11</f>
        <v>0</v>
      </c>
      <c r="K11" s="51">
        <f>CF!$J11</f>
        <v>0</v>
      </c>
      <c r="L11" s="51">
        <f>CF!$K11</f>
        <v>0</v>
      </c>
      <c r="M11" s="51">
        <f>CF!$I11</f>
        <v>0</v>
      </c>
      <c r="N11" s="46"/>
      <c r="O11" s="11"/>
      <c r="P11" s="11"/>
      <c r="Q11" s="11"/>
      <c r="R11" s="11"/>
      <c r="S11" s="11"/>
      <c r="T11" s="11"/>
      <c r="U11" s="11"/>
      <c r="V11" s="11"/>
      <c r="W11" s="11"/>
      <c r="X11" s="11"/>
      <c r="Y11" s="11"/>
      <c r="Z11" s="11"/>
    </row>
    <row r="12" spans="1:26" ht="14.25" customHeight="1">
      <c r="A12" s="119" t="s">
        <v>118</v>
      </c>
      <c r="B12" s="11">
        <v>60547</v>
      </c>
      <c r="C12" s="11">
        <v>4729</v>
      </c>
      <c r="D12" s="11">
        <v>160258</v>
      </c>
      <c r="E12" s="11" t="s">
        <v>5</v>
      </c>
      <c r="F12" s="11">
        <v>38460</v>
      </c>
      <c r="G12" s="11">
        <v>84888</v>
      </c>
      <c r="H12" s="11">
        <v>-8045</v>
      </c>
      <c r="I12" s="50">
        <v>0</v>
      </c>
      <c r="J12" s="51">
        <v>0</v>
      </c>
      <c r="K12" s="51">
        <v>0</v>
      </c>
      <c r="L12" s="51">
        <v>0</v>
      </c>
      <c r="M12" s="51">
        <v>0</v>
      </c>
      <c r="N12" s="46"/>
      <c r="O12" s="11"/>
      <c r="P12" s="11"/>
      <c r="Q12" s="11"/>
      <c r="R12" s="11"/>
      <c r="S12" s="11"/>
      <c r="T12" s="11"/>
      <c r="U12" s="11"/>
      <c r="V12" s="11"/>
      <c r="W12" s="11"/>
      <c r="X12" s="11"/>
      <c r="Y12" s="11"/>
      <c r="Z12" s="11"/>
    </row>
    <row r="13" spans="1:26" ht="14.25" customHeight="1">
      <c r="A13" s="119" t="s">
        <v>119</v>
      </c>
      <c r="B13" s="11" t="s">
        <v>5</v>
      </c>
      <c r="C13" s="11">
        <v>132443</v>
      </c>
      <c r="D13" s="11" t="s">
        <v>5</v>
      </c>
      <c r="E13" s="11" t="s">
        <v>5</v>
      </c>
      <c r="F13" s="11" t="s">
        <v>5</v>
      </c>
      <c r="G13" s="11" t="s">
        <v>5</v>
      </c>
      <c r="H13" s="11">
        <v>0</v>
      </c>
      <c r="I13" s="50">
        <v>0</v>
      </c>
      <c r="J13" s="51">
        <v>0</v>
      </c>
      <c r="K13" s="51">
        <v>0</v>
      </c>
      <c r="L13" s="51">
        <v>0</v>
      </c>
      <c r="M13" s="51">
        <v>0</v>
      </c>
      <c r="N13" s="46"/>
      <c r="O13" s="11"/>
      <c r="P13" s="11"/>
      <c r="Q13" s="11"/>
      <c r="R13" s="11"/>
      <c r="S13" s="11"/>
      <c r="T13" s="11"/>
      <c r="U13" s="11"/>
      <c r="V13" s="11"/>
      <c r="W13" s="11"/>
      <c r="X13" s="11"/>
      <c r="Y13" s="11"/>
      <c r="Z13" s="11"/>
    </row>
    <row r="14" spans="1:26" ht="14.25" customHeight="1">
      <c r="A14" s="119" t="s">
        <v>120</v>
      </c>
      <c r="B14" s="11">
        <v>881</v>
      </c>
      <c r="C14" s="11">
        <v>740315</v>
      </c>
      <c r="D14" s="11">
        <v>449084</v>
      </c>
      <c r="E14" s="11">
        <v>463578</v>
      </c>
      <c r="F14" s="11">
        <v>353229</v>
      </c>
      <c r="G14" s="11">
        <v>-291063</v>
      </c>
      <c r="H14" s="11" t="s">
        <v>5</v>
      </c>
      <c r="I14" s="50">
        <v>0</v>
      </c>
      <c r="J14" s="51">
        <v>0</v>
      </c>
      <c r="K14" s="51">
        <v>0</v>
      </c>
      <c r="L14" s="51">
        <v>0</v>
      </c>
      <c r="M14" s="51">
        <v>0</v>
      </c>
      <c r="N14" s="46"/>
      <c r="O14" s="11"/>
      <c r="P14" s="11"/>
      <c r="Q14" s="11"/>
      <c r="R14" s="11"/>
      <c r="S14" s="11"/>
      <c r="T14" s="11"/>
      <c r="U14" s="11"/>
      <c r="V14" s="11"/>
      <c r="W14" s="11"/>
      <c r="X14" s="11"/>
      <c r="Y14" s="11"/>
      <c r="Z14" s="11"/>
    </row>
    <row r="15" spans="1:26" ht="14.25" customHeight="1">
      <c r="A15" s="119" t="s">
        <v>121</v>
      </c>
      <c r="B15" s="11">
        <v>24651</v>
      </c>
      <c r="C15" s="11" t="s">
        <v>5</v>
      </c>
      <c r="D15" s="11">
        <v>2082</v>
      </c>
      <c r="E15" s="11">
        <v>-162</v>
      </c>
      <c r="F15" s="11">
        <v>9930</v>
      </c>
      <c r="G15" s="11">
        <v>1976</v>
      </c>
      <c r="H15" s="11">
        <v>6780</v>
      </c>
      <c r="I15" s="50">
        <v>0</v>
      </c>
      <c r="J15" s="51">
        <f>CF!$I15</f>
        <v>0</v>
      </c>
      <c r="K15" s="51">
        <f>CF!$J15</f>
        <v>0</v>
      </c>
      <c r="L15" s="51">
        <f>CF!$K15</f>
        <v>0</v>
      </c>
      <c r="M15" s="51">
        <f>CF!$L15</f>
        <v>0</v>
      </c>
      <c r="N15" s="46"/>
      <c r="O15" s="11"/>
      <c r="P15" s="11"/>
      <c r="Q15" s="11"/>
      <c r="R15" s="11"/>
      <c r="S15" s="11"/>
      <c r="T15" s="11"/>
      <c r="U15" s="11"/>
      <c r="V15" s="11"/>
      <c r="W15" s="11"/>
      <c r="X15" s="11"/>
      <c r="Y15" s="11"/>
      <c r="Z15" s="11"/>
    </row>
    <row r="16" spans="1:26" ht="14.25" customHeight="1">
      <c r="A16" s="119" t="s">
        <v>122</v>
      </c>
      <c r="B16" s="11" t="s">
        <v>5</v>
      </c>
      <c r="C16" s="11" t="s">
        <v>5</v>
      </c>
      <c r="D16" s="11" t="s">
        <v>5</v>
      </c>
      <c r="E16" s="11" t="s">
        <v>5</v>
      </c>
      <c r="F16" s="11" t="s">
        <v>5</v>
      </c>
      <c r="G16" s="11" t="s">
        <v>5</v>
      </c>
      <c r="H16" s="11" t="s">
        <v>5</v>
      </c>
      <c r="I16" s="50">
        <v>0</v>
      </c>
      <c r="J16" s="51">
        <v>0</v>
      </c>
      <c r="K16" s="51">
        <v>0</v>
      </c>
      <c r="L16" s="51">
        <v>0</v>
      </c>
      <c r="M16" s="51">
        <v>0</v>
      </c>
      <c r="N16" s="46"/>
      <c r="O16" s="11"/>
      <c r="P16" s="11"/>
      <c r="Q16" s="11"/>
      <c r="R16" s="11"/>
      <c r="S16" s="11"/>
      <c r="T16" s="11"/>
      <c r="U16" s="11"/>
      <c r="V16" s="11"/>
      <c r="W16" s="11"/>
      <c r="X16" s="11"/>
      <c r="Y16" s="11"/>
      <c r="Z16" s="11"/>
    </row>
    <row r="17" spans="1:26" ht="14.25" customHeight="1">
      <c r="A17" s="119" t="s">
        <v>123</v>
      </c>
      <c r="B17" s="11" t="s">
        <v>5</v>
      </c>
      <c r="C17" s="11">
        <v>-155609</v>
      </c>
      <c r="D17" s="11" t="s">
        <v>5</v>
      </c>
      <c r="E17" s="11">
        <v>-160230</v>
      </c>
      <c r="F17" s="11">
        <v>-163100</v>
      </c>
      <c r="G17" s="11">
        <v>-5000</v>
      </c>
      <c r="H17" s="11">
        <v>-45800</v>
      </c>
      <c r="I17" s="50">
        <v>0</v>
      </c>
      <c r="J17" s="51">
        <v>0</v>
      </c>
      <c r="K17" s="51">
        <v>0</v>
      </c>
      <c r="L17" s="51">
        <v>0</v>
      </c>
      <c r="M17" s="51">
        <v>0</v>
      </c>
      <c r="N17" s="46"/>
      <c r="O17" s="11"/>
      <c r="P17" s="11"/>
      <c r="Q17" s="11"/>
      <c r="R17" s="11"/>
      <c r="S17" s="11"/>
      <c r="T17" s="11"/>
      <c r="U17" s="11"/>
      <c r="V17" s="11"/>
      <c r="W17" s="11"/>
      <c r="X17" s="11"/>
      <c r="Y17" s="11"/>
      <c r="Z17" s="11"/>
    </row>
    <row r="18" spans="1:26" ht="14.25" customHeight="1">
      <c r="A18" s="119" t="s">
        <v>124</v>
      </c>
      <c r="B18" s="11">
        <v>-3529</v>
      </c>
      <c r="C18" s="11">
        <v>-19246</v>
      </c>
      <c r="D18" s="11">
        <v>21011</v>
      </c>
      <c r="E18" s="11">
        <v>13896</v>
      </c>
      <c r="F18" s="11">
        <v>36372</v>
      </c>
      <c r="G18" s="11">
        <v>-168417</v>
      </c>
      <c r="H18" s="11">
        <v>1847</v>
      </c>
      <c r="I18" s="50">
        <v>0</v>
      </c>
      <c r="J18" s="51">
        <v>0</v>
      </c>
      <c r="K18" s="51">
        <v>0</v>
      </c>
      <c r="L18" s="51">
        <v>0</v>
      </c>
      <c r="M18" s="51">
        <v>0</v>
      </c>
      <c r="N18" s="46"/>
      <c r="O18" s="11"/>
      <c r="P18" s="11"/>
      <c r="Q18" s="11"/>
      <c r="R18" s="11"/>
      <c r="S18" s="11"/>
      <c r="T18" s="11"/>
      <c r="U18" s="11"/>
      <c r="V18" s="11"/>
      <c r="W18" s="11"/>
      <c r="X18" s="11"/>
      <c r="Y18" s="11"/>
      <c r="Z18" s="11"/>
    </row>
    <row r="19" spans="1:26" ht="14.25" customHeight="1">
      <c r="A19" s="119" t="s">
        <v>125</v>
      </c>
      <c r="B19" s="11" t="s">
        <v>5</v>
      </c>
      <c r="C19" s="11">
        <v>37567</v>
      </c>
      <c r="D19" s="11" t="s">
        <v>5</v>
      </c>
      <c r="E19" s="11">
        <v>1626</v>
      </c>
      <c r="F19" s="11">
        <v>5600</v>
      </c>
      <c r="G19" s="11">
        <v>8740</v>
      </c>
      <c r="H19" s="11">
        <v>357</v>
      </c>
      <c r="I19" s="50">
        <v>0</v>
      </c>
      <c r="J19" s="51">
        <v>0</v>
      </c>
      <c r="K19" s="51">
        <v>0</v>
      </c>
      <c r="L19" s="51">
        <v>0</v>
      </c>
      <c r="M19" s="51">
        <v>0</v>
      </c>
      <c r="N19" s="46"/>
      <c r="O19" s="11"/>
      <c r="P19" s="11"/>
      <c r="Q19" s="11"/>
      <c r="R19" s="11"/>
      <c r="S19" s="11"/>
      <c r="T19" s="11"/>
      <c r="U19" s="11"/>
      <c r="V19" s="11"/>
      <c r="W19" s="11"/>
      <c r="X19" s="11"/>
      <c r="Y19" s="11"/>
      <c r="Z19" s="11"/>
    </row>
    <row r="20" spans="1:26" ht="14.25" customHeight="1">
      <c r="A20" s="119" t="s">
        <v>126</v>
      </c>
      <c r="B20" s="11" t="s">
        <v>5</v>
      </c>
      <c r="C20" s="11" t="s">
        <v>5</v>
      </c>
      <c r="D20" s="11">
        <v>30670</v>
      </c>
      <c r="E20" s="11">
        <v>5804</v>
      </c>
      <c r="F20" s="11" t="s">
        <v>5</v>
      </c>
      <c r="G20" s="11" t="s">
        <v>5</v>
      </c>
      <c r="H20" s="11"/>
      <c r="I20" s="50">
        <v>0</v>
      </c>
      <c r="J20" s="51">
        <v>0</v>
      </c>
      <c r="K20" s="51">
        <v>0</v>
      </c>
      <c r="L20" s="51">
        <v>0</v>
      </c>
      <c r="M20" s="51">
        <v>0</v>
      </c>
      <c r="N20" s="46"/>
      <c r="O20" s="11"/>
      <c r="P20" s="11"/>
      <c r="Q20" s="11"/>
      <c r="R20" s="11"/>
      <c r="S20" s="11"/>
      <c r="T20" s="11"/>
      <c r="U20" s="11"/>
      <c r="V20" s="11"/>
      <c r="W20" s="11"/>
      <c r="X20" s="11"/>
      <c r="Y20" s="11"/>
      <c r="Z20" s="11"/>
    </row>
    <row r="21" spans="1:26" ht="14.25" customHeight="1">
      <c r="A21" s="119" t="s">
        <v>127</v>
      </c>
      <c r="B21" s="11" t="s">
        <v>5</v>
      </c>
      <c r="C21" s="11" t="s">
        <v>5</v>
      </c>
      <c r="D21" s="11">
        <v>-168072</v>
      </c>
      <c r="E21" s="11" t="s">
        <v>5</v>
      </c>
      <c r="F21" s="11" t="s">
        <v>5</v>
      </c>
      <c r="G21" s="11" t="s">
        <v>5</v>
      </c>
      <c r="H21" s="11"/>
      <c r="I21" s="50">
        <v>0</v>
      </c>
      <c r="J21" s="51">
        <v>0</v>
      </c>
      <c r="K21" s="51">
        <v>0</v>
      </c>
      <c r="L21" s="51">
        <v>0</v>
      </c>
      <c r="M21" s="51">
        <v>0</v>
      </c>
      <c r="N21" s="46"/>
      <c r="O21" s="11"/>
      <c r="P21" s="11"/>
      <c r="Q21" s="11"/>
      <c r="R21" s="11"/>
      <c r="S21" s="11"/>
      <c r="T21" s="11"/>
      <c r="U21" s="11"/>
      <c r="V21" s="11"/>
      <c r="W21" s="11"/>
      <c r="X21" s="11"/>
      <c r="Y21" s="11"/>
      <c r="Z21" s="11"/>
    </row>
    <row r="22" spans="1:26" ht="14.25" customHeight="1">
      <c r="A22" s="119" t="s">
        <v>128</v>
      </c>
      <c r="B22" s="11">
        <v>-4638</v>
      </c>
      <c r="C22" s="11">
        <v>-13455</v>
      </c>
      <c r="D22" s="11">
        <v>48298</v>
      </c>
      <c r="E22" s="11">
        <v>36773</v>
      </c>
      <c r="F22" s="11">
        <v>43670</v>
      </c>
      <c r="G22" s="11">
        <v>45105</v>
      </c>
      <c r="H22" s="11"/>
      <c r="I22" s="50">
        <v>0</v>
      </c>
      <c r="J22" s="51">
        <v>0</v>
      </c>
      <c r="K22" s="51">
        <v>0</v>
      </c>
      <c r="L22" s="51">
        <v>0</v>
      </c>
      <c r="M22" s="51">
        <v>0</v>
      </c>
      <c r="N22" s="46"/>
      <c r="O22" s="11"/>
      <c r="P22" s="11"/>
      <c r="Q22" s="11"/>
      <c r="R22" s="11"/>
      <c r="S22" s="11"/>
      <c r="T22" s="11"/>
      <c r="U22" s="11"/>
      <c r="V22" s="11"/>
      <c r="W22" s="11"/>
      <c r="X22" s="11"/>
      <c r="Y22" s="11"/>
      <c r="Z22" s="11"/>
    </row>
    <row r="23" spans="1:26" ht="14.25" customHeight="1">
      <c r="A23" s="119" t="s">
        <v>129</v>
      </c>
      <c r="B23" s="11"/>
      <c r="C23" s="11"/>
      <c r="D23" s="11">
        <v>-42012</v>
      </c>
      <c r="E23" s="11">
        <v>-630047</v>
      </c>
      <c r="F23" s="11">
        <v>-459624</v>
      </c>
      <c r="G23" s="11">
        <v>-7694</v>
      </c>
      <c r="H23" s="11">
        <v>-33682</v>
      </c>
      <c r="I23" s="50">
        <v>0</v>
      </c>
      <c r="J23" s="54">
        <v>0</v>
      </c>
      <c r="K23" s="54">
        <v>0</v>
      </c>
      <c r="L23" s="54">
        <v>0</v>
      </c>
      <c r="M23" s="54">
        <v>0</v>
      </c>
      <c r="N23" s="46"/>
      <c r="O23" s="11"/>
      <c r="P23" s="11"/>
      <c r="Q23" s="11"/>
      <c r="R23" s="11"/>
      <c r="S23" s="11"/>
      <c r="T23" s="11"/>
      <c r="U23" s="11"/>
      <c r="V23" s="11"/>
      <c r="W23" s="11"/>
      <c r="X23" s="11"/>
      <c r="Y23" s="11"/>
      <c r="Z23" s="11"/>
    </row>
    <row r="24" spans="1:26" ht="14.25" customHeight="1">
      <c r="A24" s="120" t="s">
        <v>130</v>
      </c>
      <c r="B24" s="120">
        <v>7674516</v>
      </c>
      <c r="C24" s="120">
        <v>7366743</v>
      </c>
      <c r="D24" s="120">
        <v>6861261</v>
      </c>
      <c r="E24" s="120">
        <v>7670230</v>
      </c>
      <c r="F24" s="120">
        <v>15284206</v>
      </c>
      <c r="G24" s="120">
        <v>17583457</v>
      </c>
      <c r="H24" s="120">
        <v>19452848</v>
      </c>
      <c r="I24" s="121">
        <f t="shared" ref="I24:M24" si="0">SUM(I4:I23)</f>
        <v>22208728.625977971</v>
      </c>
      <c r="J24" s="122">
        <f t="shared" si="0"/>
        <v>24896199.040582836</v>
      </c>
      <c r="K24" s="122">
        <f t="shared" si="0"/>
        <v>27734477.754344512</v>
      </c>
      <c r="L24" s="122">
        <f t="shared" si="0"/>
        <v>30754407.867121715</v>
      </c>
      <c r="M24" s="122">
        <f t="shared" si="0"/>
        <v>34120727.974321827</v>
      </c>
      <c r="N24" s="46"/>
      <c r="O24" s="11"/>
      <c r="P24" s="11"/>
      <c r="Q24" s="11"/>
      <c r="R24" s="11"/>
      <c r="S24" s="11"/>
      <c r="T24" s="11"/>
      <c r="U24" s="11"/>
      <c r="V24" s="11"/>
      <c r="W24" s="11"/>
      <c r="X24" s="11"/>
      <c r="Y24" s="11"/>
      <c r="Z24" s="11"/>
    </row>
    <row r="25" spans="1:26" ht="14.25" customHeight="1">
      <c r="A25" s="11" t="s">
        <v>131</v>
      </c>
      <c r="B25" s="11">
        <v>-582036</v>
      </c>
      <c r="C25" s="11">
        <v>-569544</v>
      </c>
      <c r="D25" s="11">
        <v>-678466</v>
      </c>
      <c r="E25" s="11">
        <v>-805732</v>
      </c>
      <c r="F25" s="11">
        <v>-2963245</v>
      </c>
      <c r="G25" s="11">
        <v>-1621465</v>
      </c>
      <c r="H25" s="11">
        <v>728453</v>
      </c>
      <c r="I25" s="50">
        <f>-(WC!I3-WC!H3)</f>
        <v>-971271.20801727474</v>
      </c>
      <c r="J25" s="51">
        <f>-(WC!J3-WC!I3)</f>
        <v>-1123498.3873672429</v>
      </c>
      <c r="K25" s="51">
        <f>-(WC!K3-WC!J3)</f>
        <v>-1260222.0962120853</v>
      </c>
      <c r="L25" s="51">
        <f>-(WC!L3-WC!K3)</f>
        <v>-1413638.2354724258</v>
      </c>
      <c r="M25" s="51">
        <f>-(WC!M3-WC!L3)</f>
        <v>-1585792.7346012462</v>
      </c>
      <c r="N25" s="46"/>
      <c r="O25" s="11"/>
      <c r="P25" s="11"/>
      <c r="Q25" s="11"/>
      <c r="R25" s="11"/>
      <c r="S25" s="11"/>
      <c r="T25" s="11"/>
      <c r="U25" s="11"/>
      <c r="V25" s="11"/>
      <c r="W25" s="11"/>
      <c r="X25" s="11"/>
      <c r="Y25" s="11"/>
      <c r="Z25" s="11"/>
    </row>
    <row r="26" spans="1:26" ht="14.25" customHeight="1">
      <c r="A26" s="11" t="s">
        <v>132</v>
      </c>
      <c r="B26" s="11">
        <v>762324</v>
      </c>
      <c r="C26" s="11">
        <v>464701</v>
      </c>
      <c r="D26" s="11">
        <v>51632</v>
      </c>
      <c r="E26" s="11">
        <v>-629294</v>
      </c>
      <c r="F26" s="11">
        <v>-3201632</v>
      </c>
      <c r="G26" s="11">
        <v>-480105</v>
      </c>
      <c r="H26" s="11">
        <v>409692</v>
      </c>
      <c r="I26" s="50">
        <f>-(WC!I4-WC!H4)</f>
        <v>-688688.973309475</v>
      </c>
      <c r="J26" s="51">
        <f>-(WC!J4-WC!I4)</f>
        <v>-772469.9481030358</v>
      </c>
      <c r="K26" s="51">
        <f>-(WC!K4-WC!J4)</f>
        <v>-866475.38457128499</v>
      </c>
      <c r="L26" s="51">
        <f>-(WC!L4-WC!K4)</f>
        <v>-971957.82982010301</v>
      </c>
      <c r="M26" s="51">
        <f>-(WC!M4-WC!L4)</f>
        <v>-1090323.9783638269</v>
      </c>
      <c r="N26" s="46"/>
      <c r="O26" s="11"/>
      <c r="P26" s="11"/>
      <c r="Q26" s="11"/>
      <c r="R26" s="11"/>
      <c r="S26" s="11"/>
      <c r="T26" s="11"/>
      <c r="U26" s="11"/>
      <c r="V26" s="11"/>
      <c r="W26" s="11"/>
      <c r="X26" s="11"/>
      <c r="Y26" s="11"/>
      <c r="Z26" s="11"/>
    </row>
    <row r="27" spans="1:26" ht="14.25" customHeight="1">
      <c r="A27" s="11" t="s">
        <v>133</v>
      </c>
      <c r="B27" s="11">
        <v>58957</v>
      </c>
      <c r="C27" s="11">
        <v>-6500</v>
      </c>
      <c r="D27" s="11">
        <v>6500</v>
      </c>
      <c r="E27" s="11" t="s">
        <v>5</v>
      </c>
      <c r="F27" s="11" t="s">
        <v>5</v>
      </c>
      <c r="G27" s="11" t="s">
        <v>5</v>
      </c>
      <c r="H27" s="11" t="s">
        <v>5</v>
      </c>
      <c r="I27" s="50">
        <v>0</v>
      </c>
      <c r="J27" s="51">
        <v>0</v>
      </c>
      <c r="K27" s="51">
        <v>0</v>
      </c>
      <c r="L27" s="51">
        <v>0</v>
      </c>
      <c r="M27" s="51">
        <v>0</v>
      </c>
      <c r="N27" s="46"/>
      <c r="O27" s="11"/>
      <c r="P27" s="11"/>
      <c r="Q27" s="11"/>
      <c r="R27" s="11"/>
      <c r="S27" s="11"/>
      <c r="T27" s="11"/>
      <c r="U27" s="11"/>
      <c r="V27" s="11"/>
      <c r="W27" s="11"/>
      <c r="X27" s="11"/>
      <c r="Y27" s="11"/>
      <c r="Z27" s="11"/>
    </row>
    <row r="28" spans="1:26" ht="14.25" customHeight="1">
      <c r="A28" s="11" t="s">
        <v>134</v>
      </c>
      <c r="B28" s="11">
        <v>9386</v>
      </c>
      <c r="C28" s="11">
        <v>-7197</v>
      </c>
      <c r="D28" s="11">
        <v>15080</v>
      </c>
      <c r="E28" s="11">
        <v>32929</v>
      </c>
      <c r="F28" s="11">
        <v>-79716</v>
      </c>
      <c r="G28" s="11">
        <v>47565</v>
      </c>
      <c r="H28" s="11">
        <v>-21373</v>
      </c>
      <c r="I28" s="50">
        <v>0</v>
      </c>
      <c r="J28" s="51">
        <v>0</v>
      </c>
      <c r="K28" s="51">
        <v>0</v>
      </c>
      <c r="L28" s="51">
        <v>0</v>
      </c>
      <c r="M28" s="51">
        <v>0</v>
      </c>
      <c r="N28" s="46"/>
      <c r="O28" s="11"/>
      <c r="P28" s="11"/>
      <c r="Q28" s="11"/>
      <c r="R28" s="11"/>
      <c r="S28" s="11"/>
      <c r="T28" s="11"/>
      <c r="U28" s="11"/>
      <c r="V28" s="11"/>
      <c r="W28" s="11"/>
      <c r="X28" s="11"/>
      <c r="Y28" s="11"/>
      <c r="Z28" s="11"/>
    </row>
    <row r="29" spans="1:26" ht="14.25" customHeight="1">
      <c r="A29" s="11" t="s">
        <v>135</v>
      </c>
      <c r="B29" s="11">
        <v>129007</v>
      </c>
      <c r="C29" s="11">
        <v>-1802196</v>
      </c>
      <c r="D29" s="11">
        <v>1770600</v>
      </c>
      <c r="E29" s="11">
        <v>525126</v>
      </c>
      <c r="F29" s="11">
        <v>-363065</v>
      </c>
      <c r="G29" s="11">
        <v>3087004</v>
      </c>
      <c r="H29" s="11">
        <v>-753047</v>
      </c>
      <c r="I29" s="50">
        <v>0</v>
      </c>
      <c r="J29" s="51">
        <v>0</v>
      </c>
      <c r="K29" s="51">
        <v>0</v>
      </c>
      <c r="L29" s="51">
        <v>0</v>
      </c>
      <c r="M29" s="51">
        <v>0</v>
      </c>
      <c r="N29" s="46"/>
      <c r="O29" s="11"/>
      <c r="P29" s="11"/>
      <c r="Q29" s="11"/>
      <c r="R29" s="11"/>
      <c r="S29" s="11"/>
      <c r="T29" s="11"/>
      <c r="U29" s="11"/>
      <c r="V29" s="11"/>
      <c r="W29" s="11"/>
      <c r="X29" s="11"/>
      <c r="Y29" s="11"/>
      <c r="Z29" s="11"/>
    </row>
    <row r="30" spans="1:26" ht="14.25" customHeight="1">
      <c r="A30" s="11" t="s">
        <v>136</v>
      </c>
      <c r="B30" s="52">
        <v>-41324</v>
      </c>
      <c r="C30" s="52">
        <v>429980</v>
      </c>
      <c r="D30" s="52">
        <v>221714</v>
      </c>
      <c r="E30" s="52">
        <v>1379096</v>
      </c>
      <c r="F30" s="52">
        <v>1478820</v>
      </c>
      <c r="G30" s="52">
        <v>-266623</v>
      </c>
      <c r="H30" s="11">
        <v>1003267</v>
      </c>
      <c r="I30" s="53">
        <f>WC!I5-WC!H5</f>
        <v>655591.88526191097</v>
      </c>
      <c r="J30" s="54">
        <f>WC!J5-WC!I5</f>
        <v>758342.69541088492</v>
      </c>
      <c r="K30" s="54">
        <f>WC!K5-WC!J5</f>
        <v>850628.9212371083</v>
      </c>
      <c r="L30" s="54">
        <f>WC!L5-WC!K5</f>
        <v>954182.25951901637</v>
      </c>
      <c r="M30" s="54">
        <f>WC!M5-WC!L5</f>
        <v>1070383.6785547752</v>
      </c>
      <c r="N30" s="46"/>
      <c r="O30" s="11"/>
      <c r="P30" s="11"/>
      <c r="Q30" s="11"/>
      <c r="R30" s="11"/>
      <c r="S30" s="11"/>
      <c r="T30" s="11"/>
      <c r="U30" s="11"/>
      <c r="V30" s="11"/>
      <c r="W30" s="11"/>
      <c r="X30" s="11"/>
      <c r="Y30" s="11"/>
      <c r="Z30" s="11"/>
    </row>
    <row r="31" spans="1:26" ht="14.25" customHeight="1">
      <c r="A31" s="11" t="s">
        <v>137</v>
      </c>
      <c r="B31" s="11">
        <v>8010830</v>
      </c>
      <c r="C31" s="11">
        <v>5875987</v>
      </c>
      <c r="D31" s="11">
        <v>8248321</v>
      </c>
      <c r="E31" s="11">
        <v>8172355</v>
      </c>
      <c r="F31" s="11">
        <v>10155368</v>
      </c>
      <c r="G31" s="11">
        <v>18349833</v>
      </c>
      <c r="H31" s="56">
        <v>20819839</v>
      </c>
      <c r="I31" s="50">
        <f t="shared" ref="I31:M31" si="1">SUM(I24:I30)</f>
        <v>21204360.329913132</v>
      </c>
      <c r="J31" s="51">
        <f t="shared" si="1"/>
        <v>23758573.400523443</v>
      </c>
      <c r="K31" s="51">
        <f t="shared" si="1"/>
        <v>26458409.19479825</v>
      </c>
      <c r="L31" s="51">
        <f t="shared" si="1"/>
        <v>29322994.0613482</v>
      </c>
      <c r="M31" s="51">
        <f t="shared" si="1"/>
        <v>32514994.939911529</v>
      </c>
      <c r="N31" s="46"/>
      <c r="O31" s="11"/>
      <c r="P31" s="11"/>
      <c r="Q31" s="11"/>
      <c r="R31" s="11"/>
      <c r="S31" s="11"/>
      <c r="T31" s="11"/>
      <c r="U31" s="11"/>
      <c r="V31" s="11"/>
      <c r="W31" s="11"/>
      <c r="X31" s="11"/>
      <c r="Y31" s="11"/>
      <c r="Z31" s="11"/>
    </row>
    <row r="32" spans="1:26" ht="14.25" customHeight="1">
      <c r="A32" s="119" t="s">
        <v>138</v>
      </c>
      <c r="B32" s="11">
        <v>-1899035</v>
      </c>
      <c r="C32" s="11">
        <v>-1558103</v>
      </c>
      <c r="D32" s="11">
        <v>-1223962</v>
      </c>
      <c r="E32" s="11">
        <v>-1004672</v>
      </c>
      <c r="F32" s="11">
        <v>-3462910</v>
      </c>
      <c r="G32" s="11">
        <v>-2769859</v>
      </c>
      <c r="H32" s="11">
        <v>0</v>
      </c>
      <c r="I32" s="50">
        <v>0</v>
      </c>
      <c r="J32" s="51">
        <v>0</v>
      </c>
      <c r="K32" s="51">
        <v>0</v>
      </c>
      <c r="L32" s="51">
        <v>0</v>
      </c>
      <c r="M32" s="51">
        <v>0</v>
      </c>
      <c r="N32" s="46"/>
      <c r="O32" s="11"/>
      <c r="P32" s="11"/>
      <c r="Q32" s="11"/>
      <c r="R32" s="11"/>
      <c r="S32" s="11"/>
      <c r="T32" s="11"/>
      <c r="U32" s="11"/>
      <c r="V32" s="11"/>
      <c r="W32" s="11"/>
      <c r="X32" s="11"/>
      <c r="Y32" s="11"/>
      <c r="Z32" s="11"/>
    </row>
    <row r="33" spans="1:26" ht="14.25" customHeight="1">
      <c r="A33" s="119" t="s">
        <v>139</v>
      </c>
      <c r="B33" s="11">
        <v>-460282</v>
      </c>
      <c r="C33" s="11">
        <v>-2327810</v>
      </c>
      <c r="D33" s="11">
        <v>-1368102</v>
      </c>
      <c r="E33" s="11">
        <v>-2148065</v>
      </c>
      <c r="F33" s="11">
        <v>-4037060</v>
      </c>
      <c r="G33" s="11">
        <v>-4308380</v>
      </c>
      <c r="H33" s="11">
        <v>-6021558</v>
      </c>
      <c r="I33" s="50">
        <f>IS!I20</f>
        <v>-7940540.7065893682</v>
      </c>
      <c r="J33" s="51">
        <f>IS!J20</f>
        <v>-9154270.9935222194</v>
      </c>
      <c r="K33" s="51">
        <f>IS!K20</f>
        <v>-10245707.619808972</v>
      </c>
      <c r="L33" s="51">
        <f>IS!L20</f>
        <v>-11663686.943227325</v>
      </c>
      <c r="M33" s="51">
        <f>IS!M20</f>
        <v>-13182984.622007351</v>
      </c>
      <c r="N33" s="46"/>
      <c r="O33" s="11"/>
      <c r="P33" s="11"/>
      <c r="Q33" s="11"/>
      <c r="R33" s="11"/>
      <c r="S33" s="11"/>
      <c r="T33" s="11"/>
      <c r="U33" s="11"/>
      <c r="V33" s="11"/>
      <c r="W33" s="11"/>
      <c r="X33" s="11"/>
      <c r="Y33" s="11"/>
      <c r="Z33" s="11"/>
    </row>
    <row r="34" spans="1:26" ht="14.25" customHeight="1">
      <c r="A34" s="119" t="s">
        <v>140</v>
      </c>
      <c r="B34" s="11"/>
      <c r="C34" s="11"/>
      <c r="D34" s="11"/>
      <c r="E34" s="11"/>
      <c r="F34" s="11">
        <v>-1230756</v>
      </c>
      <c r="G34" s="11" t="s">
        <v>5</v>
      </c>
      <c r="H34" s="11">
        <v>0</v>
      </c>
      <c r="I34" s="50">
        <v>0</v>
      </c>
      <c r="J34" s="51">
        <v>0</v>
      </c>
      <c r="K34" s="51">
        <v>0</v>
      </c>
      <c r="L34" s="51">
        <v>0</v>
      </c>
      <c r="M34" s="51">
        <v>0</v>
      </c>
      <c r="N34" s="46"/>
      <c r="O34" s="11"/>
      <c r="P34" s="11"/>
      <c r="Q34" s="11"/>
      <c r="R34" s="11"/>
      <c r="S34" s="11"/>
      <c r="T34" s="11"/>
      <c r="U34" s="11"/>
      <c r="V34" s="11"/>
      <c r="W34" s="11"/>
      <c r="X34" s="11"/>
      <c r="Y34" s="11"/>
      <c r="Z34" s="11"/>
    </row>
    <row r="35" spans="1:26" ht="14.25" customHeight="1">
      <c r="A35" s="119" t="s">
        <v>141</v>
      </c>
      <c r="B35" s="11">
        <v>-11209</v>
      </c>
      <c r="C35" s="11">
        <v>-26006</v>
      </c>
      <c r="D35" s="11">
        <v>-6073</v>
      </c>
      <c r="E35" s="11">
        <v>-29259</v>
      </c>
      <c r="F35" s="11">
        <v>-17824</v>
      </c>
      <c r="G35" s="11">
        <v>-73727</v>
      </c>
      <c r="H35" s="11">
        <v>-32337</v>
      </c>
      <c r="I35" s="50" t="s">
        <v>5</v>
      </c>
      <c r="J35" s="51" t="str">
        <f>CF!$I35</f>
        <v>-</v>
      </c>
      <c r="K35" s="51" t="str">
        <f>CF!$J35</f>
        <v>-</v>
      </c>
      <c r="L35" s="51" t="str">
        <f>CF!$K35</f>
        <v>-</v>
      </c>
      <c r="M35" s="51" t="str">
        <f>CF!$L35</f>
        <v>-</v>
      </c>
      <c r="N35" s="46"/>
      <c r="O35" s="11"/>
      <c r="P35" s="11"/>
      <c r="Q35" s="11"/>
      <c r="R35" s="11"/>
      <c r="S35" s="11"/>
      <c r="T35" s="11"/>
      <c r="U35" s="11"/>
      <c r="V35" s="11"/>
      <c r="W35" s="11"/>
      <c r="X35" s="11"/>
      <c r="Y35" s="11"/>
      <c r="Z35" s="11"/>
    </row>
    <row r="36" spans="1:26" ht="14.25" customHeight="1">
      <c r="A36" s="123" t="s">
        <v>142</v>
      </c>
      <c r="B36" s="123">
        <v>5640305</v>
      </c>
      <c r="C36" s="123">
        <v>1964068</v>
      </c>
      <c r="D36" s="123">
        <v>5650184</v>
      </c>
      <c r="E36" s="123">
        <v>4990359</v>
      </c>
      <c r="F36" s="123">
        <v>1406818</v>
      </c>
      <c r="G36" s="123">
        <v>11197867</v>
      </c>
      <c r="H36" s="123">
        <v>14765944</v>
      </c>
      <c r="I36" s="124">
        <f t="shared" ref="I36:M36" si="2">SUM(I31:I35)</f>
        <v>13263819.623323765</v>
      </c>
      <c r="J36" s="125">
        <f t="shared" si="2"/>
        <v>14604302.407001223</v>
      </c>
      <c r="K36" s="125">
        <f t="shared" si="2"/>
        <v>16212701.574989278</v>
      </c>
      <c r="L36" s="125">
        <f t="shared" si="2"/>
        <v>17659307.118120875</v>
      </c>
      <c r="M36" s="125">
        <f t="shared" si="2"/>
        <v>19332010.317904178</v>
      </c>
      <c r="N36" s="46"/>
      <c r="O36" s="11"/>
      <c r="P36" s="11"/>
      <c r="Q36" s="11"/>
      <c r="R36" s="11"/>
      <c r="S36" s="11"/>
      <c r="T36" s="11"/>
      <c r="U36" s="11"/>
      <c r="V36" s="11"/>
      <c r="W36" s="11"/>
      <c r="X36" s="11"/>
      <c r="Y36" s="11"/>
      <c r="Z36" s="11"/>
    </row>
    <row r="37" spans="1:26" ht="14.25" customHeight="1">
      <c r="A37" s="55"/>
      <c r="B37" s="55"/>
      <c r="C37" s="55"/>
      <c r="D37" s="55"/>
      <c r="E37" s="55"/>
      <c r="F37" s="55"/>
      <c r="G37" s="55"/>
      <c r="H37" s="55"/>
      <c r="I37" s="126"/>
      <c r="J37" s="122"/>
      <c r="K37" s="122"/>
      <c r="L37" s="122"/>
      <c r="M37" s="122"/>
      <c r="N37" s="46"/>
      <c r="O37" s="11"/>
      <c r="P37" s="11"/>
      <c r="Q37" s="11"/>
      <c r="R37" s="11"/>
      <c r="S37" s="11"/>
      <c r="T37" s="11"/>
      <c r="U37" s="11"/>
      <c r="V37" s="11"/>
      <c r="W37" s="11"/>
      <c r="X37" s="11"/>
      <c r="Y37" s="11"/>
      <c r="Z37" s="11"/>
    </row>
    <row r="38" spans="1:26" ht="14.25" customHeight="1">
      <c r="A38" s="118" t="s">
        <v>143</v>
      </c>
      <c r="B38" s="11"/>
      <c r="C38" s="11"/>
      <c r="D38" s="11"/>
      <c r="E38" s="11"/>
      <c r="F38" s="11"/>
      <c r="G38" s="11"/>
      <c r="H38" s="11"/>
      <c r="I38" s="50"/>
      <c r="J38" s="51"/>
      <c r="K38" s="51"/>
      <c r="L38" s="51"/>
      <c r="M38" s="51"/>
      <c r="N38" s="46"/>
      <c r="O38" s="11"/>
      <c r="P38" s="11"/>
      <c r="Q38" s="11"/>
      <c r="R38" s="11"/>
      <c r="S38" s="11"/>
      <c r="T38" s="11"/>
      <c r="U38" s="11"/>
      <c r="V38" s="11"/>
      <c r="W38" s="11"/>
      <c r="X38" s="11"/>
      <c r="Y38" s="11"/>
      <c r="Z38" s="11"/>
    </row>
    <row r="39" spans="1:26" ht="14.25" customHeight="1">
      <c r="A39" s="11" t="s">
        <v>144</v>
      </c>
      <c r="B39" s="11">
        <v>-1022884</v>
      </c>
      <c r="C39" s="11">
        <v>-1889651</v>
      </c>
      <c r="D39" s="11">
        <v>-1161207</v>
      </c>
      <c r="E39" s="11">
        <v>-2092880</v>
      </c>
      <c r="F39" s="11">
        <v>-4295928</v>
      </c>
      <c r="G39" s="11">
        <v>-5398293</v>
      </c>
      <c r="H39" s="11">
        <v>-4827582</v>
      </c>
      <c r="I39" s="50">
        <f>-CapEx!I4</f>
        <v>-4948271.55</v>
      </c>
      <c r="J39" s="51">
        <f>-CapEx!J4</f>
        <v>-5071978.3387499992</v>
      </c>
      <c r="K39" s="51">
        <f>-CapEx!K4</f>
        <v>-5198777.7972187484</v>
      </c>
      <c r="L39" s="51">
        <f>-CapEx!L4</f>
        <v>-5328747.2421492171</v>
      </c>
      <c r="M39" s="51">
        <f>-CapEx!M4</f>
        <v>-5461965.9232029468</v>
      </c>
      <c r="N39" s="46"/>
      <c r="O39" s="11"/>
      <c r="P39" s="11"/>
      <c r="Q39" s="11"/>
      <c r="R39" s="11"/>
      <c r="S39" s="11"/>
      <c r="T39" s="11"/>
      <c r="U39" s="11"/>
      <c r="V39" s="11"/>
      <c r="W39" s="11"/>
      <c r="X39" s="11"/>
      <c r="Y39" s="11"/>
      <c r="Z39" s="11"/>
    </row>
    <row r="40" spans="1:26" ht="14.25" customHeight="1">
      <c r="A40" s="11" t="s">
        <v>145</v>
      </c>
      <c r="B40" s="11">
        <v>-49205</v>
      </c>
      <c r="C40" s="11">
        <v>-5746</v>
      </c>
      <c r="D40" s="11">
        <v>-27196</v>
      </c>
      <c r="E40" s="11">
        <v>-7457</v>
      </c>
      <c r="F40" s="11">
        <v>-7815</v>
      </c>
      <c r="G40" s="11">
        <v>-41222</v>
      </c>
      <c r="H40" s="11">
        <v>-26145</v>
      </c>
      <c r="I40" s="50">
        <f>-CapEx!I13</f>
        <v>-70180.006560000009</v>
      </c>
      <c r="J40" s="51">
        <f>-CapEx!J13</f>
        <v>-78697.837231200014</v>
      </c>
      <c r="K40" s="51">
        <f>-CapEx!K13</f>
        <v>-88252.242065544022</v>
      </c>
      <c r="L40" s="51">
        <f>-CapEx!L13</f>
        <v>-98969.775134999305</v>
      </c>
      <c r="M40" s="51">
        <f>-CapEx!M13</f>
        <v>-110992.50177602774</v>
      </c>
      <c r="N40" s="46"/>
      <c r="O40" s="11"/>
      <c r="P40" s="11"/>
      <c r="Q40" s="11"/>
      <c r="R40" s="11"/>
      <c r="S40" s="11"/>
      <c r="T40" s="11"/>
      <c r="U40" s="11"/>
      <c r="V40" s="11"/>
      <c r="W40" s="11"/>
      <c r="X40" s="11"/>
      <c r="Y40" s="11"/>
      <c r="Z40" s="11"/>
    </row>
    <row r="41" spans="1:26" ht="14.25" customHeight="1">
      <c r="A41" s="11" t="s">
        <v>146</v>
      </c>
      <c r="B41" s="11"/>
      <c r="C41" s="11"/>
      <c r="D41" s="11"/>
      <c r="E41" s="11"/>
      <c r="F41" s="11"/>
      <c r="G41" s="11">
        <v>-500000</v>
      </c>
      <c r="H41" s="11">
        <v>-3000000</v>
      </c>
      <c r="I41" s="50">
        <v>0</v>
      </c>
      <c r="J41" s="51">
        <v>0</v>
      </c>
      <c r="K41" s="51">
        <v>0</v>
      </c>
      <c r="L41" s="51">
        <v>0</v>
      </c>
      <c r="M41" s="51">
        <v>0</v>
      </c>
      <c r="N41" s="46"/>
      <c r="O41" s="11"/>
      <c r="P41" s="11"/>
      <c r="Q41" s="11"/>
      <c r="R41" s="11"/>
      <c r="S41" s="11"/>
      <c r="T41" s="11"/>
      <c r="U41" s="11"/>
      <c r="V41" s="11"/>
      <c r="W41" s="11"/>
      <c r="X41" s="11"/>
      <c r="Y41" s="11"/>
      <c r="Z41" s="11"/>
    </row>
    <row r="42" spans="1:26" ht="14.25" customHeight="1">
      <c r="A42" s="11" t="s">
        <v>147</v>
      </c>
      <c r="B42" s="11">
        <v>3529</v>
      </c>
      <c r="C42" s="11">
        <v>37351</v>
      </c>
      <c r="D42" s="11">
        <v>0</v>
      </c>
      <c r="E42" s="11">
        <v>14005</v>
      </c>
      <c r="F42" s="11">
        <v>0</v>
      </c>
      <c r="G42" s="11">
        <v>0</v>
      </c>
      <c r="H42" s="11">
        <v>0</v>
      </c>
      <c r="I42" s="50">
        <f>CF!$H42</f>
        <v>0</v>
      </c>
      <c r="J42" s="51">
        <v>0</v>
      </c>
      <c r="K42" s="51">
        <v>0</v>
      </c>
      <c r="L42" s="51">
        <v>0</v>
      </c>
      <c r="M42" s="51">
        <v>0</v>
      </c>
      <c r="N42" s="46"/>
      <c r="O42" s="11"/>
      <c r="P42" s="11"/>
      <c r="Q42" s="11"/>
      <c r="R42" s="11"/>
      <c r="S42" s="11"/>
      <c r="T42" s="11"/>
      <c r="U42" s="11"/>
      <c r="V42" s="11"/>
      <c r="W42" s="11"/>
      <c r="X42" s="11"/>
      <c r="Y42" s="11"/>
      <c r="Z42" s="11"/>
    </row>
    <row r="43" spans="1:26" ht="14.25" customHeight="1">
      <c r="A43" s="11" t="s">
        <v>148</v>
      </c>
      <c r="B43" s="11">
        <v>298961</v>
      </c>
      <c r="C43" s="11">
        <v>259396</v>
      </c>
      <c r="D43" s="11">
        <v>366291</v>
      </c>
      <c r="E43" s="11">
        <v>400788</v>
      </c>
      <c r="F43" s="11">
        <v>441309</v>
      </c>
      <c r="G43" s="11">
        <v>451251</v>
      </c>
      <c r="H43" s="11">
        <v>10478</v>
      </c>
      <c r="I43" s="50">
        <v>0</v>
      </c>
      <c r="J43" s="51">
        <v>0</v>
      </c>
      <c r="K43" s="51">
        <v>0</v>
      </c>
      <c r="L43" s="51">
        <v>0</v>
      </c>
      <c r="M43" s="51">
        <v>0</v>
      </c>
      <c r="N43" s="46"/>
      <c r="O43" s="11"/>
      <c r="P43" s="11"/>
      <c r="Q43" s="11"/>
      <c r="R43" s="11"/>
      <c r="S43" s="11"/>
      <c r="T43" s="11"/>
      <c r="U43" s="11"/>
      <c r="V43" s="11"/>
      <c r="W43" s="11"/>
      <c r="X43" s="11"/>
      <c r="Y43" s="11"/>
      <c r="Z43" s="11"/>
    </row>
    <row r="44" spans="1:26" ht="14.25" customHeight="1">
      <c r="A44" s="11" t="s">
        <v>149</v>
      </c>
      <c r="B44" s="11">
        <v>-6998</v>
      </c>
      <c r="C44" s="11" t="s">
        <v>5</v>
      </c>
      <c r="D44" s="11" t="s">
        <v>5</v>
      </c>
      <c r="E44" s="11" t="s">
        <v>5</v>
      </c>
      <c r="F44" s="11"/>
      <c r="G44" s="11"/>
      <c r="H44" s="11">
        <v>561228</v>
      </c>
      <c r="I44" s="50">
        <v>0</v>
      </c>
      <c r="J44" s="51">
        <v>0</v>
      </c>
      <c r="K44" s="51">
        <v>0</v>
      </c>
      <c r="L44" s="51">
        <v>0</v>
      </c>
      <c r="M44" s="51">
        <v>0</v>
      </c>
      <c r="N44" s="46"/>
      <c r="O44" s="11"/>
      <c r="P44" s="11"/>
      <c r="Q44" s="11"/>
      <c r="R44" s="11"/>
      <c r="S44" s="11"/>
      <c r="T44" s="11"/>
      <c r="U44" s="11"/>
      <c r="V44" s="11"/>
      <c r="W44" s="11"/>
      <c r="X44" s="11"/>
      <c r="Y44" s="11"/>
      <c r="Z44" s="11"/>
    </row>
    <row r="45" spans="1:26" ht="14.25" customHeight="1">
      <c r="A45" s="11" t="s">
        <v>150</v>
      </c>
      <c r="B45" s="11">
        <v>1009923</v>
      </c>
      <c r="C45" s="11">
        <v>950902</v>
      </c>
      <c r="D45" s="11">
        <v>664193</v>
      </c>
      <c r="E45" s="11">
        <v>627596</v>
      </c>
      <c r="F45" s="11">
        <v>1411521</v>
      </c>
      <c r="G45" s="11">
        <v>1152128</v>
      </c>
      <c r="H45" s="11">
        <v>745375</v>
      </c>
      <c r="I45" s="53">
        <v>0</v>
      </c>
      <c r="J45" s="54">
        <v>0</v>
      </c>
      <c r="K45" s="54">
        <v>0</v>
      </c>
      <c r="L45" s="54">
        <v>0</v>
      </c>
      <c r="M45" s="54">
        <v>0</v>
      </c>
      <c r="N45" s="46"/>
      <c r="O45" s="11"/>
      <c r="P45" s="11"/>
      <c r="Q45" s="11"/>
      <c r="R45" s="11"/>
      <c r="S45" s="11"/>
      <c r="T45" s="11"/>
      <c r="U45" s="11"/>
      <c r="V45" s="11"/>
      <c r="W45" s="11"/>
      <c r="X45" s="11"/>
      <c r="Y45" s="11"/>
      <c r="Z45" s="11"/>
    </row>
    <row r="46" spans="1:26" ht="14.25" customHeight="1">
      <c r="A46" s="123" t="s">
        <v>151</v>
      </c>
      <c r="B46" s="123">
        <f t="shared" ref="B46:M46" si="3">SUM(B39:B45)</f>
        <v>233326</v>
      </c>
      <c r="C46" s="123">
        <f t="shared" si="3"/>
        <v>-647748</v>
      </c>
      <c r="D46" s="123">
        <f t="shared" si="3"/>
        <v>-157919</v>
      </c>
      <c r="E46" s="123">
        <f t="shared" si="3"/>
        <v>-1057948</v>
      </c>
      <c r="F46" s="123">
        <f t="shared" si="3"/>
        <v>-2450913</v>
      </c>
      <c r="G46" s="123">
        <f t="shared" si="3"/>
        <v>-4336136</v>
      </c>
      <c r="H46" s="123">
        <f t="shared" si="3"/>
        <v>-6536646</v>
      </c>
      <c r="I46" s="127">
        <f t="shared" si="3"/>
        <v>-5018451.5565599995</v>
      </c>
      <c r="J46" s="128">
        <f t="shared" si="3"/>
        <v>-5150676.1759811994</v>
      </c>
      <c r="K46" s="128">
        <f t="shared" si="3"/>
        <v>-5287030.0392842926</v>
      </c>
      <c r="L46" s="128">
        <f t="shared" si="3"/>
        <v>-5427717.0172842164</v>
      </c>
      <c r="M46" s="128">
        <f t="shared" si="3"/>
        <v>-5572958.4249789743</v>
      </c>
      <c r="N46" s="78"/>
      <c r="O46" s="55"/>
      <c r="P46" s="55"/>
      <c r="Q46" s="55"/>
      <c r="R46" s="55"/>
      <c r="S46" s="55"/>
      <c r="T46" s="55"/>
      <c r="U46" s="55"/>
      <c r="V46" s="55"/>
      <c r="W46" s="55"/>
      <c r="X46" s="55"/>
      <c r="Y46" s="55"/>
      <c r="Z46" s="55"/>
    </row>
    <row r="47" spans="1:26" ht="14.25" customHeight="1">
      <c r="A47" s="55"/>
      <c r="B47" s="11"/>
      <c r="C47" s="11"/>
      <c r="D47" s="11"/>
      <c r="E47" s="11"/>
      <c r="F47" s="11"/>
      <c r="G47" s="11"/>
      <c r="H47" s="11"/>
      <c r="I47" s="50"/>
      <c r="J47" s="51"/>
      <c r="K47" s="51"/>
      <c r="L47" s="51"/>
      <c r="M47" s="51"/>
      <c r="N47" s="46"/>
      <c r="O47" s="11"/>
      <c r="P47" s="11"/>
      <c r="Q47" s="11"/>
      <c r="R47" s="11"/>
      <c r="S47" s="11"/>
      <c r="T47" s="11"/>
      <c r="U47" s="11"/>
      <c r="V47" s="11"/>
      <c r="W47" s="11"/>
      <c r="X47" s="11"/>
      <c r="Y47" s="11"/>
      <c r="Z47" s="11"/>
    </row>
    <row r="48" spans="1:26" ht="14.25" customHeight="1">
      <c r="A48" s="118" t="s">
        <v>152</v>
      </c>
      <c r="B48" s="11"/>
      <c r="C48" s="11"/>
      <c r="D48" s="11"/>
      <c r="E48" s="11"/>
      <c r="F48" s="11"/>
      <c r="G48" s="11"/>
      <c r="H48" s="11"/>
      <c r="I48" s="50"/>
      <c r="J48" s="51"/>
      <c r="K48" s="51"/>
      <c r="L48" s="51"/>
      <c r="M48" s="51"/>
      <c r="N48" s="46"/>
      <c r="O48" s="11"/>
      <c r="P48" s="11"/>
      <c r="Q48" s="11"/>
      <c r="R48" s="11"/>
      <c r="S48" s="11"/>
      <c r="T48" s="11"/>
      <c r="U48" s="11"/>
      <c r="V48" s="11"/>
      <c r="W48" s="11"/>
      <c r="X48" s="11"/>
      <c r="Y48" s="11"/>
      <c r="Z48" s="11"/>
    </row>
    <row r="49" spans="1:26" ht="14.25" customHeight="1">
      <c r="A49" s="11" t="s">
        <v>138</v>
      </c>
      <c r="B49" s="11"/>
      <c r="C49" s="11"/>
      <c r="D49" s="11"/>
      <c r="E49" s="11"/>
      <c r="F49" s="11"/>
      <c r="G49" s="11"/>
      <c r="H49" s="11">
        <v>-2166862</v>
      </c>
      <c r="I49" s="50">
        <f>-'Loan Schedule'!B5</f>
        <v>-1077448.6100000001</v>
      </c>
      <c r="J49" s="51">
        <f>-'Loan Schedule'!C5</f>
        <v>-883951.21520292351</v>
      </c>
      <c r="K49" s="51">
        <f>-'Loan Schedule'!D5</f>
        <v>-647652.19667673367</v>
      </c>
      <c r="L49" s="51">
        <f>-'Loan Schedule'!E5</f>
        <v>-359083.83525255066</v>
      </c>
      <c r="M49" s="51">
        <f>-'Loan Schedule'!F5</f>
        <v>-6684.1522813383117</v>
      </c>
      <c r="N49" s="46"/>
      <c r="O49" s="11"/>
      <c r="P49" s="11"/>
      <c r="Q49" s="11"/>
      <c r="R49" s="11"/>
      <c r="S49" s="11"/>
      <c r="T49" s="11"/>
      <c r="U49" s="11"/>
      <c r="V49" s="11"/>
      <c r="W49" s="11"/>
      <c r="X49" s="11"/>
      <c r="Y49" s="11"/>
      <c r="Z49" s="11"/>
    </row>
    <row r="50" spans="1:26" ht="14.25" customHeight="1">
      <c r="A50" s="11" t="s">
        <v>153</v>
      </c>
      <c r="B50" s="11"/>
      <c r="C50" s="11">
        <v>4373249</v>
      </c>
      <c r="D50" s="11">
        <v>3000000</v>
      </c>
      <c r="E50" s="11">
        <v>2000000</v>
      </c>
      <c r="F50" s="11">
        <v>2400000</v>
      </c>
      <c r="G50" s="11">
        <v>1900000</v>
      </c>
      <c r="H50" s="11">
        <v>16350000</v>
      </c>
      <c r="I50" s="50">
        <v>0</v>
      </c>
      <c r="J50" s="51">
        <v>0</v>
      </c>
      <c r="K50" s="51">
        <v>0</v>
      </c>
      <c r="L50" s="51">
        <v>0</v>
      </c>
      <c r="M50" s="51">
        <v>0</v>
      </c>
      <c r="N50" s="46"/>
      <c r="O50" s="11"/>
      <c r="P50" s="11"/>
      <c r="Q50" s="11"/>
      <c r="R50" s="11"/>
      <c r="S50" s="11"/>
      <c r="T50" s="11"/>
      <c r="U50" s="11"/>
      <c r="V50" s="11"/>
      <c r="W50" s="11"/>
      <c r="X50" s="11"/>
      <c r="Y50" s="11"/>
      <c r="Z50" s="11"/>
    </row>
    <row r="51" spans="1:26" ht="14.25" customHeight="1">
      <c r="A51" s="11" t="s">
        <v>154</v>
      </c>
      <c r="B51" s="11">
        <v>-2442990</v>
      </c>
      <c r="C51" s="11">
        <v>-1622619</v>
      </c>
      <c r="D51" s="11">
        <v>-10330300</v>
      </c>
      <c r="E51" s="11">
        <v>-1784300</v>
      </c>
      <c r="F51" s="11">
        <v>-1187400</v>
      </c>
      <c r="G51" s="11">
        <v>-4141667</v>
      </c>
      <c r="H51" s="11">
        <v>-15333333</v>
      </c>
      <c r="I51" s="50">
        <f>-('Loan Schedule'!B6-'Loan Schedule'!B5)+(-1500000)</f>
        <v>-2374762.1826269282</v>
      </c>
      <c r="J51" s="51">
        <f>-('Loan Schedule'!C6-'Loan Schedule'!C5)</f>
        <v>-1068259.5774240047</v>
      </c>
      <c r="K51" s="51">
        <f>-('Loan Schedule'!D6-'Loan Schedule'!D5)</f>
        <v>-1304558.5959501946</v>
      </c>
      <c r="L51" s="51">
        <f>-('Loan Schedule'!E6-'Loan Schedule'!E5)</f>
        <v>-1593126.9573743776</v>
      </c>
      <c r="M51" s="51">
        <f>-('Loan Schedule'!F6-'Loan Schedule'!F5)</f>
        <v>-156000.08043757238</v>
      </c>
      <c r="N51" s="46"/>
      <c r="O51" s="11"/>
      <c r="P51" s="11"/>
      <c r="Q51" s="11"/>
      <c r="R51" s="11"/>
      <c r="S51" s="11"/>
      <c r="T51" s="11"/>
      <c r="U51" s="11"/>
      <c r="V51" s="11"/>
      <c r="W51" s="11"/>
      <c r="X51" s="11"/>
      <c r="Y51" s="11"/>
      <c r="Z51" s="11"/>
    </row>
    <row r="52" spans="1:26" ht="14.25" customHeight="1">
      <c r="A52" s="11" t="s">
        <v>155</v>
      </c>
      <c r="B52" s="11">
        <v>-998800</v>
      </c>
      <c r="C52" s="11">
        <v>-2000000</v>
      </c>
      <c r="D52" s="11"/>
      <c r="E52" s="11"/>
      <c r="F52" s="11" t="s">
        <v>5</v>
      </c>
      <c r="G52" s="11" t="s">
        <v>5</v>
      </c>
      <c r="H52" s="11" t="s">
        <v>5</v>
      </c>
      <c r="I52" s="50" t="s">
        <v>5</v>
      </c>
      <c r="J52" s="51" t="s">
        <v>5</v>
      </c>
      <c r="K52" s="51" t="s">
        <v>5</v>
      </c>
      <c r="L52" s="51" t="s">
        <v>5</v>
      </c>
      <c r="M52" s="51" t="s">
        <v>5</v>
      </c>
      <c r="N52" s="46"/>
      <c r="O52" s="11"/>
      <c r="P52" s="11"/>
      <c r="Q52" s="11"/>
      <c r="R52" s="11"/>
      <c r="S52" s="11"/>
      <c r="T52" s="11"/>
      <c r="U52" s="11"/>
      <c r="V52" s="11"/>
      <c r="W52" s="11"/>
      <c r="X52" s="11"/>
      <c r="Y52" s="11"/>
      <c r="Z52" s="11"/>
    </row>
    <row r="53" spans="1:26" ht="14.25" customHeight="1">
      <c r="A53" s="11" t="s">
        <v>156</v>
      </c>
      <c r="B53" s="11">
        <v>0</v>
      </c>
      <c r="C53" s="11">
        <v>-85974</v>
      </c>
      <c r="D53" s="11">
        <v>-103523</v>
      </c>
      <c r="E53" s="11">
        <v>-96060</v>
      </c>
      <c r="F53" s="11">
        <v>-102316</v>
      </c>
      <c r="G53" s="11">
        <v>-91901</v>
      </c>
      <c r="H53" s="11">
        <v>-90554</v>
      </c>
      <c r="I53" s="50">
        <v>-90554</v>
      </c>
      <c r="J53" s="51">
        <v>-90554</v>
      </c>
      <c r="K53" s="51">
        <v>-90554</v>
      </c>
      <c r="L53" s="51">
        <v>-90554</v>
      </c>
      <c r="M53" s="51">
        <v>-90554</v>
      </c>
      <c r="N53" s="46"/>
      <c r="O53" s="11"/>
      <c r="P53" s="11"/>
      <c r="Q53" s="11"/>
      <c r="R53" s="11"/>
      <c r="S53" s="11"/>
      <c r="T53" s="11"/>
      <c r="U53" s="11"/>
      <c r="V53" s="11"/>
      <c r="W53" s="11"/>
      <c r="X53" s="11"/>
      <c r="Y53" s="11"/>
      <c r="Z53" s="11"/>
    </row>
    <row r="54" spans="1:26" ht="14.25" customHeight="1">
      <c r="A54" s="11" t="s">
        <v>157</v>
      </c>
      <c r="B54" s="11" t="s">
        <v>5</v>
      </c>
      <c r="C54" s="11">
        <v>6017</v>
      </c>
      <c r="D54" s="11">
        <v>987</v>
      </c>
      <c r="E54" s="11">
        <v>1621</v>
      </c>
      <c r="F54" s="11">
        <v>419</v>
      </c>
      <c r="G54" s="11">
        <v>252</v>
      </c>
      <c r="H54" s="11">
        <v>1152</v>
      </c>
      <c r="I54" s="50">
        <v>0</v>
      </c>
      <c r="J54" s="51">
        <f>CF!$I54</f>
        <v>0</v>
      </c>
      <c r="K54" s="51">
        <f>CF!$J54</f>
        <v>0</v>
      </c>
      <c r="L54" s="51">
        <f>CF!$K54</f>
        <v>0</v>
      </c>
      <c r="M54" s="51">
        <f>CF!$L54</f>
        <v>0</v>
      </c>
      <c r="N54" s="46"/>
      <c r="O54" s="11"/>
      <c r="P54" s="11"/>
      <c r="Q54" s="11"/>
      <c r="R54" s="11"/>
      <c r="S54" s="11"/>
      <c r="T54" s="11"/>
      <c r="U54" s="11"/>
      <c r="V54" s="11"/>
      <c r="W54" s="11"/>
      <c r="X54" s="11"/>
      <c r="Y54" s="11"/>
      <c r="Z54" s="11"/>
    </row>
    <row r="55" spans="1:26" ht="14.25" customHeight="1">
      <c r="A55" s="11" t="s">
        <v>158</v>
      </c>
      <c r="B55" s="11">
        <v>-323139</v>
      </c>
      <c r="C55" s="11">
        <v>-474199</v>
      </c>
      <c r="D55" s="11">
        <v>-593147</v>
      </c>
      <c r="E55" s="11">
        <v>-1337740</v>
      </c>
      <c r="F55" s="11">
        <v>-2278002</v>
      </c>
      <c r="G55" s="11">
        <v>-4326807</v>
      </c>
      <c r="H55" s="11">
        <v>-2375329</v>
      </c>
      <c r="I55" s="50">
        <f>CF!$H55</f>
        <v>-2375329</v>
      </c>
      <c r="J55" s="51">
        <f>CF!$I55</f>
        <v>-2375329</v>
      </c>
      <c r="K55" s="51">
        <f>CF!$J55</f>
        <v>-2375329</v>
      </c>
      <c r="L55" s="51">
        <f>CF!$K55</f>
        <v>-2375329</v>
      </c>
      <c r="M55" s="51">
        <f>CF!$L55</f>
        <v>-2375329</v>
      </c>
      <c r="N55" s="46"/>
      <c r="O55" s="11"/>
      <c r="P55" s="11"/>
      <c r="Q55" s="11"/>
      <c r="R55" s="11"/>
      <c r="S55" s="11"/>
      <c r="T55" s="11"/>
      <c r="U55" s="11"/>
      <c r="V55" s="11"/>
      <c r="W55" s="11"/>
      <c r="X55" s="11"/>
      <c r="Y55" s="11"/>
      <c r="Z55" s="11"/>
    </row>
    <row r="56" spans="1:26" ht="14.25" customHeight="1">
      <c r="A56" s="123" t="s">
        <v>159</v>
      </c>
      <c r="B56" s="123">
        <v>-3764929</v>
      </c>
      <c r="C56" s="123">
        <v>196474</v>
      </c>
      <c r="D56" s="123">
        <v>-8025983</v>
      </c>
      <c r="E56" s="123">
        <v>-1216479</v>
      </c>
      <c r="F56" s="123">
        <v>-1167299</v>
      </c>
      <c r="G56" s="123">
        <v>-6660123</v>
      </c>
      <c r="H56" s="123">
        <v>-3614926</v>
      </c>
      <c r="I56" s="124">
        <f t="shared" ref="I56:M56" si="4">SUM(I49:I55)</f>
        <v>-5918093.7926269285</v>
      </c>
      <c r="J56" s="125">
        <f t="shared" si="4"/>
        <v>-4418093.7926269285</v>
      </c>
      <c r="K56" s="125">
        <f t="shared" si="4"/>
        <v>-4418093.7926269285</v>
      </c>
      <c r="L56" s="125">
        <f t="shared" si="4"/>
        <v>-4418093.7926269285</v>
      </c>
      <c r="M56" s="125">
        <f t="shared" si="4"/>
        <v>-2628567.2327189106</v>
      </c>
      <c r="N56" s="78"/>
      <c r="O56" s="55"/>
      <c r="P56" s="55"/>
      <c r="Q56" s="55"/>
      <c r="R56" s="55"/>
      <c r="S56" s="55"/>
      <c r="T56" s="55"/>
      <c r="U56" s="55"/>
      <c r="V56" s="55"/>
      <c r="W56" s="55"/>
      <c r="X56" s="55"/>
      <c r="Y56" s="55"/>
      <c r="Z56" s="55"/>
    </row>
    <row r="57" spans="1:26" ht="14.25" customHeight="1">
      <c r="A57" s="55"/>
      <c r="B57" s="55"/>
      <c r="C57" s="55"/>
      <c r="D57" s="55"/>
      <c r="E57" s="55"/>
      <c r="F57" s="11"/>
      <c r="G57" s="11"/>
      <c r="H57" s="11"/>
      <c r="I57" s="50"/>
      <c r="J57" s="51"/>
      <c r="K57" s="51"/>
      <c r="L57" s="51"/>
      <c r="M57" s="51"/>
      <c r="N57" s="46"/>
      <c r="O57" s="11"/>
      <c r="P57" s="11"/>
      <c r="Q57" s="11"/>
      <c r="R57" s="11"/>
      <c r="S57" s="11"/>
      <c r="T57" s="11"/>
      <c r="U57" s="11"/>
      <c r="V57" s="11"/>
      <c r="W57" s="11"/>
      <c r="X57" s="11"/>
      <c r="Y57" s="11"/>
      <c r="Z57" s="11"/>
    </row>
    <row r="58" spans="1:26" ht="14.25" customHeight="1">
      <c r="A58" s="11" t="s">
        <v>160</v>
      </c>
      <c r="B58" s="11">
        <v>2108702</v>
      </c>
      <c r="C58" s="11">
        <v>1512794</v>
      </c>
      <c r="D58" s="11">
        <v>-2533718</v>
      </c>
      <c r="E58" s="11">
        <v>2715932</v>
      </c>
      <c r="F58" s="11">
        <v>-2211394</v>
      </c>
      <c r="G58" s="11">
        <v>701608</v>
      </c>
      <c r="H58" s="11">
        <v>4614371</v>
      </c>
      <c r="I58" s="50">
        <f t="shared" ref="I58:M58" si="5">I36+I46+I56</f>
        <v>2327274.2741368366</v>
      </c>
      <c r="J58" s="51">
        <f t="shared" si="5"/>
        <v>5035532.4383930955</v>
      </c>
      <c r="K58" s="51">
        <f t="shared" si="5"/>
        <v>6507577.7430780567</v>
      </c>
      <c r="L58" s="51">
        <f t="shared" si="5"/>
        <v>7813496.3082097303</v>
      </c>
      <c r="M58" s="51">
        <f t="shared" si="5"/>
        <v>11130484.660206292</v>
      </c>
      <c r="N58" s="46"/>
      <c r="O58" s="11"/>
      <c r="P58" s="11"/>
      <c r="Q58" s="11"/>
      <c r="R58" s="11"/>
      <c r="S58" s="11"/>
      <c r="T58" s="11"/>
      <c r="U58" s="11"/>
      <c r="V58" s="11"/>
      <c r="W58" s="11"/>
      <c r="X58" s="11"/>
      <c r="Y58" s="11"/>
      <c r="Z58" s="11"/>
    </row>
    <row r="59" spans="1:26" ht="14.25" customHeight="1">
      <c r="A59" s="11" t="s">
        <v>161</v>
      </c>
      <c r="B59" s="11">
        <v>6560059</v>
      </c>
      <c r="C59" s="11">
        <v>8668761</v>
      </c>
      <c r="D59" s="11">
        <v>10181555</v>
      </c>
      <c r="E59" s="11">
        <v>7686214</v>
      </c>
      <c r="F59" s="11">
        <v>11137550</v>
      </c>
      <c r="G59" s="11">
        <v>9303148</v>
      </c>
      <c r="H59" s="11">
        <v>6975114</v>
      </c>
      <c r="I59" s="50">
        <f t="shared" ref="I59:M59" si="6">H62</f>
        <v>11542881</v>
      </c>
      <c r="J59" s="51">
        <f t="shared" si="6"/>
        <v>13823551.274136838</v>
      </c>
      <c r="K59" s="51">
        <f t="shared" si="6"/>
        <v>18812479.712529935</v>
      </c>
      <c r="L59" s="51">
        <f t="shared" si="6"/>
        <v>25273453.455607992</v>
      </c>
      <c r="M59" s="51">
        <f t="shared" si="6"/>
        <v>33040345.76381772</v>
      </c>
      <c r="N59" s="46"/>
      <c r="O59" s="11"/>
      <c r="P59" s="11"/>
      <c r="Q59" s="11"/>
      <c r="R59" s="11"/>
      <c r="S59" s="11"/>
      <c r="T59" s="11"/>
      <c r="U59" s="11"/>
      <c r="V59" s="11"/>
      <c r="W59" s="11"/>
      <c r="X59" s="11"/>
      <c r="Y59" s="11"/>
      <c r="Z59" s="11"/>
    </row>
    <row r="60" spans="1:26" ht="14.25" customHeight="1">
      <c r="A60" s="11" t="s">
        <v>162</v>
      </c>
      <c r="B60" s="11"/>
      <c r="C60" s="11"/>
      <c r="D60" s="11"/>
      <c r="E60" s="11"/>
      <c r="F60" s="11" t="s">
        <v>5</v>
      </c>
      <c r="G60" s="11">
        <v>-7005</v>
      </c>
      <c r="H60" s="11">
        <v>-14834</v>
      </c>
      <c r="I60" s="50">
        <v>-14834</v>
      </c>
      <c r="J60" s="51">
        <v>-14834</v>
      </c>
      <c r="K60" s="51">
        <v>-14834</v>
      </c>
      <c r="L60" s="51">
        <v>-14834</v>
      </c>
      <c r="M60" s="51">
        <v>-14834</v>
      </c>
      <c r="N60" s="46"/>
      <c r="O60" s="11"/>
      <c r="P60" s="11"/>
      <c r="Q60" s="11"/>
      <c r="R60" s="11"/>
      <c r="S60" s="11"/>
      <c r="T60" s="11"/>
      <c r="U60" s="11"/>
      <c r="V60" s="11"/>
      <c r="W60" s="11"/>
      <c r="X60" s="11"/>
      <c r="Y60" s="11"/>
      <c r="Z60" s="11"/>
    </row>
    <row r="61" spans="1:26" ht="14.25" customHeight="1">
      <c r="A61" s="11" t="s">
        <v>163</v>
      </c>
      <c r="B61" s="11" t="s">
        <v>5</v>
      </c>
      <c r="C61" s="11" t="s">
        <v>5</v>
      </c>
      <c r="D61" s="11">
        <v>38377</v>
      </c>
      <c r="E61" s="11">
        <v>735404</v>
      </c>
      <c r="F61" s="11">
        <v>376992</v>
      </c>
      <c r="G61" s="11">
        <v>-13925</v>
      </c>
      <c r="H61" s="11">
        <v>-31770</v>
      </c>
      <c r="I61" s="50">
        <v>-31770</v>
      </c>
      <c r="J61" s="51">
        <v>-31770</v>
      </c>
      <c r="K61" s="51">
        <v>-31770</v>
      </c>
      <c r="L61" s="51">
        <v>-31770</v>
      </c>
      <c r="M61" s="51">
        <v>-31770</v>
      </c>
      <c r="N61" s="46"/>
      <c r="O61" s="11"/>
      <c r="P61" s="11"/>
      <c r="Q61" s="11"/>
      <c r="R61" s="11"/>
      <c r="S61" s="11"/>
      <c r="T61" s="11"/>
      <c r="U61" s="11"/>
      <c r="V61" s="11"/>
      <c r="W61" s="11"/>
      <c r="X61" s="11"/>
      <c r="Y61" s="11"/>
      <c r="Z61" s="11"/>
    </row>
    <row r="62" spans="1:26" ht="14.25" customHeight="1">
      <c r="A62" s="68" t="s">
        <v>164</v>
      </c>
      <c r="B62" s="68">
        <v>8668761</v>
      </c>
      <c r="C62" s="68">
        <v>10181555</v>
      </c>
      <c r="D62" s="68">
        <v>7686214</v>
      </c>
      <c r="E62" s="68">
        <v>11137550</v>
      </c>
      <c r="F62" s="68">
        <v>9303148</v>
      </c>
      <c r="G62" s="68">
        <v>9983826</v>
      </c>
      <c r="H62" s="68">
        <v>11542881</v>
      </c>
      <c r="I62" s="129">
        <f t="shared" ref="I62:M62" si="7">SUM(I58:I61)</f>
        <v>13823551.274136838</v>
      </c>
      <c r="J62" s="130">
        <f t="shared" si="7"/>
        <v>18812479.712529935</v>
      </c>
      <c r="K62" s="130">
        <f t="shared" si="7"/>
        <v>25273453.455607992</v>
      </c>
      <c r="L62" s="130">
        <f t="shared" si="7"/>
        <v>33040345.76381772</v>
      </c>
      <c r="M62" s="130">
        <f t="shared" si="7"/>
        <v>44124226.424024016</v>
      </c>
      <c r="N62" s="46"/>
      <c r="O62" s="11"/>
      <c r="P62" s="11"/>
      <c r="Q62" s="11"/>
      <c r="R62" s="11"/>
      <c r="S62" s="11"/>
      <c r="T62" s="11"/>
      <c r="U62" s="11"/>
      <c r="V62" s="11"/>
      <c r="W62" s="11"/>
      <c r="X62" s="11"/>
      <c r="Y62" s="11"/>
      <c r="Z62" s="11"/>
    </row>
    <row r="63" spans="1:26" ht="14.25" customHeight="1">
      <c r="A63" s="11"/>
      <c r="B63" s="11"/>
      <c r="C63" s="11"/>
      <c r="D63" s="11"/>
      <c r="E63" s="11"/>
      <c r="F63" s="11"/>
      <c r="G63" s="11"/>
      <c r="H63" s="11"/>
      <c r="I63" s="50"/>
      <c r="J63" s="51"/>
      <c r="K63" s="51"/>
      <c r="L63" s="51"/>
      <c r="M63" s="51"/>
      <c r="N63" s="46"/>
      <c r="O63" s="11"/>
      <c r="P63" s="11"/>
      <c r="Q63" s="11"/>
      <c r="R63" s="11"/>
      <c r="S63" s="11"/>
      <c r="T63" s="11"/>
      <c r="U63" s="11"/>
      <c r="V63" s="11"/>
      <c r="W63" s="11"/>
      <c r="X63" s="11"/>
      <c r="Y63" s="11"/>
      <c r="Z63" s="11"/>
    </row>
    <row r="64" spans="1:26" ht="14.25" customHeight="1">
      <c r="A64" s="118" t="s">
        <v>165</v>
      </c>
      <c r="B64" s="11"/>
      <c r="C64" s="11"/>
      <c r="D64" s="11"/>
      <c r="E64" s="11"/>
      <c r="F64" s="11"/>
      <c r="G64" s="11"/>
      <c r="H64" s="11"/>
      <c r="I64" s="50"/>
      <c r="J64" s="51"/>
      <c r="K64" s="51"/>
      <c r="L64" s="51"/>
      <c r="M64" s="51"/>
      <c r="N64" s="46"/>
      <c r="O64" s="11"/>
      <c r="P64" s="11"/>
      <c r="Q64" s="11"/>
      <c r="R64" s="11"/>
      <c r="S64" s="11"/>
      <c r="T64" s="11"/>
      <c r="U64" s="11"/>
      <c r="V64" s="11"/>
      <c r="W64" s="11"/>
      <c r="X64" s="11"/>
      <c r="Y64" s="11"/>
      <c r="Z64" s="11"/>
    </row>
    <row r="65" spans="1:26" ht="14.25" customHeight="1">
      <c r="A65" s="11" t="s">
        <v>80</v>
      </c>
      <c r="B65" s="11">
        <v>10564799</v>
      </c>
      <c r="C65" s="11">
        <v>13367260</v>
      </c>
      <c r="D65" s="11">
        <v>9701006</v>
      </c>
      <c r="E65" s="11">
        <v>13114311</v>
      </c>
      <c r="F65" s="11">
        <v>11348046</v>
      </c>
      <c r="G65" s="11">
        <v>12571174</v>
      </c>
      <c r="H65" s="11">
        <v>13475936</v>
      </c>
      <c r="I65" s="50">
        <f t="shared" ref="I65:M65" si="8">I67-I66</f>
        <v>15756606.274136838</v>
      </c>
      <c r="J65" s="51">
        <f t="shared" si="8"/>
        <v>20745534.712529935</v>
      </c>
      <c r="K65" s="51">
        <f t="shared" si="8"/>
        <v>27206508.455607992</v>
      </c>
      <c r="L65" s="51">
        <f t="shared" si="8"/>
        <v>34973400.76381772</v>
      </c>
      <c r="M65" s="51">
        <f t="shared" si="8"/>
        <v>46057281.424024016</v>
      </c>
      <c r="N65" s="46"/>
      <c r="O65" s="11"/>
      <c r="P65" s="11"/>
      <c r="Q65" s="11"/>
      <c r="R65" s="11"/>
      <c r="S65" s="11"/>
      <c r="T65" s="11"/>
      <c r="U65" s="11"/>
      <c r="V65" s="11"/>
      <c r="W65" s="11"/>
      <c r="X65" s="11"/>
      <c r="Y65" s="11"/>
      <c r="Z65" s="11"/>
    </row>
    <row r="66" spans="1:26" ht="14.25" customHeight="1">
      <c r="A66" s="11" t="s">
        <v>104</v>
      </c>
      <c r="B66" s="11">
        <v>-1896038</v>
      </c>
      <c r="C66" s="11">
        <v>-3185705</v>
      </c>
      <c r="D66" s="11">
        <v>-2014792</v>
      </c>
      <c r="E66" s="11">
        <v>-1976761</v>
      </c>
      <c r="F66" s="11">
        <v>-2044898</v>
      </c>
      <c r="G66" s="11">
        <v>-2587348</v>
      </c>
      <c r="H66" s="11">
        <v>-1933055</v>
      </c>
      <c r="I66" s="50">
        <f>CF!$H66</f>
        <v>-1933055</v>
      </c>
      <c r="J66" s="54">
        <f>CF!$I66</f>
        <v>-1933055</v>
      </c>
      <c r="K66" s="54">
        <f>CF!$J66</f>
        <v>-1933055</v>
      </c>
      <c r="L66" s="54">
        <f>CF!$K66</f>
        <v>-1933055</v>
      </c>
      <c r="M66" s="51">
        <f>CF!$L66</f>
        <v>-1933055</v>
      </c>
      <c r="N66" s="46"/>
      <c r="O66" s="11"/>
      <c r="P66" s="11"/>
      <c r="Q66" s="11"/>
      <c r="R66" s="11"/>
      <c r="S66" s="11"/>
      <c r="T66" s="11"/>
      <c r="U66" s="11"/>
      <c r="V66" s="11"/>
      <c r="W66" s="11"/>
      <c r="X66" s="11"/>
      <c r="Y66" s="11"/>
      <c r="Z66" s="11"/>
    </row>
    <row r="67" spans="1:26" ht="14.25" customHeight="1">
      <c r="A67" s="11"/>
      <c r="B67" s="64">
        <f>SUM(B65:B66)</f>
        <v>8668761</v>
      </c>
      <c r="C67" s="64">
        <v>10181555</v>
      </c>
      <c r="D67" s="64">
        <v>7686214</v>
      </c>
      <c r="E67" s="64">
        <v>11137550</v>
      </c>
      <c r="F67" s="64">
        <v>9303148</v>
      </c>
      <c r="G67" s="64">
        <v>9983826</v>
      </c>
      <c r="H67" s="64">
        <v>11542881</v>
      </c>
      <c r="I67" s="65">
        <f t="shared" ref="I67:M67" si="9">I62</f>
        <v>13823551.274136838</v>
      </c>
      <c r="J67" s="131">
        <f t="shared" si="9"/>
        <v>18812479.712529935</v>
      </c>
      <c r="K67" s="131">
        <f t="shared" si="9"/>
        <v>25273453.455607992</v>
      </c>
      <c r="L67" s="131">
        <f t="shared" si="9"/>
        <v>33040345.76381772</v>
      </c>
      <c r="M67" s="132">
        <f t="shared" si="9"/>
        <v>44124226.424024016</v>
      </c>
      <c r="N67" s="11"/>
      <c r="O67" s="11"/>
      <c r="P67" s="11"/>
      <c r="Q67" s="11"/>
      <c r="R67" s="11"/>
      <c r="S67" s="11"/>
      <c r="T67" s="11"/>
      <c r="U67" s="11"/>
      <c r="V67" s="11"/>
      <c r="W67" s="11"/>
      <c r="X67" s="11"/>
      <c r="Y67" s="11"/>
      <c r="Z67" s="11"/>
    </row>
    <row r="68" spans="1:26" ht="14.25" customHeight="1">
      <c r="A68" s="11"/>
      <c r="B68" s="11"/>
      <c r="C68" s="11"/>
      <c r="D68" s="11"/>
      <c r="E68" s="11"/>
      <c r="F68" s="11"/>
      <c r="G68" s="11"/>
      <c r="H68" s="11"/>
      <c r="I68" s="46"/>
      <c r="J68" s="11"/>
      <c r="K68" s="11"/>
      <c r="L68" s="11"/>
      <c r="M68" s="11"/>
      <c r="N68" s="11"/>
      <c r="O68" s="11"/>
      <c r="P68" s="11"/>
      <c r="Q68" s="11"/>
      <c r="R68" s="11"/>
      <c r="S68" s="11"/>
      <c r="T68" s="11"/>
      <c r="U68" s="11"/>
      <c r="V68" s="11"/>
      <c r="W68" s="11"/>
      <c r="X68" s="11"/>
      <c r="Y68" s="11"/>
      <c r="Z68" s="11"/>
    </row>
    <row r="69" spans="1:26" ht="14.25" customHeight="1">
      <c r="A69" s="11"/>
      <c r="B69" s="11"/>
      <c r="C69" s="11"/>
      <c r="D69" s="11"/>
      <c r="E69" s="11"/>
      <c r="F69" s="11"/>
      <c r="G69" s="11"/>
      <c r="H69" s="11"/>
      <c r="I69" s="46"/>
      <c r="J69" s="11"/>
      <c r="K69" s="11"/>
      <c r="L69" s="11"/>
      <c r="M69" s="11"/>
      <c r="N69" s="11"/>
      <c r="O69" s="11"/>
      <c r="P69" s="11"/>
      <c r="Q69" s="11"/>
      <c r="R69" s="11"/>
      <c r="S69" s="11"/>
      <c r="T69" s="11"/>
      <c r="U69" s="11"/>
      <c r="V69" s="11"/>
      <c r="W69" s="11"/>
      <c r="X69" s="11"/>
      <c r="Y69" s="11"/>
      <c r="Z69" s="11"/>
    </row>
    <row r="70" spans="1:26" ht="14.25" customHeight="1">
      <c r="A70" s="11"/>
      <c r="B70" s="11"/>
      <c r="C70" s="11"/>
      <c r="D70" s="11"/>
      <c r="E70" s="11"/>
      <c r="F70" s="11"/>
      <c r="G70" s="11"/>
      <c r="H70" s="11"/>
      <c r="I70" s="46"/>
      <c r="J70" s="11"/>
      <c r="K70" s="11"/>
      <c r="L70" s="11"/>
      <c r="M70" s="11"/>
      <c r="N70" s="11"/>
      <c r="O70" s="11"/>
      <c r="P70" s="11"/>
      <c r="Q70" s="11"/>
      <c r="R70" s="11"/>
      <c r="S70" s="11"/>
      <c r="T70" s="11"/>
      <c r="U70" s="11"/>
      <c r="V70" s="11"/>
      <c r="W70" s="11"/>
      <c r="X70" s="11"/>
      <c r="Y70" s="11"/>
      <c r="Z70" s="11"/>
    </row>
    <row r="71" spans="1:26" ht="14.25" customHeight="1">
      <c r="A71" s="11"/>
      <c r="B71" s="11"/>
      <c r="C71" s="11"/>
      <c r="D71" s="11"/>
      <c r="E71" s="11"/>
      <c r="F71" s="11"/>
      <c r="G71" s="11"/>
      <c r="H71" s="11"/>
      <c r="I71" s="46"/>
      <c r="J71" s="11"/>
      <c r="K71" s="11"/>
      <c r="L71" s="11"/>
      <c r="M71" s="11"/>
      <c r="N71" s="11"/>
      <c r="O71" s="11"/>
      <c r="P71" s="11"/>
      <c r="Q71" s="11"/>
      <c r="R71" s="11"/>
      <c r="S71" s="11"/>
      <c r="T71" s="11"/>
      <c r="U71" s="11"/>
      <c r="V71" s="11"/>
      <c r="W71" s="11"/>
      <c r="X71" s="11"/>
      <c r="Y71" s="11"/>
      <c r="Z71" s="11"/>
    </row>
    <row r="72" spans="1:26" ht="14.25" customHeight="1">
      <c r="A72" s="11"/>
      <c r="B72" s="11"/>
      <c r="C72" s="11"/>
      <c r="D72" s="11"/>
      <c r="E72" s="11"/>
      <c r="F72" s="11"/>
      <c r="G72" s="11"/>
      <c r="H72" s="11"/>
      <c r="I72" s="46"/>
      <c r="J72" s="11"/>
      <c r="K72" s="11"/>
      <c r="L72" s="11"/>
      <c r="M72" s="11"/>
      <c r="N72" s="11"/>
      <c r="O72" s="11"/>
      <c r="P72" s="11"/>
      <c r="Q72" s="11"/>
      <c r="R72" s="11"/>
      <c r="S72" s="11"/>
      <c r="T72" s="11"/>
      <c r="U72" s="11"/>
      <c r="V72" s="11"/>
      <c r="W72" s="11"/>
      <c r="X72" s="11"/>
      <c r="Y72" s="11"/>
      <c r="Z72" s="11"/>
    </row>
    <row r="73" spans="1:26" ht="14.25" customHeight="1">
      <c r="A73" s="11"/>
      <c r="B73" s="11"/>
      <c r="C73" s="11"/>
      <c r="D73" s="11"/>
      <c r="E73" s="11"/>
      <c r="F73" s="11"/>
      <c r="G73" s="11"/>
      <c r="H73" s="11"/>
      <c r="I73" s="46"/>
      <c r="J73" s="11"/>
      <c r="K73" s="11"/>
      <c r="L73" s="11"/>
      <c r="M73" s="11"/>
      <c r="N73" s="11"/>
      <c r="O73" s="11"/>
      <c r="P73" s="11"/>
      <c r="Q73" s="11"/>
      <c r="R73" s="11"/>
      <c r="S73" s="11"/>
      <c r="T73" s="11"/>
      <c r="U73" s="11"/>
      <c r="V73" s="11"/>
      <c r="W73" s="11"/>
      <c r="X73" s="11"/>
      <c r="Y73" s="11"/>
      <c r="Z73" s="11"/>
    </row>
    <row r="74" spans="1:26" ht="14.25" customHeight="1">
      <c r="A74" s="11"/>
      <c r="B74" s="11"/>
      <c r="C74" s="11"/>
      <c r="D74" s="11"/>
      <c r="E74" s="11"/>
      <c r="F74" s="11"/>
      <c r="G74" s="11"/>
      <c r="H74" s="11"/>
      <c r="I74" s="46"/>
      <c r="J74" s="11"/>
      <c r="K74" s="11"/>
      <c r="L74" s="11"/>
      <c r="M74" s="11"/>
      <c r="N74" s="11"/>
      <c r="O74" s="11"/>
      <c r="P74" s="11"/>
      <c r="Q74" s="11"/>
      <c r="R74" s="11"/>
      <c r="S74" s="11"/>
      <c r="T74" s="11"/>
      <c r="U74" s="11"/>
      <c r="V74" s="11"/>
      <c r="W74" s="11"/>
      <c r="X74" s="11"/>
      <c r="Y74" s="11"/>
      <c r="Z74" s="11"/>
    </row>
    <row r="75" spans="1:26" ht="14.25" customHeight="1">
      <c r="A75" s="11"/>
      <c r="B75" s="11"/>
      <c r="C75" s="11"/>
      <c r="D75" s="11"/>
      <c r="E75" s="11"/>
      <c r="F75" s="11"/>
      <c r="G75" s="11"/>
      <c r="H75" s="11"/>
      <c r="I75" s="46"/>
      <c r="J75" s="11"/>
      <c r="K75" s="11"/>
      <c r="L75" s="11"/>
      <c r="M75" s="11"/>
      <c r="N75" s="11"/>
      <c r="O75" s="11"/>
      <c r="P75" s="11"/>
      <c r="Q75" s="11"/>
      <c r="R75" s="11"/>
      <c r="S75" s="11"/>
      <c r="T75" s="11"/>
      <c r="U75" s="11"/>
      <c r="V75" s="11"/>
      <c r="W75" s="11"/>
      <c r="X75" s="11"/>
      <c r="Y75" s="11"/>
      <c r="Z75" s="11"/>
    </row>
    <row r="76" spans="1:26" ht="14.25" customHeight="1">
      <c r="A76" s="11"/>
      <c r="B76" s="11"/>
      <c r="C76" s="11"/>
      <c r="D76" s="11"/>
      <c r="E76" s="11"/>
      <c r="F76" s="11"/>
      <c r="G76" s="11"/>
      <c r="H76" s="11"/>
      <c r="I76" s="46"/>
      <c r="J76" s="11"/>
      <c r="K76" s="11"/>
      <c r="L76" s="11"/>
      <c r="M76" s="11"/>
      <c r="N76" s="11"/>
      <c r="O76" s="11"/>
      <c r="P76" s="11"/>
      <c r="Q76" s="11"/>
      <c r="R76" s="11"/>
      <c r="S76" s="11"/>
      <c r="T76" s="11"/>
      <c r="U76" s="11"/>
      <c r="V76" s="11"/>
      <c r="W76" s="11"/>
      <c r="X76" s="11"/>
      <c r="Y76" s="11"/>
      <c r="Z76" s="11"/>
    </row>
    <row r="77" spans="1:26" ht="14.25" customHeight="1">
      <c r="A77" s="11"/>
      <c r="B77" s="11"/>
      <c r="C77" s="11"/>
      <c r="D77" s="11"/>
      <c r="E77" s="11"/>
      <c r="F77" s="11"/>
      <c r="G77" s="11"/>
      <c r="H77" s="11"/>
      <c r="I77" s="46"/>
      <c r="J77" s="11"/>
      <c r="K77" s="11"/>
      <c r="L77" s="11"/>
      <c r="M77" s="11"/>
      <c r="N77" s="11"/>
      <c r="O77" s="11"/>
      <c r="P77" s="11"/>
      <c r="Q77" s="11"/>
      <c r="R77" s="11"/>
      <c r="S77" s="11"/>
      <c r="T77" s="11"/>
      <c r="U77" s="11"/>
      <c r="V77" s="11"/>
      <c r="W77" s="11"/>
      <c r="X77" s="11"/>
      <c r="Y77" s="11"/>
      <c r="Z77" s="11"/>
    </row>
    <row r="78" spans="1:26" ht="14.25" customHeight="1">
      <c r="A78" s="11"/>
      <c r="B78" s="11"/>
      <c r="C78" s="11"/>
      <c r="D78" s="11"/>
      <c r="E78" s="11"/>
      <c r="F78" s="11"/>
      <c r="G78" s="11"/>
      <c r="H78" s="11"/>
      <c r="I78" s="46"/>
      <c r="J78" s="11"/>
      <c r="K78" s="11"/>
      <c r="L78" s="11"/>
      <c r="M78" s="11"/>
      <c r="N78" s="11"/>
      <c r="O78" s="11"/>
      <c r="P78" s="11"/>
      <c r="Q78" s="11"/>
      <c r="R78" s="11"/>
      <c r="S78" s="11"/>
      <c r="T78" s="11"/>
      <c r="U78" s="11"/>
      <c r="V78" s="11"/>
      <c r="W78" s="11"/>
      <c r="X78" s="11"/>
      <c r="Y78" s="11"/>
      <c r="Z78" s="11"/>
    </row>
    <row r="79" spans="1:26" ht="14.25" customHeight="1">
      <c r="A79" s="11"/>
      <c r="B79" s="11"/>
      <c r="C79" s="11"/>
      <c r="D79" s="11"/>
      <c r="E79" s="11"/>
      <c r="F79" s="11"/>
      <c r="G79" s="11"/>
      <c r="H79" s="11"/>
      <c r="I79" s="46"/>
      <c r="J79" s="11"/>
      <c r="K79" s="11"/>
      <c r="L79" s="11"/>
      <c r="M79" s="11"/>
      <c r="N79" s="11"/>
      <c r="O79" s="11"/>
      <c r="P79" s="11"/>
      <c r="Q79" s="11"/>
      <c r="R79" s="11"/>
      <c r="S79" s="11"/>
      <c r="T79" s="11"/>
      <c r="U79" s="11"/>
      <c r="V79" s="11"/>
      <c r="W79" s="11"/>
      <c r="X79" s="11"/>
      <c r="Y79" s="11"/>
      <c r="Z79" s="11"/>
    </row>
    <row r="80" spans="1:26" ht="14.25" customHeight="1">
      <c r="A80" s="11"/>
      <c r="B80" s="11"/>
      <c r="C80" s="11"/>
      <c r="D80" s="11"/>
      <c r="E80" s="11"/>
      <c r="F80" s="11"/>
      <c r="G80" s="11"/>
      <c r="H80" s="11"/>
      <c r="I80" s="46"/>
      <c r="J80" s="11"/>
      <c r="K80" s="11"/>
      <c r="L80" s="11"/>
      <c r="M80" s="11"/>
      <c r="N80" s="11"/>
      <c r="O80" s="11"/>
      <c r="P80" s="11"/>
      <c r="Q80" s="11"/>
      <c r="R80" s="11"/>
      <c r="S80" s="11"/>
      <c r="T80" s="11"/>
      <c r="U80" s="11"/>
      <c r="V80" s="11"/>
      <c r="W80" s="11"/>
      <c r="X80" s="11"/>
      <c r="Y80" s="11"/>
      <c r="Z80" s="11"/>
    </row>
    <row r="81" spans="1:26" ht="14.25" customHeight="1">
      <c r="A81" s="11"/>
      <c r="B81" s="11"/>
      <c r="C81" s="11"/>
      <c r="D81" s="11"/>
      <c r="E81" s="11"/>
      <c r="F81" s="11"/>
      <c r="G81" s="11"/>
      <c r="H81" s="11"/>
      <c r="I81" s="46"/>
      <c r="J81" s="11"/>
      <c r="K81" s="11"/>
      <c r="L81" s="11"/>
      <c r="M81" s="11"/>
      <c r="N81" s="11"/>
      <c r="O81" s="11"/>
      <c r="P81" s="11"/>
      <c r="Q81" s="11"/>
      <c r="R81" s="11"/>
      <c r="S81" s="11"/>
      <c r="T81" s="11"/>
      <c r="U81" s="11"/>
      <c r="V81" s="11"/>
      <c r="W81" s="11"/>
      <c r="X81" s="11"/>
      <c r="Y81" s="11"/>
      <c r="Z81" s="11"/>
    </row>
    <row r="82" spans="1:26" ht="14.25" customHeight="1">
      <c r="A82" s="11"/>
      <c r="B82" s="11"/>
      <c r="C82" s="11"/>
      <c r="D82" s="11"/>
      <c r="E82" s="11"/>
      <c r="F82" s="11"/>
      <c r="G82" s="11"/>
      <c r="H82" s="11"/>
      <c r="I82" s="46"/>
      <c r="J82" s="11"/>
      <c r="K82" s="11"/>
      <c r="L82" s="11"/>
      <c r="M82" s="11"/>
      <c r="N82" s="11"/>
      <c r="O82" s="11"/>
      <c r="P82" s="11"/>
      <c r="Q82" s="11"/>
      <c r="R82" s="11"/>
      <c r="S82" s="11"/>
      <c r="T82" s="11"/>
      <c r="U82" s="11"/>
      <c r="V82" s="11"/>
      <c r="W82" s="11"/>
      <c r="X82" s="11"/>
      <c r="Y82" s="11"/>
      <c r="Z82" s="11"/>
    </row>
    <row r="83" spans="1:26" ht="14.25" customHeight="1">
      <c r="A83" s="11"/>
      <c r="B83" s="11"/>
      <c r="C83" s="11"/>
      <c r="D83" s="11"/>
      <c r="E83" s="11"/>
      <c r="F83" s="11"/>
      <c r="G83" s="11"/>
      <c r="H83" s="11"/>
      <c r="I83" s="46"/>
      <c r="J83" s="11"/>
      <c r="K83" s="11"/>
      <c r="L83" s="11"/>
      <c r="M83" s="11"/>
      <c r="N83" s="11"/>
      <c r="O83" s="11"/>
      <c r="P83" s="11"/>
      <c r="Q83" s="11"/>
      <c r="R83" s="11"/>
      <c r="S83" s="11"/>
      <c r="T83" s="11"/>
      <c r="U83" s="11"/>
      <c r="V83" s="11"/>
      <c r="W83" s="11"/>
      <c r="X83" s="11"/>
      <c r="Y83" s="11"/>
      <c r="Z83" s="11"/>
    </row>
    <row r="84" spans="1:26" ht="14.25" customHeight="1">
      <c r="A84" s="11"/>
      <c r="B84" s="11"/>
      <c r="C84" s="11"/>
      <c r="D84" s="11"/>
      <c r="E84" s="11"/>
      <c r="F84" s="11"/>
      <c r="G84" s="11"/>
      <c r="H84" s="11"/>
      <c r="I84" s="46"/>
      <c r="J84" s="11"/>
      <c r="K84" s="11"/>
      <c r="L84" s="11"/>
      <c r="M84" s="11"/>
      <c r="N84" s="11"/>
      <c r="O84" s="11"/>
      <c r="P84" s="11"/>
      <c r="Q84" s="11"/>
      <c r="R84" s="11"/>
      <c r="S84" s="11"/>
      <c r="T84" s="11"/>
      <c r="U84" s="11"/>
      <c r="V84" s="11"/>
      <c r="W84" s="11"/>
      <c r="X84" s="11"/>
      <c r="Y84" s="11"/>
      <c r="Z84" s="11"/>
    </row>
    <row r="85" spans="1:26" ht="14.25" customHeight="1">
      <c r="A85" s="11"/>
      <c r="B85" s="11"/>
      <c r="C85" s="11"/>
      <c r="D85" s="11"/>
      <c r="E85" s="11"/>
      <c r="F85" s="11"/>
      <c r="G85" s="11"/>
      <c r="H85" s="11"/>
      <c r="I85" s="46"/>
      <c r="J85" s="11"/>
      <c r="K85" s="11"/>
      <c r="L85" s="11"/>
      <c r="M85" s="11"/>
      <c r="N85" s="11"/>
      <c r="O85" s="11"/>
      <c r="P85" s="11"/>
      <c r="Q85" s="11"/>
      <c r="R85" s="11"/>
      <c r="S85" s="11"/>
      <c r="T85" s="11"/>
      <c r="U85" s="11"/>
      <c r="V85" s="11"/>
      <c r="W85" s="11"/>
      <c r="X85" s="11"/>
      <c r="Y85" s="11"/>
      <c r="Z85" s="11"/>
    </row>
    <row r="86" spans="1:26" ht="14.25" customHeight="1">
      <c r="A86" s="11"/>
      <c r="B86" s="11"/>
      <c r="C86" s="11"/>
      <c r="D86" s="11"/>
      <c r="E86" s="11"/>
      <c r="F86" s="11"/>
      <c r="G86" s="11"/>
      <c r="H86" s="11"/>
      <c r="I86" s="46"/>
      <c r="J86" s="11"/>
      <c r="K86" s="11"/>
      <c r="L86" s="11"/>
      <c r="M86" s="11"/>
      <c r="N86" s="11"/>
      <c r="O86" s="11"/>
      <c r="P86" s="11"/>
      <c r="Q86" s="11"/>
      <c r="R86" s="11"/>
      <c r="S86" s="11"/>
      <c r="T86" s="11"/>
      <c r="U86" s="11"/>
      <c r="V86" s="11"/>
      <c r="W86" s="11"/>
      <c r="X86" s="11"/>
      <c r="Y86" s="11"/>
      <c r="Z86" s="11"/>
    </row>
    <row r="87" spans="1:26" ht="14.25" customHeight="1">
      <c r="A87" s="11"/>
      <c r="B87" s="11"/>
      <c r="C87" s="11"/>
      <c r="D87" s="11"/>
      <c r="E87" s="11"/>
      <c r="F87" s="11"/>
      <c r="G87" s="11"/>
      <c r="H87" s="11"/>
      <c r="I87" s="46"/>
      <c r="J87" s="11"/>
      <c r="K87" s="11"/>
      <c r="L87" s="11"/>
      <c r="M87" s="11"/>
      <c r="N87" s="11"/>
      <c r="O87" s="11"/>
      <c r="P87" s="11"/>
      <c r="Q87" s="11"/>
      <c r="R87" s="11"/>
      <c r="S87" s="11"/>
      <c r="T87" s="11"/>
      <c r="U87" s="11"/>
      <c r="V87" s="11"/>
      <c r="W87" s="11"/>
      <c r="X87" s="11"/>
      <c r="Y87" s="11"/>
      <c r="Z87" s="11"/>
    </row>
    <row r="88" spans="1:26" ht="14.25" customHeight="1">
      <c r="A88" s="11"/>
      <c r="B88" s="11"/>
      <c r="C88" s="11"/>
      <c r="D88" s="11"/>
      <c r="E88" s="11"/>
      <c r="F88" s="11"/>
      <c r="G88" s="11"/>
      <c r="H88" s="11"/>
      <c r="I88" s="46"/>
      <c r="J88" s="11"/>
      <c r="K88" s="11"/>
      <c r="L88" s="11"/>
      <c r="M88" s="11"/>
      <c r="N88" s="11"/>
      <c r="O88" s="11"/>
      <c r="P88" s="11"/>
      <c r="Q88" s="11"/>
      <c r="R88" s="11"/>
      <c r="S88" s="11"/>
      <c r="T88" s="11"/>
      <c r="U88" s="11"/>
      <c r="V88" s="11"/>
      <c r="W88" s="11"/>
      <c r="X88" s="11"/>
      <c r="Y88" s="11"/>
      <c r="Z88" s="11"/>
    </row>
    <row r="89" spans="1:26" ht="14.25" customHeight="1">
      <c r="A89" s="11"/>
      <c r="B89" s="11"/>
      <c r="C89" s="11"/>
      <c r="D89" s="11"/>
      <c r="E89" s="11"/>
      <c r="F89" s="11"/>
      <c r="G89" s="11"/>
      <c r="H89" s="11"/>
      <c r="I89" s="46"/>
      <c r="J89" s="11"/>
      <c r="K89" s="11"/>
      <c r="L89" s="11"/>
      <c r="M89" s="11"/>
      <c r="N89" s="11"/>
      <c r="O89" s="11"/>
      <c r="P89" s="11"/>
      <c r="Q89" s="11"/>
      <c r="R89" s="11"/>
      <c r="S89" s="11"/>
      <c r="T89" s="11"/>
      <c r="U89" s="11"/>
      <c r="V89" s="11"/>
      <c r="W89" s="11"/>
      <c r="X89" s="11"/>
      <c r="Y89" s="11"/>
      <c r="Z89" s="11"/>
    </row>
    <row r="90" spans="1:26" ht="14.25" customHeight="1">
      <c r="A90" s="11"/>
      <c r="B90" s="11"/>
      <c r="C90" s="11"/>
      <c r="D90" s="11"/>
      <c r="E90" s="11"/>
      <c r="F90" s="11"/>
      <c r="G90" s="11"/>
      <c r="H90" s="11"/>
      <c r="I90" s="46"/>
      <c r="J90" s="11"/>
      <c r="K90" s="11"/>
      <c r="L90" s="11"/>
      <c r="M90" s="11"/>
      <c r="N90" s="11"/>
      <c r="O90" s="11"/>
      <c r="P90" s="11"/>
      <c r="Q90" s="11"/>
      <c r="R90" s="11"/>
      <c r="S90" s="11"/>
      <c r="T90" s="11"/>
      <c r="U90" s="11"/>
      <c r="V90" s="11"/>
      <c r="W90" s="11"/>
      <c r="X90" s="11"/>
      <c r="Y90" s="11"/>
      <c r="Z90" s="11"/>
    </row>
    <row r="91" spans="1:26" ht="14.25" customHeight="1">
      <c r="A91" s="11"/>
      <c r="B91" s="11"/>
      <c r="C91" s="11"/>
      <c r="D91" s="11"/>
      <c r="E91" s="11"/>
      <c r="F91" s="11"/>
      <c r="G91" s="11"/>
      <c r="H91" s="11"/>
      <c r="I91" s="46"/>
      <c r="J91" s="11"/>
      <c r="K91" s="11"/>
      <c r="L91" s="11"/>
      <c r="M91" s="11"/>
      <c r="N91" s="11"/>
      <c r="O91" s="11"/>
      <c r="P91" s="11"/>
      <c r="Q91" s="11"/>
      <c r="R91" s="11"/>
      <c r="S91" s="11"/>
      <c r="T91" s="11"/>
      <c r="U91" s="11"/>
      <c r="V91" s="11"/>
      <c r="W91" s="11"/>
      <c r="X91" s="11"/>
      <c r="Y91" s="11"/>
      <c r="Z91" s="11"/>
    </row>
    <row r="92" spans="1:26" ht="14.25" customHeight="1">
      <c r="A92" s="11"/>
      <c r="B92" s="11"/>
      <c r="C92" s="11"/>
      <c r="D92" s="11"/>
      <c r="E92" s="11"/>
      <c r="F92" s="11"/>
      <c r="G92" s="11"/>
      <c r="H92" s="11"/>
      <c r="I92" s="46"/>
      <c r="J92" s="11"/>
      <c r="K92" s="11"/>
      <c r="L92" s="11"/>
      <c r="M92" s="11"/>
      <c r="N92" s="11"/>
      <c r="O92" s="11"/>
      <c r="P92" s="11"/>
      <c r="Q92" s="11"/>
      <c r="R92" s="11"/>
      <c r="S92" s="11"/>
      <c r="T92" s="11"/>
      <c r="U92" s="11"/>
      <c r="V92" s="11"/>
      <c r="W92" s="11"/>
      <c r="X92" s="11"/>
      <c r="Y92" s="11"/>
      <c r="Z92" s="11"/>
    </row>
    <row r="93" spans="1:26" ht="14.25" customHeight="1">
      <c r="A93" s="11"/>
      <c r="B93" s="11"/>
      <c r="C93" s="11"/>
      <c r="D93" s="11"/>
      <c r="E93" s="11"/>
      <c r="F93" s="11"/>
      <c r="G93" s="11"/>
      <c r="H93" s="11"/>
      <c r="I93" s="46"/>
      <c r="J93" s="11"/>
      <c r="K93" s="11"/>
      <c r="L93" s="11"/>
      <c r="M93" s="11"/>
      <c r="N93" s="11"/>
      <c r="O93" s="11"/>
      <c r="P93" s="11"/>
      <c r="Q93" s="11"/>
      <c r="R93" s="11"/>
      <c r="S93" s="11"/>
      <c r="T93" s="11"/>
      <c r="U93" s="11"/>
      <c r="V93" s="11"/>
      <c r="W93" s="11"/>
      <c r="X93" s="11"/>
      <c r="Y93" s="11"/>
      <c r="Z93" s="11"/>
    </row>
    <row r="94" spans="1:26" ht="14.25" customHeight="1">
      <c r="A94" s="11"/>
      <c r="B94" s="11"/>
      <c r="C94" s="11"/>
      <c r="D94" s="11"/>
      <c r="E94" s="11"/>
      <c r="F94" s="11"/>
      <c r="G94" s="11"/>
      <c r="H94" s="11"/>
      <c r="I94" s="46"/>
      <c r="J94" s="11"/>
      <c r="K94" s="11"/>
      <c r="L94" s="11"/>
      <c r="M94" s="11"/>
      <c r="N94" s="11"/>
      <c r="O94" s="11"/>
      <c r="P94" s="11"/>
      <c r="Q94" s="11"/>
      <c r="R94" s="11"/>
      <c r="S94" s="11"/>
      <c r="T94" s="11"/>
      <c r="U94" s="11"/>
      <c r="V94" s="11"/>
      <c r="W94" s="11"/>
      <c r="X94" s="11"/>
      <c r="Y94" s="11"/>
      <c r="Z94" s="11"/>
    </row>
    <row r="95" spans="1:26" ht="14.25" customHeight="1">
      <c r="A95" s="11"/>
      <c r="B95" s="11"/>
      <c r="C95" s="11"/>
      <c r="D95" s="11"/>
      <c r="E95" s="11"/>
      <c r="F95" s="11"/>
      <c r="G95" s="11"/>
      <c r="H95" s="11"/>
      <c r="I95" s="46"/>
      <c r="J95" s="11"/>
      <c r="K95" s="11"/>
      <c r="L95" s="11"/>
      <c r="M95" s="11"/>
      <c r="N95" s="11"/>
      <c r="O95" s="11"/>
      <c r="P95" s="11"/>
      <c r="Q95" s="11"/>
      <c r="R95" s="11"/>
      <c r="S95" s="11"/>
      <c r="T95" s="11"/>
      <c r="U95" s="11"/>
      <c r="V95" s="11"/>
      <c r="W95" s="11"/>
      <c r="X95" s="11"/>
      <c r="Y95" s="11"/>
      <c r="Z95" s="11"/>
    </row>
    <row r="96" spans="1:26" ht="14.25" customHeight="1">
      <c r="A96" s="11"/>
      <c r="B96" s="11"/>
      <c r="C96" s="11"/>
      <c r="D96" s="11"/>
      <c r="E96" s="11"/>
      <c r="F96" s="11"/>
      <c r="G96" s="11"/>
      <c r="H96" s="11"/>
      <c r="I96" s="46"/>
      <c r="J96" s="11"/>
      <c r="K96" s="11"/>
      <c r="L96" s="11"/>
      <c r="M96" s="11"/>
      <c r="N96" s="11"/>
      <c r="O96" s="11"/>
      <c r="P96" s="11"/>
      <c r="Q96" s="11"/>
      <c r="R96" s="11"/>
      <c r="S96" s="11"/>
      <c r="T96" s="11"/>
      <c r="U96" s="11"/>
      <c r="V96" s="11"/>
      <c r="W96" s="11"/>
      <c r="X96" s="11"/>
      <c r="Y96" s="11"/>
      <c r="Z96" s="11"/>
    </row>
    <row r="97" spans="1:26" ht="14.25" customHeight="1">
      <c r="A97" s="11"/>
      <c r="B97" s="11"/>
      <c r="C97" s="11"/>
      <c r="D97" s="11"/>
      <c r="E97" s="11"/>
      <c r="F97" s="11"/>
      <c r="G97" s="11"/>
      <c r="H97" s="11"/>
      <c r="I97" s="46"/>
      <c r="J97" s="11"/>
      <c r="K97" s="11"/>
      <c r="L97" s="11"/>
      <c r="M97" s="11"/>
      <c r="N97" s="11"/>
      <c r="O97" s="11"/>
      <c r="P97" s="11"/>
      <c r="Q97" s="11"/>
      <c r="R97" s="11"/>
      <c r="S97" s="11"/>
      <c r="T97" s="11"/>
      <c r="U97" s="11"/>
      <c r="V97" s="11"/>
      <c r="W97" s="11"/>
      <c r="X97" s="11"/>
      <c r="Y97" s="11"/>
      <c r="Z97" s="11"/>
    </row>
    <row r="98" spans="1:26" ht="14.25" customHeight="1">
      <c r="A98" s="11"/>
      <c r="B98" s="11"/>
      <c r="C98" s="11"/>
      <c r="D98" s="11"/>
      <c r="E98" s="11"/>
      <c r="F98" s="11"/>
      <c r="G98" s="11"/>
      <c r="H98" s="11"/>
      <c r="I98" s="46"/>
      <c r="J98" s="11"/>
      <c r="K98" s="11"/>
      <c r="L98" s="11"/>
      <c r="M98" s="11"/>
      <c r="N98" s="11"/>
      <c r="O98" s="11"/>
      <c r="P98" s="11"/>
      <c r="Q98" s="11"/>
      <c r="R98" s="11"/>
      <c r="S98" s="11"/>
      <c r="T98" s="11"/>
      <c r="U98" s="11"/>
      <c r="V98" s="11"/>
      <c r="W98" s="11"/>
      <c r="X98" s="11"/>
      <c r="Y98" s="11"/>
      <c r="Z98" s="11"/>
    </row>
    <row r="99" spans="1:26" ht="14.25" customHeight="1">
      <c r="A99" s="11"/>
      <c r="B99" s="11"/>
      <c r="C99" s="11"/>
      <c r="D99" s="11"/>
      <c r="E99" s="11"/>
      <c r="F99" s="11"/>
      <c r="G99" s="11"/>
      <c r="H99" s="11"/>
      <c r="I99" s="46"/>
      <c r="J99" s="11"/>
      <c r="K99" s="11"/>
      <c r="L99" s="11"/>
      <c r="M99" s="11"/>
      <c r="N99" s="11"/>
      <c r="O99" s="11"/>
      <c r="P99" s="11"/>
      <c r="Q99" s="11"/>
      <c r="R99" s="11"/>
      <c r="S99" s="11"/>
      <c r="T99" s="11"/>
      <c r="U99" s="11"/>
      <c r="V99" s="11"/>
      <c r="W99" s="11"/>
      <c r="X99" s="11"/>
      <c r="Y99" s="11"/>
      <c r="Z99" s="11"/>
    </row>
    <row r="100" spans="1:26" ht="14.25" customHeight="1">
      <c r="A100" s="11"/>
      <c r="B100" s="11"/>
      <c r="C100" s="11"/>
      <c r="D100" s="11"/>
      <c r="E100" s="11"/>
      <c r="F100" s="11"/>
      <c r="G100" s="11"/>
      <c r="H100" s="11"/>
      <c r="I100" s="46"/>
      <c r="J100" s="11"/>
      <c r="K100" s="11"/>
      <c r="L100" s="11"/>
      <c r="M100" s="11"/>
      <c r="N100" s="11"/>
      <c r="O100" s="11"/>
      <c r="P100" s="11"/>
      <c r="Q100" s="11"/>
      <c r="R100" s="11"/>
      <c r="S100" s="11"/>
      <c r="T100" s="11"/>
      <c r="U100" s="11"/>
      <c r="V100" s="11"/>
      <c r="W100" s="11"/>
      <c r="X100" s="11"/>
      <c r="Y100" s="11"/>
      <c r="Z100" s="11"/>
    </row>
    <row r="101" spans="1:26" ht="14.25" customHeight="1">
      <c r="A101" s="11"/>
      <c r="B101" s="11"/>
      <c r="C101" s="11"/>
      <c r="D101" s="11"/>
      <c r="E101" s="11"/>
      <c r="F101" s="11"/>
      <c r="G101" s="11"/>
      <c r="H101" s="11"/>
      <c r="I101" s="46"/>
      <c r="J101" s="11"/>
      <c r="K101" s="11"/>
      <c r="L101" s="11"/>
      <c r="M101" s="11"/>
      <c r="N101" s="11"/>
      <c r="O101" s="11"/>
      <c r="P101" s="11"/>
      <c r="Q101" s="11"/>
      <c r="R101" s="11"/>
      <c r="S101" s="11"/>
      <c r="T101" s="11"/>
      <c r="U101" s="11"/>
      <c r="V101" s="11"/>
      <c r="W101" s="11"/>
      <c r="X101" s="11"/>
      <c r="Y101" s="11"/>
      <c r="Z101" s="11"/>
    </row>
    <row r="102" spans="1:26" ht="14.25" customHeight="1">
      <c r="A102" s="11"/>
      <c r="B102" s="11"/>
      <c r="C102" s="11"/>
      <c r="D102" s="11"/>
      <c r="E102" s="11"/>
      <c r="F102" s="11"/>
      <c r="G102" s="11"/>
      <c r="H102" s="11"/>
      <c r="I102" s="46"/>
      <c r="J102" s="11"/>
      <c r="K102" s="11"/>
      <c r="L102" s="11"/>
      <c r="M102" s="11"/>
      <c r="N102" s="11"/>
      <c r="O102" s="11"/>
      <c r="P102" s="11"/>
      <c r="Q102" s="11"/>
      <c r="R102" s="11"/>
      <c r="S102" s="11"/>
      <c r="T102" s="11"/>
      <c r="U102" s="11"/>
      <c r="V102" s="11"/>
      <c r="W102" s="11"/>
      <c r="X102" s="11"/>
      <c r="Y102" s="11"/>
      <c r="Z102" s="11"/>
    </row>
    <row r="103" spans="1:26" ht="14.25" customHeight="1">
      <c r="A103" s="11"/>
      <c r="B103" s="11"/>
      <c r="C103" s="11"/>
      <c r="D103" s="11"/>
      <c r="E103" s="11"/>
      <c r="F103" s="11"/>
      <c r="G103" s="11"/>
      <c r="H103" s="11"/>
      <c r="I103" s="46"/>
      <c r="J103" s="11"/>
      <c r="K103" s="11"/>
      <c r="L103" s="11"/>
      <c r="M103" s="11"/>
      <c r="N103" s="11"/>
      <c r="O103" s="11"/>
      <c r="P103" s="11"/>
      <c r="Q103" s="11"/>
      <c r="R103" s="11"/>
      <c r="S103" s="11"/>
      <c r="T103" s="11"/>
      <c r="U103" s="11"/>
      <c r="V103" s="11"/>
      <c r="W103" s="11"/>
      <c r="X103" s="11"/>
      <c r="Y103" s="11"/>
      <c r="Z103" s="11"/>
    </row>
    <row r="104" spans="1:26" ht="14.25" customHeight="1">
      <c r="A104" s="11"/>
      <c r="B104" s="11"/>
      <c r="C104" s="11"/>
      <c r="D104" s="11"/>
      <c r="E104" s="11"/>
      <c r="F104" s="11"/>
      <c r="G104" s="11"/>
      <c r="H104" s="11"/>
      <c r="I104" s="46"/>
      <c r="J104" s="11"/>
      <c r="K104" s="11"/>
      <c r="L104" s="11"/>
      <c r="M104" s="11"/>
      <c r="N104" s="11"/>
      <c r="O104" s="11"/>
      <c r="P104" s="11"/>
      <c r="Q104" s="11"/>
      <c r="R104" s="11"/>
      <c r="S104" s="11"/>
      <c r="T104" s="11"/>
      <c r="U104" s="11"/>
      <c r="V104" s="11"/>
      <c r="W104" s="11"/>
      <c r="X104" s="11"/>
      <c r="Y104" s="11"/>
      <c r="Z104" s="11"/>
    </row>
    <row r="105" spans="1:26" ht="14.25" customHeight="1">
      <c r="A105" s="11"/>
      <c r="B105" s="11"/>
      <c r="C105" s="11"/>
      <c r="D105" s="11"/>
      <c r="E105" s="11"/>
      <c r="F105" s="11"/>
      <c r="G105" s="11"/>
      <c r="H105" s="11"/>
      <c r="I105" s="46"/>
      <c r="J105" s="11"/>
      <c r="K105" s="11"/>
      <c r="L105" s="11"/>
      <c r="M105" s="11"/>
      <c r="N105" s="11"/>
      <c r="O105" s="11"/>
      <c r="P105" s="11"/>
      <c r="Q105" s="11"/>
      <c r="R105" s="11"/>
      <c r="S105" s="11"/>
      <c r="T105" s="11"/>
      <c r="U105" s="11"/>
      <c r="V105" s="11"/>
      <c r="W105" s="11"/>
      <c r="X105" s="11"/>
      <c r="Y105" s="11"/>
      <c r="Z105" s="11"/>
    </row>
    <row r="106" spans="1:26" ht="14.25" customHeight="1">
      <c r="A106" s="11"/>
      <c r="B106" s="11"/>
      <c r="C106" s="11"/>
      <c r="D106" s="11"/>
      <c r="E106" s="11"/>
      <c r="F106" s="11"/>
      <c r="G106" s="11"/>
      <c r="H106" s="11"/>
      <c r="I106" s="46"/>
      <c r="J106" s="11"/>
      <c r="K106" s="11"/>
      <c r="L106" s="11"/>
      <c r="M106" s="11"/>
      <c r="N106" s="11"/>
      <c r="O106" s="11"/>
      <c r="P106" s="11"/>
      <c r="Q106" s="11"/>
      <c r="R106" s="11"/>
      <c r="S106" s="11"/>
      <c r="T106" s="11"/>
      <c r="U106" s="11"/>
      <c r="V106" s="11"/>
      <c r="W106" s="11"/>
      <c r="X106" s="11"/>
      <c r="Y106" s="11"/>
      <c r="Z106" s="11"/>
    </row>
    <row r="107" spans="1:26" ht="14.25" customHeight="1">
      <c r="A107" s="11"/>
      <c r="B107" s="11"/>
      <c r="C107" s="11"/>
      <c r="D107" s="11"/>
      <c r="E107" s="11"/>
      <c r="F107" s="11"/>
      <c r="G107" s="11"/>
      <c r="H107" s="11"/>
      <c r="I107" s="46"/>
      <c r="J107" s="11"/>
      <c r="K107" s="11"/>
      <c r="L107" s="11"/>
      <c r="M107" s="11"/>
      <c r="N107" s="11"/>
      <c r="O107" s="11"/>
      <c r="P107" s="11"/>
      <c r="Q107" s="11"/>
      <c r="R107" s="11"/>
      <c r="S107" s="11"/>
      <c r="T107" s="11"/>
      <c r="U107" s="11"/>
      <c r="V107" s="11"/>
      <c r="W107" s="11"/>
      <c r="X107" s="11"/>
      <c r="Y107" s="11"/>
      <c r="Z107" s="11"/>
    </row>
    <row r="108" spans="1:26" ht="14.25" customHeight="1">
      <c r="A108" s="11"/>
      <c r="B108" s="11"/>
      <c r="C108" s="11"/>
      <c r="D108" s="11"/>
      <c r="E108" s="11"/>
      <c r="F108" s="11"/>
      <c r="G108" s="11"/>
      <c r="H108" s="11"/>
      <c r="I108" s="46"/>
      <c r="J108" s="11"/>
      <c r="K108" s="11"/>
      <c r="L108" s="11"/>
      <c r="M108" s="11"/>
      <c r="N108" s="11"/>
      <c r="O108" s="11"/>
      <c r="P108" s="11"/>
      <c r="Q108" s="11"/>
      <c r="R108" s="11"/>
      <c r="S108" s="11"/>
      <c r="T108" s="11"/>
      <c r="U108" s="11"/>
      <c r="V108" s="11"/>
      <c r="W108" s="11"/>
      <c r="X108" s="11"/>
      <c r="Y108" s="11"/>
      <c r="Z108" s="11"/>
    </row>
    <row r="109" spans="1:26" ht="14.25" customHeight="1">
      <c r="A109" s="11"/>
      <c r="B109" s="11"/>
      <c r="C109" s="11"/>
      <c r="D109" s="11"/>
      <c r="E109" s="11"/>
      <c r="F109" s="11"/>
      <c r="G109" s="11"/>
      <c r="H109" s="11"/>
      <c r="I109" s="46"/>
      <c r="J109" s="11"/>
      <c r="K109" s="11"/>
      <c r="L109" s="11"/>
      <c r="M109" s="11"/>
      <c r="N109" s="11"/>
      <c r="O109" s="11"/>
      <c r="P109" s="11"/>
      <c r="Q109" s="11"/>
      <c r="R109" s="11"/>
      <c r="S109" s="11"/>
      <c r="T109" s="11"/>
      <c r="U109" s="11"/>
      <c r="V109" s="11"/>
      <c r="W109" s="11"/>
      <c r="X109" s="11"/>
      <c r="Y109" s="11"/>
      <c r="Z109" s="11"/>
    </row>
    <row r="110" spans="1:26" ht="14.25" customHeight="1">
      <c r="A110" s="11"/>
      <c r="B110" s="11"/>
      <c r="C110" s="11"/>
      <c r="D110" s="11"/>
      <c r="E110" s="11"/>
      <c r="F110" s="11"/>
      <c r="G110" s="11"/>
      <c r="H110" s="11"/>
      <c r="I110" s="46"/>
      <c r="J110" s="11"/>
      <c r="K110" s="11"/>
      <c r="L110" s="11"/>
      <c r="M110" s="11"/>
      <c r="N110" s="11"/>
      <c r="O110" s="11"/>
      <c r="P110" s="11"/>
      <c r="Q110" s="11"/>
      <c r="R110" s="11"/>
      <c r="S110" s="11"/>
      <c r="T110" s="11"/>
      <c r="U110" s="11"/>
      <c r="V110" s="11"/>
      <c r="W110" s="11"/>
      <c r="X110" s="11"/>
      <c r="Y110" s="11"/>
      <c r="Z110" s="11"/>
    </row>
    <row r="111" spans="1:26" ht="14.25" customHeight="1">
      <c r="A111" s="11"/>
      <c r="B111" s="11"/>
      <c r="C111" s="11"/>
      <c r="D111" s="11"/>
      <c r="E111" s="11"/>
      <c r="F111" s="11"/>
      <c r="G111" s="11"/>
      <c r="H111" s="11"/>
      <c r="I111" s="46"/>
      <c r="J111" s="11"/>
      <c r="K111" s="11"/>
      <c r="L111" s="11"/>
      <c r="M111" s="11"/>
      <c r="N111" s="11"/>
      <c r="O111" s="11"/>
      <c r="P111" s="11"/>
      <c r="Q111" s="11"/>
      <c r="R111" s="11"/>
      <c r="S111" s="11"/>
      <c r="T111" s="11"/>
      <c r="U111" s="11"/>
      <c r="V111" s="11"/>
      <c r="W111" s="11"/>
      <c r="X111" s="11"/>
      <c r="Y111" s="11"/>
      <c r="Z111" s="11"/>
    </row>
    <row r="112" spans="1:26" ht="14.25" customHeight="1">
      <c r="A112" s="11"/>
      <c r="B112" s="11"/>
      <c r="C112" s="11"/>
      <c r="D112" s="11"/>
      <c r="E112" s="11"/>
      <c r="F112" s="11"/>
      <c r="G112" s="11"/>
      <c r="H112" s="11"/>
      <c r="I112" s="46"/>
      <c r="J112" s="11"/>
      <c r="K112" s="11"/>
      <c r="L112" s="11"/>
      <c r="M112" s="11"/>
      <c r="N112" s="11"/>
      <c r="O112" s="11"/>
      <c r="P112" s="11"/>
      <c r="Q112" s="11"/>
      <c r="R112" s="11"/>
      <c r="S112" s="11"/>
      <c r="T112" s="11"/>
      <c r="U112" s="11"/>
      <c r="V112" s="11"/>
      <c r="W112" s="11"/>
      <c r="X112" s="11"/>
      <c r="Y112" s="11"/>
      <c r="Z112" s="11"/>
    </row>
    <row r="113" spans="1:26" ht="14.25" customHeight="1">
      <c r="A113" s="11"/>
      <c r="B113" s="11"/>
      <c r="C113" s="11"/>
      <c r="D113" s="11"/>
      <c r="E113" s="11"/>
      <c r="F113" s="11"/>
      <c r="G113" s="11"/>
      <c r="H113" s="11"/>
      <c r="I113" s="46"/>
      <c r="J113" s="11"/>
      <c r="K113" s="11"/>
      <c r="L113" s="11"/>
      <c r="M113" s="11"/>
      <c r="N113" s="11"/>
      <c r="O113" s="11"/>
      <c r="P113" s="11"/>
      <c r="Q113" s="11"/>
      <c r="R113" s="11"/>
      <c r="S113" s="11"/>
      <c r="T113" s="11"/>
      <c r="U113" s="11"/>
      <c r="V113" s="11"/>
      <c r="W113" s="11"/>
      <c r="X113" s="11"/>
      <c r="Y113" s="11"/>
      <c r="Z113" s="11"/>
    </row>
    <row r="114" spans="1:26" ht="14.25" customHeight="1">
      <c r="A114" s="11"/>
      <c r="B114" s="11"/>
      <c r="C114" s="11"/>
      <c r="D114" s="11"/>
      <c r="E114" s="11"/>
      <c r="F114" s="11"/>
      <c r="G114" s="11"/>
      <c r="H114" s="11"/>
      <c r="I114" s="46"/>
      <c r="J114" s="11"/>
      <c r="K114" s="11"/>
      <c r="L114" s="11"/>
      <c r="M114" s="11"/>
      <c r="N114" s="11"/>
      <c r="O114" s="11"/>
      <c r="P114" s="11"/>
      <c r="Q114" s="11"/>
      <c r="R114" s="11"/>
      <c r="S114" s="11"/>
      <c r="T114" s="11"/>
      <c r="U114" s="11"/>
      <c r="V114" s="11"/>
      <c r="W114" s="11"/>
      <c r="X114" s="11"/>
      <c r="Y114" s="11"/>
      <c r="Z114" s="11"/>
    </row>
    <row r="115" spans="1:26" ht="14.25" customHeight="1">
      <c r="A115" s="11"/>
      <c r="B115" s="11"/>
      <c r="C115" s="11"/>
      <c r="D115" s="11"/>
      <c r="E115" s="11"/>
      <c r="F115" s="11"/>
      <c r="G115" s="11"/>
      <c r="H115" s="11"/>
      <c r="I115" s="46"/>
      <c r="J115" s="11"/>
      <c r="K115" s="11"/>
      <c r="L115" s="11"/>
      <c r="M115" s="11"/>
      <c r="N115" s="11"/>
      <c r="O115" s="11"/>
      <c r="P115" s="11"/>
      <c r="Q115" s="11"/>
      <c r="R115" s="11"/>
      <c r="S115" s="11"/>
      <c r="T115" s="11"/>
      <c r="U115" s="11"/>
      <c r="V115" s="11"/>
      <c r="W115" s="11"/>
      <c r="X115" s="11"/>
      <c r="Y115" s="11"/>
      <c r="Z115" s="11"/>
    </row>
    <row r="116" spans="1:26" ht="14.25" customHeight="1">
      <c r="A116" s="11"/>
      <c r="B116" s="11"/>
      <c r="C116" s="11"/>
      <c r="D116" s="11"/>
      <c r="E116" s="11"/>
      <c r="F116" s="11"/>
      <c r="G116" s="11"/>
      <c r="H116" s="11"/>
      <c r="I116" s="46"/>
      <c r="J116" s="11"/>
      <c r="K116" s="11"/>
      <c r="L116" s="11"/>
      <c r="M116" s="11"/>
      <c r="N116" s="11"/>
      <c r="O116" s="11"/>
      <c r="P116" s="11"/>
      <c r="Q116" s="11"/>
      <c r="R116" s="11"/>
      <c r="S116" s="11"/>
      <c r="T116" s="11"/>
      <c r="U116" s="11"/>
      <c r="V116" s="11"/>
      <c r="W116" s="11"/>
      <c r="X116" s="11"/>
      <c r="Y116" s="11"/>
      <c r="Z116" s="11"/>
    </row>
    <row r="117" spans="1:26" ht="14.25" customHeight="1">
      <c r="A117" s="11"/>
      <c r="B117" s="11"/>
      <c r="C117" s="11"/>
      <c r="D117" s="11"/>
      <c r="E117" s="11"/>
      <c r="F117" s="11"/>
      <c r="G117" s="11"/>
      <c r="H117" s="11"/>
      <c r="I117" s="46"/>
      <c r="J117" s="11"/>
      <c r="K117" s="11"/>
      <c r="L117" s="11"/>
      <c r="M117" s="11"/>
      <c r="N117" s="11"/>
      <c r="O117" s="11"/>
      <c r="P117" s="11"/>
      <c r="Q117" s="11"/>
      <c r="R117" s="11"/>
      <c r="S117" s="11"/>
      <c r="T117" s="11"/>
      <c r="U117" s="11"/>
      <c r="V117" s="11"/>
      <c r="W117" s="11"/>
      <c r="X117" s="11"/>
      <c r="Y117" s="11"/>
      <c r="Z117" s="11"/>
    </row>
    <row r="118" spans="1:26" ht="14.25" customHeight="1">
      <c r="A118" s="11"/>
      <c r="B118" s="11"/>
      <c r="C118" s="11"/>
      <c r="D118" s="11"/>
      <c r="E118" s="11"/>
      <c r="F118" s="11"/>
      <c r="G118" s="11"/>
      <c r="H118" s="11"/>
      <c r="I118" s="46"/>
      <c r="J118" s="11"/>
      <c r="K118" s="11"/>
      <c r="L118" s="11"/>
      <c r="M118" s="11"/>
      <c r="N118" s="11"/>
      <c r="O118" s="11"/>
      <c r="P118" s="11"/>
      <c r="Q118" s="11"/>
      <c r="R118" s="11"/>
      <c r="S118" s="11"/>
      <c r="T118" s="11"/>
      <c r="U118" s="11"/>
      <c r="V118" s="11"/>
      <c r="W118" s="11"/>
      <c r="X118" s="11"/>
      <c r="Y118" s="11"/>
      <c r="Z118" s="11"/>
    </row>
    <row r="119" spans="1:26" ht="14.25" customHeight="1">
      <c r="A119" s="11"/>
      <c r="B119" s="11"/>
      <c r="C119" s="11"/>
      <c r="D119" s="11"/>
      <c r="E119" s="11"/>
      <c r="F119" s="11"/>
      <c r="G119" s="11"/>
      <c r="H119" s="11"/>
      <c r="I119" s="46"/>
      <c r="J119" s="11"/>
      <c r="K119" s="11"/>
      <c r="L119" s="11"/>
      <c r="M119" s="11"/>
      <c r="N119" s="11"/>
      <c r="O119" s="11"/>
      <c r="P119" s="11"/>
      <c r="Q119" s="11"/>
      <c r="R119" s="11"/>
      <c r="S119" s="11"/>
      <c r="T119" s="11"/>
      <c r="U119" s="11"/>
      <c r="V119" s="11"/>
      <c r="W119" s="11"/>
      <c r="X119" s="11"/>
      <c r="Y119" s="11"/>
      <c r="Z119" s="11"/>
    </row>
    <row r="120" spans="1:26" ht="14.25" customHeight="1">
      <c r="A120" s="11"/>
      <c r="B120" s="11"/>
      <c r="C120" s="11"/>
      <c r="D120" s="11"/>
      <c r="E120" s="11"/>
      <c r="F120" s="11"/>
      <c r="G120" s="11"/>
      <c r="H120" s="11"/>
      <c r="I120" s="46"/>
      <c r="J120" s="11"/>
      <c r="K120" s="11"/>
      <c r="L120" s="11"/>
      <c r="M120" s="11"/>
      <c r="N120" s="11"/>
      <c r="O120" s="11"/>
      <c r="P120" s="11"/>
      <c r="Q120" s="11"/>
      <c r="R120" s="11"/>
      <c r="S120" s="11"/>
      <c r="T120" s="11"/>
      <c r="U120" s="11"/>
      <c r="V120" s="11"/>
      <c r="W120" s="11"/>
      <c r="X120" s="11"/>
      <c r="Y120" s="11"/>
      <c r="Z120" s="11"/>
    </row>
    <row r="121" spans="1:26" ht="14.25" customHeight="1">
      <c r="A121" s="11"/>
      <c r="B121" s="11"/>
      <c r="C121" s="11"/>
      <c r="D121" s="11"/>
      <c r="E121" s="11"/>
      <c r="F121" s="11"/>
      <c r="G121" s="11"/>
      <c r="H121" s="11"/>
      <c r="I121" s="46"/>
      <c r="J121" s="11"/>
      <c r="K121" s="11"/>
      <c r="L121" s="11"/>
      <c r="M121" s="11"/>
      <c r="N121" s="11"/>
      <c r="O121" s="11"/>
      <c r="P121" s="11"/>
      <c r="Q121" s="11"/>
      <c r="R121" s="11"/>
      <c r="S121" s="11"/>
      <c r="T121" s="11"/>
      <c r="U121" s="11"/>
      <c r="V121" s="11"/>
      <c r="W121" s="11"/>
      <c r="X121" s="11"/>
      <c r="Y121" s="11"/>
      <c r="Z121" s="11"/>
    </row>
    <row r="122" spans="1:26" ht="14.25" customHeight="1">
      <c r="A122" s="11"/>
      <c r="B122" s="11"/>
      <c r="C122" s="11"/>
      <c r="D122" s="11"/>
      <c r="E122" s="11"/>
      <c r="F122" s="11"/>
      <c r="G122" s="11"/>
      <c r="H122" s="11"/>
      <c r="I122" s="46"/>
      <c r="J122" s="11"/>
      <c r="K122" s="11"/>
      <c r="L122" s="11"/>
      <c r="M122" s="11"/>
      <c r="N122" s="11"/>
      <c r="O122" s="11"/>
      <c r="P122" s="11"/>
      <c r="Q122" s="11"/>
      <c r="R122" s="11"/>
      <c r="S122" s="11"/>
      <c r="T122" s="11"/>
      <c r="U122" s="11"/>
      <c r="V122" s="11"/>
      <c r="W122" s="11"/>
      <c r="X122" s="11"/>
      <c r="Y122" s="11"/>
      <c r="Z122" s="11"/>
    </row>
    <row r="123" spans="1:26" ht="14.25" customHeight="1">
      <c r="A123" s="11"/>
      <c r="B123" s="11"/>
      <c r="C123" s="11"/>
      <c r="D123" s="11"/>
      <c r="E123" s="11"/>
      <c r="F123" s="11"/>
      <c r="G123" s="11"/>
      <c r="H123" s="11"/>
      <c r="I123" s="46"/>
      <c r="J123" s="11"/>
      <c r="K123" s="11"/>
      <c r="L123" s="11"/>
      <c r="M123" s="11"/>
      <c r="N123" s="11"/>
      <c r="O123" s="11"/>
      <c r="P123" s="11"/>
      <c r="Q123" s="11"/>
      <c r="R123" s="11"/>
      <c r="S123" s="11"/>
      <c r="T123" s="11"/>
      <c r="U123" s="11"/>
      <c r="V123" s="11"/>
      <c r="W123" s="11"/>
      <c r="X123" s="11"/>
      <c r="Y123" s="11"/>
      <c r="Z123" s="11"/>
    </row>
    <row r="124" spans="1:26" ht="14.25" customHeight="1">
      <c r="A124" s="11"/>
      <c r="B124" s="11"/>
      <c r="C124" s="11"/>
      <c r="D124" s="11"/>
      <c r="E124" s="11"/>
      <c r="F124" s="11"/>
      <c r="G124" s="11"/>
      <c r="H124" s="11"/>
      <c r="I124" s="46"/>
      <c r="J124" s="11"/>
      <c r="K124" s="11"/>
      <c r="L124" s="11"/>
      <c r="M124" s="11"/>
      <c r="N124" s="11"/>
      <c r="O124" s="11"/>
      <c r="P124" s="11"/>
      <c r="Q124" s="11"/>
      <c r="R124" s="11"/>
      <c r="S124" s="11"/>
      <c r="T124" s="11"/>
      <c r="U124" s="11"/>
      <c r="V124" s="11"/>
      <c r="W124" s="11"/>
      <c r="X124" s="11"/>
      <c r="Y124" s="11"/>
      <c r="Z124" s="11"/>
    </row>
    <row r="125" spans="1:26" ht="14.25" customHeight="1">
      <c r="A125" s="11"/>
      <c r="B125" s="11"/>
      <c r="C125" s="11"/>
      <c r="D125" s="11"/>
      <c r="E125" s="11"/>
      <c r="F125" s="11"/>
      <c r="G125" s="11"/>
      <c r="H125" s="11"/>
      <c r="I125" s="46"/>
      <c r="J125" s="11"/>
      <c r="K125" s="11"/>
      <c r="L125" s="11"/>
      <c r="M125" s="11"/>
      <c r="N125" s="11"/>
      <c r="O125" s="11"/>
      <c r="P125" s="11"/>
      <c r="Q125" s="11"/>
      <c r="R125" s="11"/>
      <c r="S125" s="11"/>
      <c r="T125" s="11"/>
      <c r="U125" s="11"/>
      <c r="V125" s="11"/>
      <c r="W125" s="11"/>
      <c r="X125" s="11"/>
      <c r="Y125" s="11"/>
      <c r="Z125" s="11"/>
    </row>
    <row r="126" spans="1:26" ht="14.25" customHeight="1">
      <c r="A126" s="11"/>
      <c r="B126" s="11"/>
      <c r="C126" s="11"/>
      <c r="D126" s="11"/>
      <c r="E126" s="11"/>
      <c r="F126" s="11"/>
      <c r="G126" s="11"/>
      <c r="H126" s="11"/>
      <c r="I126" s="46"/>
      <c r="J126" s="11"/>
      <c r="K126" s="11"/>
      <c r="L126" s="11"/>
      <c r="M126" s="11"/>
      <c r="N126" s="11"/>
      <c r="O126" s="11"/>
      <c r="P126" s="11"/>
      <c r="Q126" s="11"/>
      <c r="R126" s="11"/>
      <c r="S126" s="11"/>
      <c r="T126" s="11"/>
      <c r="U126" s="11"/>
      <c r="V126" s="11"/>
      <c r="W126" s="11"/>
      <c r="X126" s="11"/>
      <c r="Y126" s="11"/>
      <c r="Z126" s="11"/>
    </row>
    <row r="127" spans="1:26" ht="14.25" customHeight="1">
      <c r="A127" s="11"/>
      <c r="B127" s="11"/>
      <c r="C127" s="11"/>
      <c r="D127" s="11"/>
      <c r="E127" s="11"/>
      <c r="F127" s="11"/>
      <c r="G127" s="11"/>
      <c r="H127" s="11"/>
      <c r="I127" s="46"/>
      <c r="J127" s="11"/>
      <c r="K127" s="11"/>
      <c r="L127" s="11"/>
      <c r="M127" s="11"/>
      <c r="N127" s="11"/>
      <c r="O127" s="11"/>
      <c r="P127" s="11"/>
      <c r="Q127" s="11"/>
      <c r="R127" s="11"/>
      <c r="S127" s="11"/>
      <c r="T127" s="11"/>
      <c r="U127" s="11"/>
      <c r="V127" s="11"/>
      <c r="W127" s="11"/>
      <c r="X127" s="11"/>
      <c r="Y127" s="11"/>
      <c r="Z127" s="11"/>
    </row>
    <row r="128" spans="1:26" ht="14.25" customHeight="1">
      <c r="A128" s="11"/>
      <c r="B128" s="11"/>
      <c r="C128" s="11"/>
      <c r="D128" s="11"/>
      <c r="E128" s="11"/>
      <c r="F128" s="11"/>
      <c r="G128" s="11"/>
      <c r="H128" s="11"/>
      <c r="I128" s="46"/>
      <c r="J128" s="11"/>
      <c r="K128" s="11"/>
      <c r="L128" s="11"/>
      <c r="M128" s="11"/>
      <c r="N128" s="11"/>
      <c r="O128" s="11"/>
      <c r="P128" s="11"/>
      <c r="Q128" s="11"/>
      <c r="R128" s="11"/>
      <c r="S128" s="11"/>
      <c r="T128" s="11"/>
      <c r="U128" s="11"/>
      <c r="V128" s="11"/>
      <c r="W128" s="11"/>
      <c r="X128" s="11"/>
      <c r="Y128" s="11"/>
      <c r="Z128" s="11"/>
    </row>
    <row r="129" spans="1:26" ht="14.25" customHeight="1">
      <c r="A129" s="11"/>
      <c r="B129" s="11"/>
      <c r="C129" s="11"/>
      <c r="D129" s="11"/>
      <c r="E129" s="11"/>
      <c r="F129" s="11"/>
      <c r="G129" s="11"/>
      <c r="H129" s="11"/>
      <c r="I129" s="46"/>
      <c r="J129" s="11"/>
      <c r="K129" s="11"/>
      <c r="L129" s="11"/>
      <c r="M129" s="11"/>
      <c r="N129" s="11"/>
      <c r="O129" s="11"/>
      <c r="P129" s="11"/>
      <c r="Q129" s="11"/>
      <c r="R129" s="11"/>
      <c r="S129" s="11"/>
      <c r="T129" s="11"/>
      <c r="U129" s="11"/>
      <c r="V129" s="11"/>
      <c r="W129" s="11"/>
      <c r="X129" s="11"/>
      <c r="Y129" s="11"/>
      <c r="Z129" s="11"/>
    </row>
    <row r="130" spans="1:26" ht="14.25" customHeight="1">
      <c r="A130" s="11"/>
      <c r="B130" s="11"/>
      <c r="C130" s="11"/>
      <c r="D130" s="11"/>
      <c r="E130" s="11"/>
      <c r="F130" s="11"/>
      <c r="G130" s="11"/>
      <c r="H130" s="11"/>
      <c r="I130" s="46"/>
      <c r="J130" s="11"/>
      <c r="K130" s="11"/>
      <c r="L130" s="11"/>
      <c r="M130" s="11"/>
      <c r="N130" s="11"/>
      <c r="O130" s="11"/>
      <c r="P130" s="11"/>
      <c r="Q130" s="11"/>
      <c r="R130" s="11"/>
      <c r="S130" s="11"/>
      <c r="T130" s="11"/>
      <c r="U130" s="11"/>
      <c r="V130" s="11"/>
      <c r="W130" s="11"/>
      <c r="X130" s="11"/>
      <c r="Y130" s="11"/>
      <c r="Z130" s="11"/>
    </row>
    <row r="131" spans="1:26" ht="14.25" customHeight="1">
      <c r="A131" s="11"/>
      <c r="B131" s="11"/>
      <c r="C131" s="11"/>
      <c r="D131" s="11"/>
      <c r="E131" s="11"/>
      <c r="F131" s="11"/>
      <c r="G131" s="11"/>
      <c r="H131" s="11"/>
      <c r="I131" s="46"/>
      <c r="J131" s="11"/>
      <c r="K131" s="11"/>
      <c r="L131" s="11"/>
      <c r="M131" s="11"/>
      <c r="N131" s="11"/>
      <c r="O131" s="11"/>
      <c r="P131" s="11"/>
      <c r="Q131" s="11"/>
      <c r="R131" s="11"/>
      <c r="S131" s="11"/>
      <c r="T131" s="11"/>
      <c r="U131" s="11"/>
      <c r="V131" s="11"/>
      <c r="W131" s="11"/>
      <c r="X131" s="11"/>
      <c r="Y131" s="11"/>
      <c r="Z131" s="11"/>
    </row>
    <row r="132" spans="1:26" ht="14.25" customHeight="1">
      <c r="A132" s="11"/>
      <c r="B132" s="11"/>
      <c r="C132" s="11"/>
      <c r="D132" s="11"/>
      <c r="E132" s="11"/>
      <c r="F132" s="11"/>
      <c r="G132" s="11"/>
      <c r="H132" s="11"/>
      <c r="I132" s="46"/>
      <c r="J132" s="11"/>
      <c r="K132" s="11"/>
      <c r="L132" s="11"/>
      <c r="M132" s="11"/>
      <c r="N132" s="11"/>
      <c r="O132" s="11"/>
      <c r="P132" s="11"/>
      <c r="Q132" s="11"/>
      <c r="R132" s="11"/>
      <c r="S132" s="11"/>
      <c r="T132" s="11"/>
      <c r="U132" s="11"/>
      <c r="V132" s="11"/>
      <c r="W132" s="11"/>
      <c r="X132" s="11"/>
      <c r="Y132" s="11"/>
      <c r="Z132" s="11"/>
    </row>
    <row r="133" spans="1:26" ht="14.25" customHeight="1">
      <c r="A133" s="11"/>
      <c r="B133" s="11"/>
      <c r="C133" s="11"/>
      <c r="D133" s="11"/>
      <c r="E133" s="11"/>
      <c r="F133" s="11"/>
      <c r="G133" s="11"/>
      <c r="H133" s="11"/>
      <c r="I133" s="46"/>
      <c r="J133" s="11"/>
      <c r="K133" s="11"/>
      <c r="L133" s="11"/>
      <c r="M133" s="11"/>
      <c r="N133" s="11"/>
      <c r="O133" s="11"/>
      <c r="P133" s="11"/>
      <c r="Q133" s="11"/>
      <c r="R133" s="11"/>
      <c r="S133" s="11"/>
      <c r="T133" s="11"/>
      <c r="U133" s="11"/>
      <c r="V133" s="11"/>
      <c r="W133" s="11"/>
      <c r="X133" s="11"/>
      <c r="Y133" s="11"/>
      <c r="Z133" s="11"/>
    </row>
    <row r="134" spans="1:26" ht="14.25" customHeight="1">
      <c r="A134" s="11"/>
      <c r="B134" s="11"/>
      <c r="C134" s="11"/>
      <c r="D134" s="11"/>
      <c r="E134" s="11"/>
      <c r="F134" s="11"/>
      <c r="G134" s="11"/>
      <c r="H134" s="11"/>
      <c r="I134" s="46"/>
      <c r="J134" s="11"/>
      <c r="K134" s="11"/>
      <c r="L134" s="11"/>
      <c r="M134" s="11"/>
      <c r="N134" s="11"/>
      <c r="O134" s="11"/>
      <c r="P134" s="11"/>
      <c r="Q134" s="11"/>
      <c r="R134" s="11"/>
      <c r="S134" s="11"/>
      <c r="T134" s="11"/>
      <c r="U134" s="11"/>
      <c r="V134" s="11"/>
      <c r="W134" s="11"/>
      <c r="X134" s="11"/>
      <c r="Y134" s="11"/>
      <c r="Z134" s="11"/>
    </row>
    <row r="135" spans="1:26" ht="14.25" customHeight="1">
      <c r="A135" s="11"/>
      <c r="B135" s="11"/>
      <c r="C135" s="11"/>
      <c r="D135" s="11"/>
      <c r="E135" s="11"/>
      <c r="F135" s="11"/>
      <c r="G135" s="11"/>
      <c r="H135" s="11"/>
      <c r="I135" s="46"/>
      <c r="J135" s="11"/>
      <c r="K135" s="11"/>
      <c r="L135" s="11"/>
      <c r="M135" s="11"/>
      <c r="N135" s="11"/>
      <c r="O135" s="11"/>
      <c r="P135" s="11"/>
      <c r="Q135" s="11"/>
      <c r="R135" s="11"/>
      <c r="S135" s="11"/>
      <c r="T135" s="11"/>
      <c r="U135" s="11"/>
      <c r="V135" s="11"/>
      <c r="W135" s="11"/>
      <c r="X135" s="11"/>
      <c r="Y135" s="11"/>
      <c r="Z135" s="11"/>
    </row>
    <row r="136" spans="1:26" ht="14.25" customHeight="1">
      <c r="A136" s="11"/>
      <c r="B136" s="11"/>
      <c r="C136" s="11"/>
      <c r="D136" s="11"/>
      <c r="E136" s="11"/>
      <c r="F136" s="11"/>
      <c r="G136" s="11"/>
      <c r="H136" s="11"/>
      <c r="I136" s="46"/>
      <c r="J136" s="11"/>
      <c r="K136" s="11"/>
      <c r="L136" s="11"/>
      <c r="M136" s="11"/>
      <c r="N136" s="11"/>
      <c r="O136" s="11"/>
      <c r="P136" s="11"/>
      <c r="Q136" s="11"/>
      <c r="R136" s="11"/>
      <c r="S136" s="11"/>
      <c r="T136" s="11"/>
      <c r="U136" s="11"/>
      <c r="V136" s="11"/>
      <c r="W136" s="11"/>
      <c r="X136" s="11"/>
      <c r="Y136" s="11"/>
      <c r="Z136" s="11"/>
    </row>
    <row r="137" spans="1:26" ht="14.25" customHeight="1">
      <c r="A137" s="11"/>
      <c r="B137" s="11"/>
      <c r="C137" s="11"/>
      <c r="D137" s="11"/>
      <c r="E137" s="11"/>
      <c r="F137" s="11"/>
      <c r="G137" s="11"/>
      <c r="H137" s="11"/>
      <c r="I137" s="46"/>
      <c r="J137" s="11"/>
      <c r="K137" s="11"/>
      <c r="L137" s="11"/>
      <c r="M137" s="11"/>
      <c r="N137" s="11"/>
      <c r="O137" s="11"/>
      <c r="P137" s="11"/>
      <c r="Q137" s="11"/>
      <c r="R137" s="11"/>
      <c r="S137" s="11"/>
      <c r="T137" s="11"/>
      <c r="U137" s="11"/>
      <c r="V137" s="11"/>
      <c r="W137" s="11"/>
      <c r="X137" s="11"/>
      <c r="Y137" s="11"/>
      <c r="Z137" s="11"/>
    </row>
    <row r="138" spans="1:26" ht="14.25" customHeight="1">
      <c r="A138" s="11"/>
      <c r="B138" s="11"/>
      <c r="C138" s="11"/>
      <c r="D138" s="11"/>
      <c r="E138" s="11"/>
      <c r="F138" s="11"/>
      <c r="G138" s="11"/>
      <c r="H138" s="11"/>
      <c r="I138" s="46"/>
      <c r="J138" s="11"/>
      <c r="K138" s="11"/>
      <c r="L138" s="11"/>
      <c r="M138" s="11"/>
      <c r="N138" s="11"/>
      <c r="O138" s="11"/>
      <c r="P138" s="11"/>
      <c r="Q138" s="11"/>
      <c r="R138" s="11"/>
      <c r="S138" s="11"/>
      <c r="T138" s="11"/>
      <c r="U138" s="11"/>
      <c r="V138" s="11"/>
      <c r="W138" s="11"/>
      <c r="X138" s="11"/>
      <c r="Y138" s="11"/>
      <c r="Z138" s="11"/>
    </row>
    <row r="139" spans="1:26" ht="14.25" customHeight="1">
      <c r="A139" s="11"/>
      <c r="B139" s="11"/>
      <c r="C139" s="11"/>
      <c r="D139" s="11"/>
      <c r="E139" s="11"/>
      <c r="F139" s="11"/>
      <c r="G139" s="11"/>
      <c r="H139" s="11"/>
      <c r="I139" s="46"/>
      <c r="J139" s="11"/>
      <c r="K139" s="11"/>
      <c r="L139" s="11"/>
      <c r="M139" s="11"/>
      <c r="N139" s="11"/>
      <c r="O139" s="11"/>
      <c r="P139" s="11"/>
      <c r="Q139" s="11"/>
      <c r="R139" s="11"/>
      <c r="S139" s="11"/>
      <c r="T139" s="11"/>
      <c r="U139" s="11"/>
      <c r="V139" s="11"/>
      <c r="W139" s="11"/>
      <c r="X139" s="11"/>
      <c r="Y139" s="11"/>
      <c r="Z139" s="11"/>
    </row>
    <row r="140" spans="1:26" ht="14.25" customHeight="1">
      <c r="A140" s="11"/>
      <c r="B140" s="11"/>
      <c r="C140" s="11"/>
      <c r="D140" s="11"/>
      <c r="E140" s="11"/>
      <c r="F140" s="11"/>
      <c r="G140" s="11"/>
      <c r="H140" s="11"/>
      <c r="I140" s="46"/>
      <c r="J140" s="11"/>
      <c r="K140" s="11"/>
      <c r="L140" s="11"/>
      <c r="M140" s="11"/>
      <c r="N140" s="11"/>
      <c r="O140" s="11"/>
      <c r="P140" s="11"/>
      <c r="Q140" s="11"/>
      <c r="R140" s="11"/>
      <c r="S140" s="11"/>
      <c r="T140" s="11"/>
      <c r="U140" s="11"/>
      <c r="V140" s="11"/>
      <c r="W140" s="11"/>
      <c r="X140" s="11"/>
      <c r="Y140" s="11"/>
      <c r="Z140" s="11"/>
    </row>
    <row r="141" spans="1:26" ht="14.25" customHeight="1">
      <c r="A141" s="11"/>
      <c r="B141" s="11"/>
      <c r="C141" s="11"/>
      <c r="D141" s="11"/>
      <c r="E141" s="11"/>
      <c r="F141" s="11"/>
      <c r="G141" s="11"/>
      <c r="H141" s="11"/>
      <c r="I141" s="46"/>
      <c r="J141" s="11"/>
      <c r="K141" s="11"/>
      <c r="L141" s="11"/>
      <c r="M141" s="11"/>
      <c r="N141" s="11"/>
      <c r="O141" s="11"/>
      <c r="P141" s="11"/>
      <c r="Q141" s="11"/>
      <c r="R141" s="11"/>
      <c r="S141" s="11"/>
      <c r="T141" s="11"/>
      <c r="U141" s="11"/>
      <c r="V141" s="11"/>
      <c r="W141" s="11"/>
      <c r="X141" s="11"/>
      <c r="Y141" s="11"/>
      <c r="Z141" s="11"/>
    </row>
    <row r="142" spans="1:26" ht="14.25" customHeight="1">
      <c r="A142" s="11"/>
      <c r="B142" s="11"/>
      <c r="C142" s="11"/>
      <c r="D142" s="11"/>
      <c r="E142" s="11"/>
      <c r="F142" s="11"/>
      <c r="G142" s="11"/>
      <c r="H142" s="11"/>
      <c r="I142" s="46"/>
      <c r="J142" s="11"/>
      <c r="K142" s="11"/>
      <c r="L142" s="11"/>
      <c r="M142" s="11"/>
      <c r="N142" s="11"/>
      <c r="O142" s="11"/>
      <c r="P142" s="11"/>
      <c r="Q142" s="11"/>
      <c r="R142" s="11"/>
      <c r="S142" s="11"/>
      <c r="T142" s="11"/>
      <c r="U142" s="11"/>
      <c r="V142" s="11"/>
      <c r="W142" s="11"/>
      <c r="X142" s="11"/>
      <c r="Y142" s="11"/>
      <c r="Z142" s="11"/>
    </row>
    <row r="143" spans="1:26" ht="14.25" customHeight="1">
      <c r="A143" s="11"/>
      <c r="B143" s="11"/>
      <c r="C143" s="11"/>
      <c r="D143" s="11"/>
      <c r="E143" s="11"/>
      <c r="F143" s="11"/>
      <c r="G143" s="11"/>
      <c r="H143" s="11"/>
      <c r="I143" s="46"/>
      <c r="J143" s="11"/>
      <c r="K143" s="11"/>
      <c r="L143" s="11"/>
      <c r="M143" s="11"/>
      <c r="N143" s="11"/>
      <c r="O143" s="11"/>
      <c r="P143" s="11"/>
      <c r="Q143" s="11"/>
      <c r="R143" s="11"/>
      <c r="S143" s="11"/>
      <c r="T143" s="11"/>
      <c r="U143" s="11"/>
      <c r="V143" s="11"/>
      <c r="W143" s="11"/>
      <c r="X143" s="11"/>
      <c r="Y143" s="11"/>
      <c r="Z143" s="11"/>
    </row>
    <row r="144" spans="1:26" ht="14.25" customHeight="1">
      <c r="A144" s="11"/>
      <c r="B144" s="11"/>
      <c r="C144" s="11"/>
      <c r="D144" s="11"/>
      <c r="E144" s="11"/>
      <c r="F144" s="11"/>
      <c r="G144" s="11"/>
      <c r="H144" s="11"/>
      <c r="I144" s="46"/>
      <c r="J144" s="11"/>
      <c r="K144" s="11"/>
      <c r="L144" s="11"/>
      <c r="M144" s="11"/>
      <c r="N144" s="11"/>
      <c r="O144" s="11"/>
      <c r="P144" s="11"/>
      <c r="Q144" s="11"/>
      <c r="R144" s="11"/>
      <c r="S144" s="11"/>
      <c r="T144" s="11"/>
      <c r="U144" s="11"/>
      <c r="V144" s="11"/>
      <c r="W144" s="11"/>
      <c r="X144" s="11"/>
      <c r="Y144" s="11"/>
      <c r="Z144" s="11"/>
    </row>
    <row r="145" spans="1:26" ht="14.25" customHeight="1">
      <c r="A145" s="11"/>
      <c r="B145" s="11"/>
      <c r="C145" s="11"/>
      <c r="D145" s="11"/>
      <c r="E145" s="11"/>
      <c r="F145" s="11"/>
      <c r="G145" s="11"/>
      <c r="H145" s="11"/>
      <c r="I145" s="46"/>
      <c r="J145" s="11"/>
      <c r="K145" s="11"/>
      <c r="L145" s="11"/>
      <c r="M145" s="11"/>
      <c r="N145" s="11"/>
      <c r="O145" s="11"/>
      <c r="P145" s="11"/>
      <c r="Q145" s="11"/>
      <c r="R145" s="11"/>
      <c r="S145" s="11"/>
      <c r="T145" s="11"/>
      <c r="U145" s="11"/>
      <c r="V145" s="11"/>
      <c r="W145" s="11"/>
      <c r="X145" s="11"/>
      <c r="Y145" s="11"/>
      <c r="Z145" s="11"/>
    </row>
    <row r="146" spans="1:26" ht="14.25" customHeight="1">
      <c r="A146" s="11"/>
      <c r="B146" s="11"/>
      <c r="C146" s="11"/>
      <c r="D146" s="11"/>
      <c r="E146" s="11"/>
      <c r="F146" s="11"/>
      <c r="G146" s="11"/>
      <c r="H146" s="11"/>
      <c r="I146" s="46"/>
      <c r="J146" s="11"/>
      <c r="K146" s="11"/>
      <c r="L146" s="11"/>
      <c r="M146" s="11"/>
      <c r="N146" s="11"/>
      <c r="O146" s="11"/>
      <c r="P146" s="11"/>
      <c r="Q146" s="11"/>
      <c r="R146" s="11"/>
      <c r="S146" s="11"/>
      <c r="T146" s="11"/>
      <c r="U146" s="11"/>
      <c r="V146" s="11"/>
      <c r="W146" s="11"/>
      <c r="X146" s="11"/>
      <c r="Y146" s="11"/>
      <c r="Z146" s="11"/>
    </row>
    <row r="147" spans="1:26" ht="14.25" customHeight="1">
      <c r="A147" s="11"/>
      <c r="B147" s="11"/>
      <c r="C147" s="11"/>
      <c r="D147" s="11"/>
      <c r="E147" s="11"/>
      <c r="F147" s="11"/>
      <c r="G147" s="11"/>
      <c r="H147" s="11"/>
      <c r="I147" s="46"/>
      <c r="J147" s="11"/>
      <c r="K147" s="11"/>
      <c r="L147" s="11"/>
      <c r="M147" s="11"/>
      <c r="N147" s="11"/>
      <c r="O147" s="11"/>
      <c r="P147" s="11"/>
      <c r="Q147" s="11"/>
      <c r="R147" s="11"/>
      <c r="S147" s="11"/>
      <c r="T147" s="11"/>
      <c r="U147" s="11"/>
      <c r="V147" s="11"/>
      <c r="W147" s="11"/>
      <c r="X147" s="11"/>
      <c r="Y147" s="11"/>
      <c r="Z147" s="11"/>
    </row>
    <row r="148" spans="1:26" ht="14.25" customHeight="1">
      <c r="A148" s="11"/>
      <c r="B148" s="11"/>
      <c r="C148" s="11"/>
      <c r="D148" s="11"/>
      <c r="E148" s="11"/>
      <c r="F148" s="11"/>
      <c r="G148" s="11"/>
      <c r="H148" s="11"/>
      <c r="I148" s="46"/>
      <c r="J148" s="11"/>
      <c r="K148" s="11"/>
      <c r="L148" s="11"/>
      <c r="M148" s="11"/>
      <c r="N148" s="11"/>
      <c r="O148" s="11"/>
      <c r="P148" s="11"/>
      <c r="Q148" s="11"/>
      <c r="R148" s="11"/>
      <c r="S148" s="11"/>
      <c r="T148" s="11"/>
      <c r="U148" s="11"/>
      <c r="V148" s="11"/>
      <c r="W148" s="11"/>
      <c r="X148" s="11"/>
      <c r="Y148" s="11"/>
      <c r="Z148" s="11"/>
    </row>
    <row r="149" spans="1:26" ht="14.25" customHeight="1">
      <c r="A149" s="11"/>
      <c r="B149" s="11"/>
      <c r="C149" s="11"/>
      <c r="D149" s="11"/>
      <c r="E149" s="11"/>
      <c r="F149" s="11"/>
      <c r="G149" s="11"/>
      <c r="H149" s="11"/>
      <c r="I149" s="46"/>
      <c r="J149" s="11"/>
      <c r="K149" s="11"/>
      <c r="L149" s="11"/>
      <c r="M149" s="11"/>
      <c r="N149" s="11"/>
      <c r="O149" s="11"/>
      <c r="P149" s="11"/>
      <c r="Q149" s="11"/>
      <c r="R149" s="11"/>
      <c r="S149" s="11"/>
      <c r="T149" s="11"/>
      <c r="U149" s="11"/>
      <c r="V149" s="11"/>
      <c r="W149" s="11"/>
      <c r="X149" s="11"/>
      <c r="Y149" s="11"/>
      <c r="Z149" s="11"/>
    </row>
    <row r="150" spans="1:26" ht="14.25" customHeight="1">
      <c r="A150" s="11"/>
      <c r="B150" s="11"/>
      <c r="C150" s="11"/>
      <c r="D150" s="11"/>
      <c r="E150" s="11"/>
      <c r="F150" s="11"/>
      <c r="G150" s="11"/>
      <c r="H150" s="11"/>
      <c r="I150" s="46"/>
      <c r="J150" s="11"/>
      <c r="K150" s="11"/>
      <c r="L150" s="11"/>
      <c r="M150" s="11"/>
      <c r="N150" s="11"/>
      <c r="O150" s="11"/>
      <c r="P150" s="11"/>
      <c r="Q150" s="11"/>
      <c r="R150" s="11"/>
      <c r="S150" s="11"/>
      <c r="T150" s="11"/>
      <c r="U150" s="11"/>
      <c r="V150" s="11"/>
      <c r="W150" s="11"/>
      <c r="X150" s="11"/>
      <c r="Y150" s="11"/>
      <c r="Z150" s="11"/>
    </row>
    <row r="151" spans="1:26" ht="14.25" customHeight="1">
      <c r="A151" s="11"/>
      <c r="B151" s="11"/>
      <c r="C151" s="11"/>
      <c r="D151" s="11"/>
      <c r="E151" s="11"/>
      <c r="F151" s="11"/>
      <c r="G151" s="11"/>
      <c r="H151" s="11"/>
      <c r="I151" s="46"/>
      <c r="J151" s="11"/>
      <c r="K151" s="11"/>
      <c r="L151" s="11"/>
      <c r="M151" s="11"/>
      <c r="N151" s="11"/>
      <c r="O151" s="11"/>
      <c r="P151" s="11"/>
      <c r="Q151" s="11"/>
      <c r="R151" s="11"/>
      <c r="S151" s="11"/>
      <c r="T151" s="11"/>
      <c r="U151" s="11"/>
      <c r="V151" s="11"/>
      <c r="W151" s="11"/>
      <c r="X151" s="11"/>
      <c r="Y151" s="11"/>
      <c r="Z151" s="11"/>
    </row>
    <row r="152" spans="1:26" ht="14.25" customHeight="1">
      <c r="A152" s="11"/>
      <c r="B152" s="11"/>
      <c r="C152" s="11"/>
      <c r="D152" s="11"/>
      <c r="E152" s="11"/>
      <c r="F152" s="11"/>
      <c r="G152" s="11"/>
      <c r="H152" s="11"/>
      <c r="I152" s="46"/>
      <c r="J152" s="11"/>
      <c r="K152" s="11"/>
      <c r="L152" s="11"/>
      <c r="M152" s="11"/>
      <c r="N152" s="11"/>
      <c r="O152" s="11"/>
      <c r="P152" s="11"/>
      <c r="Q152" s="11"/>
      <c r="R152" s="11"/>
      <c r="S152" s="11"/>
      <c r="T152" s="11"/>
      <c r="U152" s="11"/>
      <c r="V152" s="11"/>
      <c r="W152" s="11"/>
      <c r="X152" s="11"/>
      <c r="Y152" s="11"/>
      <c r="Z152" s="11"/>
    </row>
    <row r="153" spans="1:26" ht="14.25" customHeight="1">
      <c r="A153" s="11"/>
      <c r="B153" s="11"/>
      <c r="C153" s="11"/>
      <c r="D153" s="11"/>
      <c r="E153" s="11"/>
      <c r="F153" s="11"/>
      <c r="G153" s="11"/>
      <c r="H153" s="11"/>
      <c r="I153" s="46"/>
      <c r="J153" s="11"/>
      <c r="K153" s="11"/>
      <c r="L153" s="11"/>
      <c r="M153" s="11"/>
      <c r="N153" s="11"/>
      <c r="O153" s="11"/>
      <c r="P153" s="11"/>
      <c r="Q153" s="11"/>
      <c r="R153" s="11"/>
      <c r="S153" s="11"/>
      <c r="T153" s="11"/>
      <c r="U153" s="11"/>
      <c r="V153" s="11"/>
      <c r="W153" s="11"/>
      <c r="X153" s="11"/>
      <c r="Y153" s="11"/>
      <c r="Z153" s="11"/>
    </row>
    <row r="154" spans="1:26" ht="14.25" customHeight="1">
      <c r="A154" s="11"/>
      <c r="B154" s="11"/>
      <c r="C154" s="11"/>
      <c r="D154" s="11"/>
      <c r="E154" s="11"/>
      <c r="F154" s="11"/>
      <c r="G154" s="11"/>
      <c r="H154" s="11"/>
      <c r="I154" s="46"/>
      <c r="J154" s="11"/>
      <c r="K154" s="11"/>
      <c r="L154" s="11"/>
      <c r="M154" s="11"/>
      <c r="N154" s="11"/>
      <c r="O154" s="11"/>
      <c r="P154" s="11"/>
      <c r="Q154" s="11"/>
      <c r="R154" s="11"/>
      <c r="S154" s="11"/>
      <c r="T154" s="11"/>
      <c r="U154" s="11"/>
      <c r="V154" s="11"/>
      <c r="W154" s="11"/>
      <c r="X154" s="11"/>
      <c r="Y154" s="11"/>
      <c r="Z154" s="11"/>
    </row>
    <row r="155" spans="1:26" ht="14.25" customHeight="1">
      <c r="A155" s="11"/>
      <c r="B155" s="11"/>
      <c r="C155" s="11"/>
      <c r="D155" s="11"/>
      <c r="E155" s="11"/>
      <c r="F155" s="11"/>
      <c r="G155" s="11"/>
      <c r="H155" s="11"/>
      <c r="I155" s="46"/>
      <c r="J155" s="11"/>
      <c r="K155" s="11"/>
      <c r="L155" s="11"/>
      <c r="M155" s="11"/>
      <c r="N155" s="11"/>
      <c r="O155" s="11"/>
      <c r="P155" s="11"/>
      <c r="Q155" s="11"/>
      <c r="R155" s="11"/>
      <c r="S155" s="11"/>
      <c r="T155" s="11"/>
      <c r="U155" s="11"/>
      <c r="V155" s="11"/>
      <c r="W155" s="11"/>
      <c r="X155" s="11"/>
      <c r="Y155" s="11"/>
      <c r="Z155" s="11"/>
    </row>
    <row r="156" spans="1:26" ht="14.25" customHeight="1">
      <c r="A156" s="11"/>
      <c r="B156" s="11"/>
      <c r="C156" s="11"/>
      <c r="D156" s="11"/>
      <c r="E156" s="11"/>
      <c r="F156" s="11"/>
      <c r="G156" s="11"/>
      <c r="H156" s="11"/>
      <c r="I156" s="46"/>
      <c r="J156" s="11"/>
      <c r="K156" s="11"/>
      <c r="L156" s="11"/>
      <c r="M156" s="11"/>
      <c r="N156" s="11"/>
      <c r="O156" s="11"/>
      <c r="P156" s="11"/>
      <c r="Q156" s="11"/>
      <c r="R156" s="11"/>
      <c r="S156" s="11"/>
      <c r="T156" s="11"/>
      <c r="U156" s="11"/>
      <c r="V156" s="11"/>
      <c r="W156" s="11"/>
      <c r="X156" s="11"/>
      <c r="Y156" s="11"/>
      <c r="Z156" s="11"/>
    </row>
    <row r="157" spans="1:26" ht="14.25" customHeight="1">
      <c r="A157" s="11"/>
      <c r="B157" s="11"/>
      <c r="C157" s="11"/>
      <c r="D157" s="11"/>
      <c r="E157" s="11"/>
      <c r="F157" s="11"/>
      <c r="G157" s="11"/>
      <c r="H157" s="11"/>
      <c r="I157" s="46"/>
      <c r="J157" s="11"/>
      <c r="K157" s="11"/>
      <c r="L157" s="11"/>
      <c r="M157" s="11"/>
      <c r="N157" s="11"/>
      <c r="O157" s="11"/>
      <c r="P157" s="11"/>
      <c r="Q157" s="11"/>
      <c r="R157" s="11"/>
      <c r="S157" s="11"/>
      <c r="T157" s="11"/>
      <c r="U157" s="11"/>
      <c r="V157" s="11"/>
      <c r="W157" s="11"/>
      <c r="X157" s="11"/>
      <c r="Y157" s="11"/>
      <c r="Z157" s="11"/>
    </row>
    <row r="158" spans="1:26" ht="14.25" customHeight="1">
      <c r="A158" s="11"/>
      <c r="B158" s="11"/>
      <c r="C158" s="11"/>
      <c r="D158" s="11"/>
      <c r="E158" s="11"/>
      <c r="F158" s="11"/>
      <c r="G158" s="11"/>
      <c r="H158" s="11"/>
      <c r="I158" s="46"/>
      <c r="J158" s="11"/>
      <c r="K158" s="11"/>
      <c r="L158" s="11"/>
      <c r="M158" s="11"/>
      <c r="N158" s="11"/>
      <c r="O158" s="11"/>
      <c r="P158" s="11"/>
      <c r="Q158" s="11"/>
      <c r="R158" s="11"/>
      <c r="S158" s="11"/>
      <c r="T158" s="11"/>
      <c r="U158" s="11"/>
      <c r="V158" s="11"/>
      <c r="W158" s="11"/>
      <c r="X158" s="11"/>
      <c r="Y158" s="11"/>
      <c r="Z158" s="11"/>
    </row>
    <row r="159" spans="1:26" ht="14.25" customHeight="1">
      <c r="A159" s="11"/>
      <c r="B159" s="11"/>
      <c r="C159" s="11"/>
      <c r="D159" s="11"/>
      <c r="E159" s="11"/>
      <c r="F159" s="11"/>
      <c r="G159" s="11"/>
      <c r="H159" s="11"/>
      <c r="I159" s="46"/>
      <c r="J159" s="11"/>
      <c r="K159" s="11"/>
      <c r="L159" s="11"/>
      <c r="M159" s="11"/>
      <c r="N159" s="11"/>
      <c r="O159" s="11"/>
      <c r="P159" s="11"/>
      <c r="Q159" s="11"/>
      <c r="R159" s="11"/>
      <c r="S159" s="11"/>
      <c r="T159" s="11"/>
      <c r="U159" s="11"/>
      <c r="V159" s="11"/>
      <c r="W159" s="11"/>
      <c r="X159" s="11"/>
      <c r="Y159" s="11"/>
      <c r="Z159" s="11"/>
    </row>
    <row r="160" spans="1:26" ht="14.25" customHeight="1">
      <c r="A160" s="11"/>
      <c r="B160" s="11"/>
      <c r="C160" s="11"/>
      <c r="D160" s="11"/>
      <c r="E160" s="11"/>
      <c r="F160" s="11"/>
      <c r="G160" s="11"/>
      <c r="H160" s="11"/>
      <c r="I160" s="46"/>
      <c r="J160" s="11"/>
      <c r="K160" s="11"/>
      <c r="L160" s="11"/>
      <c r="M160" s="11"/>
      <c r="N160" s="11"/>
      <c r="O160" s="11"/>
      <c r="P160" s="11"/>
      <c r="Q160" s="11"/>
      <c r="R160" s="11"/>
      <c r="S160" s="11"/>
      <c r="T160" s="11"/>
      <c r="U160" s="11"/>
      <c r="V160" s="11"/>
      <c r="W160" s="11"/>
      <c r="X160" s="11"/>
      <c r="Y160" s="11"/>
      <c r="Z160" s="11"/>
    </row>
    <row r="161" spans="1:26" ht="14.25" customHeight="1">
      <c r="A161" s="11"/>
      <c r="B161" s="11"/>
      <c r="C161" s="11"/>
      <c r="D161" s="11"/>
      <c r="E161" s="11"/>
      <c r="F161" s="11"/>
      <c r="G161" s="11"/>
      <c r="H161" s="11"/>
      <c r="I161" s="46"/>
      <c r="J161" s="11"/>
      <c r="K161" s="11"/>
      <c r="L161" s="11"/>
      <c r="M161" s="11"/>
      <c r="N161" s="11"/>
      <c r="O161" s="11"/>
      <c r="P161" s="11"/>
      <c r="Q161" s="11"/>
      <c r="R161" s="11"/>
      <c r="S161" s="11"/>
      <c r="T161" s="11"/>
      <c r="U161" s="11"/>
      <c r="V161" s="11"/>
      <c r="W161" s="11"/>
      <c r="X161" s="11"/>
      <c r="Y161" s="11"/>
      <c r="Z161" s="11"/>
    </row>
    <row r="162" spans="1:26" ht="14.25" customHeight="1">
      <c r="A162" s="11"/>
      <c r="B162" s="11"/>
      <c r="C162" s="11"/>
      <c r="D162" s="11"/>
      <c r="E162" s="11"/>
      <c r="F162" s="11"/>
      <c r="G162" s="11"/>
      <c r="H162" s="11"/>
      <c r="I162" s="46"/>
      <c r="J162" s="11"/>
      <c r="K162" s="11"/>
      <c r="L162" s="11"/>
      <c r="M162" s="11"/>
      <c r="N162" s="11"/>
      <c r="O162" s="11"/>
      <c r="P162" s="11"/>
      <c r="Q162" s="11"/>
      <c r="R162" s="11"/>
      <c r="S162" s="11"/>
      <c r="T162" s="11"/>
      <c r="U162" s="11"/>
      <c r="V162" s="11"/>
      <c r="W162" s="11"/>
      <c r="X162" s="11"/>
      <c r="Y162" s="11"/>
      <c r="Z162" s="11"/>
    </row>
    <row r="163" spans="1:26" ht="14.25" customHeight="1">
      <c r="A163" s="11"/>
      <c r="B163" s="11"/>
      <c r="C163" s="11"/>
      <c r="D163" s="11"/>
      <c r="E163" s="11"/>
      <c r="F163" s="11"/>
      <c r="G163" s="11"/>
      <c r="H163" s="11"/>
      <c r="I163" s="46"/>
      <c r="J163" s="11"/>
      <c r="K163" s="11"/>
      <c r="L163" s="11"/>
      <c r="M163" s="11"/>
      <c r="N163" s="11"/>
      <c r="O163" s="11"/>
      <c r="P163" s="11"/>
      <c r="Q163" s="11"/>
      <c r="R163" s="11"/>
      <c r="S163" s="11"/>
      <c r="T163" s="11"/>
      <c r="U163" s="11"/>
      <c r="V163" s="11"/>
      <c r="W163" s="11"/>
      <c r="X163" s="11"/>
      <c r="Y163" s="11"/>
      <c r="Z163" s="11"/>
    </row>
    <row r="164" spans="1:26" ht="14.25" customHeight="1">
      <c r="A164" s="11"/>
      <c r="B164" s="11"/>
      <c r="C164" s="11"/>
      <c r="D164" s="11"/>
      <c r="E164" s="11"/>
      <c r="F164" s="11"/>
      <c r="G164" s="11"/>
      <c r="H164" s="11"/>
      <c r="I164" s="46"/>
      <c r="J164" s="11"/>
      <c r="K164" s="11"/>
      <c r="L164" s="11"/>
      <c r="M164" s="11"/>
      <c r="N164" s="11"/>
      <c r="O164" s="11"/>
      <c r="P164" s="11"/>
      <c r="Q164" s="11"/>
      <c r="R164" s="11"/>
      <c r="S164" s="11"/>
      <c r="T164" s="11"/>
      <c r="U164" s="11"/>
      <c r="V164" s="11"/>
      <c r="W164" s="11"/>
      <c r="X164" s="11"/>
      <c r="Y164" s="11"/>
      <c r="Z164" s="11"/>
    </row>
    <row r="165" spans="1:26" ht="14.25" customHeight="1">
      <c r="A165" s="11"/>
      <c r="B165" s="11"/>
      <c r="C165" s="11"/>
      <c r="D165" s="11"/>
      <c r="E165" s="11"/>
      <c r="F165" s="11"/>
      <c r="G165" s="11"/>
      <c r="H165" s="11"/>
      <c r="I165" s="46"/>
      <c r="J165" s="11"/>
      <c r="K165" s="11"/>
      <c r="L165" s="11"/>
      <c r="M165" s="11"/>
      <c r="N165" s="11"/>
      <c r="O165" s="11"/>
      <c r="P165" s="11"/>
      <c r="Q165" s="11"/>
      <c r="R165" s="11"/>
      <c r="S165" s="11"/>
      <c r="T165" s="11"/>
      <c r="U165" s="11"/>
      <c r="V165" s="11"/>
      <c r="W165" s="11"/>
      <c r="X165" s="11"/>
      <c r="Y165" s="11"/>
      <c r="Z165" s="11"/>
    </row>
    <row r="166" spans="1:26" ht="14.25" customHeight="1">
      <c r="A166" s="11"/>
      <c r="B166" s="11"/>
      <c r="C166" s="11"/>
      <c r="D166" s="11"/>
      <c r="E166" s="11"/>
      <c r="F166" s="11"/>
      <c r="G166" s="11"/>
      <c r="H166" s="11"/>
      <c r="I166" s="46"/>
      <c r="J166" s="11"/>
      <c r="K166" s="11"/>
      <c r="L166" s="11"/>
      <c r="M166" s="11"/>
      <c r="N166" s="11"/>
      <c r="O166" s="11"/>
      <c r="P166" s="11"/>
      <c r="Q166" s="11"/>
      <c r="R166" s="11"/>
      <c r="S166" s="11"/>
      <c r="T166" s="11"/>
      <c r="U166" s="11"/>
      <c r="V166" s="11"/>
      <c r="W166" s="11"/>
      <c r="X166" s="11"/>
      <c r="Y166" s="11"/>
      <c r="Z166" s="11"/>
    </row>
    <row r="167" spans="1:26" ht="14.25" customHeight="1">
      <c r="A167" s="11"/>
      <c r="B167" s="11"/>
      <c r="C167" s="11"/>
      <c r="D167" s="11"/>
      <c r="E167" s="11"/>
      <c r="F167" s="11"/>
      <c r="G167" s="11"/>
      <c r="H167" s="11"/>
      <c r="I167" s="46"/>
      <c r="J167" s="11"/>
      <c r="K167" s="11"/>
      <c r="L167" s="11"/>
      <c r="M167" s="11"/>
      <c r="N167" s="11"/>
      <c r="O167" s="11"/>
      <c r="P167" s="11"/>
      <c r="Q167" s="11"/>
      <c r="R167" s="11"/>
      <c r="S167" s="11"/>
      <c r="T167" s="11"/>
      <c r="U167" s="11"/>
      <c r="V167" s="11"/>
      <c r="W167" s="11"/>
      <c r="X167" s="11"/>
      <c r="Y167" s="11"/>
      <c r="Z167" s="11"/>
    </row>
    <row r="168" spans="1:26" ht="14.25" customHeight="1">
      <c r="A168" s="11"/>
      <c r="B168" s="11"/>
      <c r="C168" s="11"/>
      <c r="D168" s="11"/>
      <c r="E168" s="11"/>
      <c r="F168" s="11"/>
      <c r="G168" s="11"/>
      <c r="H168" s="11"/>
      <c r="I168" s="46"/>
      <c r="J168" s="11"/>
      <c r="K168" s="11"/>
      <c r="L168" s="11"/>
      <c r="M168" s="11"/>
      <c r="N168" s="11"/>
      <c r="O168" s="11"/>
      <c r="P168" s="11"/>
      <c r="Q168" s="11"/>
      <c r="R168" s="11"/>
      <c r="S168" s="11"/>
      <c r="T168" s="11"/>
      <c r="U168" s="11"/>
      <c r="V168" s="11"/>
      <c r="W168" s="11"/>
      <c r="X168" s="11"/>
      <c r="Y168" s="11"/>
      <c r="Z168" s="11"/>
    </row>
    <row r="169" spans="1:26" ht="14.25" customHeight="1">
      <c r="A169" s="11"/>
      <c r="B169" s="11"/>
      <c r="C169" s="11"/>
      <c r="D169" s="11"/>
      <c r="E169" s="11"/>
      <c r="F169" s="11"/>
      <c r="G169" s="11"/>
      <c r="H169" s="11"/>
      <c r="I169" s="46"/>
      <c r="J169" s="11"/>
      <c r="K169" s="11"/>
      <c r="L169" s="11"/>
      <c r="M169" s="11"/>
      <c r="N169" s="11"/>
      <c r="O169" s="11"/>
      <c r="P169" s="11"/>
      <c r="Q169" s="11"/>
      <c r="R169" s="11"/>
      <c r="S169" s="11"/>
      <c r="T169" s="11"/>
      <c r="U169" s="11"/>
      <c r="V169" s="11"/>
      <c r="W169" s="11"/>
      <c r="X169" s="11"/>
      <c r="Y169" s="11"/>
      <c r="Z169" s="11"/>
    </row>
    <row r="170" spans="1:26" ht="14.25" customHeight="1">
      <c r="A170" s="11"/>
      <c r="B170" s="11"/>
      <c r="C170" s="11"/>
      <c r="D170" s="11"/>
      <c r="E170" s="11"/>
      <c r="F170" s="11"/>
      <c r="G170" s="11"/>
      <c r="H170" s="11"/>
      <c r="I170" s="46"/>
      <c r="J170" s="11"/>
      <c r="K170" s="11"/>
      <c r="L170" s="11"/>
      <c r="M170" s="11"/>
      <c r="N170" s="11"/>
      <c r="O170" s="11"/>
      <c r="P170" s="11"/>
      <c r="Q170" s="11"/>
      <c r="R170" s="11"/>
      <c r="S170" s="11"/>
      <c r="T170" s="11"/>
      <c r="U170" s="11"/>
      <c r="V170" s="11"/>
      <c r="W170" s="11"/>
      <c r="X170" s="11"/>
      <c r="Y170" s="11"/>
      <c r="Z170" s="11"/>
    </row>
    <row r="171" spans="1:26" ht="14.25" customHeight="1">
      <c r="A171" s="11"/>
      <c r="B171" s="11"/>
      <c r="C171" s="11"/>
      <c r="D171" s="11"/>
      <c r="E171" s="11"/>
      <c r="F171" s="11"/>
      <c r="G171" s="11"/>
      <c r="H171" s="11"/>
      <c r="I171" s="46"/>
      <c r="J171" s="11"/>
      <c r="K171" s="11"/>
      <c r="L171" s="11"/>
      <c r="M171" s="11"/>
      <c r="N171" s="11"/>
      <c r="O171" s="11"/>
      <c r="P171" s="11"/>
      <c r="Q171" s="11"/>
      <c r="R171" s="11"/>
      <c r="S171" s="11"/>
      <c r="T171" s="11"/>
      <c r="U171" s="11"/>
      <c r="V171" s="11"/>
      <c r="W171" s="11"/>
      <c r="X171" s="11"/>
      <c r="Y171" s="11"/>
      <c r="Z171" s="11"/>
    </row>
    <row r="172" spans="1:26" ht="14.25" customHeight="1">
      <c r="A172" s="11"/>
      <c r="B172" s="11"/>
      <c r="C172" s="11"/>
      <c r="D172" s="11"/>
      <c r="E172" s="11"/>
      <c r="F172" s="11"/>
      <c r="G172" s="11"/>
      <c r="H172" s="11"/>
      <c r="I172" s="46"/>
      <c r="J172" s="11"/>
      <c r="K172" s="11"/>
      <c r="L172" s="11"/>
      <c r="M172" s="11"/>
      <c r="N172" s="11"/>
      <c r="O172" s="11"/>
      <c r="P172" s="11"/>
      <c r="Q172" s="11"/>
      <c r="R172" s="11"/>
      <c r="S172" s="11"/>
      <c r="T172" s="11"/>
      <c r="U172" s="11"/>
      <c r="V172" s="11"/>
      <c r="W172" s="11"/>
      <c r="X172" s="11"/>
      <c r="Y172" s="11"/>
      <c r="Z172" s="11"/>
    </row>
    <row r="173" spans="1:26" ht="14.25" customHeight="1">
      <c r="A173" s="11"/>
      <c r="B173" s="11"/>
      <c r="C173" s="11"/>
      <c r="D173" s="11"/>
      <c r="E173" s="11"/>
      <c r="F173" s="11"/>
      <c r="G173" s="11"/>
      <c r="H173" s="11"/>
      <c r="I173" s="46"/>
      <c r="J173" s="11"/>
      <c r="K173" s="11"/>
      <c r="L173" s="11"/>
      <c r="M173" s="11"/>
      <c r="N173" s="11"/>
      <c r="O173" s="11"/>
      <c r="P173" s="11"/>
      <c r="Q173" s="11"/>
      <c r="R173" s="11"/>
      <c r="S173" s="11"/>
      <c r="T173" s="11"/>
      <c r="U173" s="11"/>
      <c r="V173" s="11"/>
      <c r="W173" s="11"/>
      <c r="X173" s="11"/>
      <c r="Y173" s="11"/>
      <c r="Z173" s="11"/>
    </row>
    <row r="174" spans="1:26" ht="14.25" customHeight="1">
      <c r="A174" s="11"/>
      <c r="B174" s="11"/>
      <c r="C174" s="11"/>
      <c r="D174" s="11"/>
      <c r="E174" s="11"/>
      <c r="F174" s="11"/>
      <c r="G174" s="11"/>
      <c r="H174" s="11"/>
      <c r="I174" s="46"/>
      <c r="J174" s="11"/>
      <c r="K174" s="11"/>
      <c r="L174" s="11"/>
      <c r="M174" s="11"/>
      <c r="N174" s="11"/>
      <c r="O174" s="11"/>
      <c r="P174" s="11"/>
      <c r="Q174" s="11"/>
      <c r="R174" s="11"/>
      <c r="S174" s="11"/>
      <c r="T174" s="11"/>
      <c r="U174" s="11"/>
      <c r="V174" s="11"/>
      <c r="W174" s="11"/>
      <c r="X174" s="11"/>
      <c r="Y174" s="11"/>
      <c r="Z174" s="11"/>
    </row>
    <row r="175" spans="1:26" ht="14.25" customHeight="1">
      <c r="A175" s="11"/>
      <c r="B175" s="11"/>
      <c r="C175" s="11"/>
      <c r="D175" s="11"/>
      <c r="E175" s="11"/>
      <c r="F175" s="11"/>
      <c r="G175" s="11"/>
      <c r="H175" s="11"/>
      <c r="I175" s="46"/>
      <c r="J175" s="11"/>
      <c r="K175" s="11"/>
      <c r="L175" s="11"/>
      <c r="M175" s="11"/>
      <c r="N175" s="11"/>
      <c r="O175" s="11"/>
      <c r="P175" s="11"/>
      <c r="Q175" s="11"/>
      <c r="R175" s="11"/>
      <c r="S175" s="11"/>
      <c r="T175" s="11"/>
      <c r="U175" s="11"/>
      <c r="V175" s="11"/>
      <c r="W175" s="11"/>
      <c r="X175" s="11"/>
      <c r="Y175" s="11"/>
      <c r="Z175" s="11"/>
    </row>
    <row r="176" spans="1:26" ht="14.25" customHeight="1">
      <c r="A176" s="11"/>
      <c r="B176" s="11"/>
      <c r="C176" s="11"/>
      <c r="D176" s="11"/>
      <c r="E176" s="11"/>
      <c r="F176" s="11"/>
      <c r="G176" s="11"/>
      <c r="H176" s="11"/>
      <c r="I176" s="46"/>
      <c r="J176" s="11"/>
      <c r="K176" s="11"/>
      <c r="L176" s="11"/>
      <c r="M176" s="11"/>
      <c r="N176" s="11"/>
      <c r="O176" s="11"/>
      <c r="P176" s="11"/>
      <c r="Q176" s="11"/>
      <c r="R176" s="11"/>
      <c r="S176" s="11"/>
      <c r="T176" s="11"/>
      <c r="U176" s="11"/>
      <c r="V176" s="11"/>
      <c r="W176" s="11"/>
      <c r="X176" s="11"/>
      <c r="Y176" s="11"/>
      <c r="Z176" s="11"/>
    </row>
    <row r="177" spans="1:26" ht="14.25" customHeight="1">
      <c r="A177" s="11"/>
      <c r="B177" s="11"/>
      <c r="C177" s="11"/>
      <c r="D177" s="11"/>
      <c r="E177" s="11"/>
      <c r="F177" s="11"/>
      <c r="G177" s="11"/>
      <c r="H177" s="11"/>
      <c r="I177" s="46"/>
      <c r="J177" s="11"/>
      <c r="K177" s="11"/>
      <c r="L177" s="11"/>
      <c r="M177" s="11"/>
      <c r="N177" s="11"/>
      <c r="O177" s="11"/>
      <c r="P177" s="11"/>
      <c r="Q177" s="11"/>
      <c r="R177" s="11"/>
      <c r="S177" s="11"/>
      <c r="T177" s="11"/>
      <c r="U177" s="11"/>
      <c r="V177" s="11"/>
      <c r="W177" s="11"/>
      <c r="X177" s="11"/>
      <c r="Y177" s="11"/>
      <c r="Z177" s="11"/>
    </row>
    <row r="178" spans="1:26" ht="14.25" customHeight="1">
      <c r="A178" s="11"/>
      <c r="B178" s="11"/>
      <c r="C178" s="11"/>
      <c r="D178" s="11"/>
      <c r="E178" s="11"/>
      <c r="F178" s="11"/>
      <c r="G178" s="11"/>
      <c r="H178" s="11"/>
      <c r="I178" s="46"/>
      <c r="J178" s="11"/>
      <c r="K178" s="11"/>
      <c r="L178" s="11"/>
      <c r="M178" s="11"/>
      <c r="N178" s="11"/>
      <c r="O178" s="11"/>
      <c r="P178" s="11"/>
      <c r="Q178" s="11"/>
      <c r="R178" s="11"/>
      <c r="S178" s="11"/>
      <c r="T178" s="11"/>
      <c r="U178" s="11"/>
      <c r="V178" s="11"/>
      <c r="W178" s="11"/>
      <c r="X178" s="11"/>
      <c r="Y178" s="11"/>
      <c r="Z178" s="11"/>
    </row>
    <row r="179" spans="1:26" ht="14.25" customHeight="1">
      <c r="A179" s="11"/>
      <c r="B179" s="11"/>
      <c r="C179" s="11"/>
      <c r="D179" s="11"/>
      <c r="E179" s="11"/>
      <c r="F179" s="11"/>
      <c r="G179" s="11"/>
      <c r="H179" s="11"/>
      <c r="I179" s="46"/>
      <c r="J179" s="11"/>
      <c r="K179" s="11"/>
      <c r="L179" s="11"/>
      <c r="M179" s="11"/>
      <c r="N179" s="11"/>
      <c r="O179" s="11"/>
      <c r="P179" s="11"/>
      <c r="Q179" s="11"/>
      <c r="R179" s="11"/>
      <c r="S179" s="11"/>
      <c r="T179" s="11"/>
      <c r="U179" s="11"/>
      <c r="V179" s="11"/>
      <c r="W179" s="11"/>
      <c r="X179" s="11"/>
      <c r="Y179" s="11"/>
      <c r="Z179" s="11"/>
    </row>
    <row r="180" spans="1:26" ht="14.25" customHeight="1">
      <c r="A180" s="11"/>
      <c r="B180" s="11"/>
      <c r="C180" s="11"/>
      <c r="D180" s="11"/>
      <c r="E180" s="11"/>
      <c r="F180" s="11"/>
      <c r="G180" s="11"/>
      <c r="H180" s="11"/>
      <c r="I180" s="46"/>
      <c r="J180" s="11"/>
      <c r="K180" s="11"/>
      <c r="L180" s="11"/>
      <c r="M180" s="11"/>
      <c r="N180" s="11"/>
      <c r="O180" s="11"/>
      <c r="P180" s="11"/>
      <c r="Q180" s="11"/>
      <c r="R180" s="11"/>
      <c r="S180" s="11"/>
      <c r="T180" s="11"/>
      <c r="U180" s="11"/>
      <c r="V180" s="11"/>
      <c r="W180" s="11"/>
      <c r="X180" s="11"/>
      <c r="Y180" s="11"/>
      <c r="Z180" s="11"/>
    </row>
    <row r="181" spans="1:26" ht="14.25" customHeight="1">
      <c r="A181" s="11"/>
      <c r="B181" s="11"/>
      <c r="C181" s="11"/>
      <c r="D181" s="11"/>
      <c r="E181" s="11"/>
      <c r="F181" s="11"/>
      <c r="G181" s="11"/>
      <c r="H181" s="11"/>
      <c r="I181" s="46"/>
      <c r="J181" s="11"/>
      <c r="K181" s="11"/>
      <c r="L181" s="11"/>
      <c r="M181" s="11"/>
      <c r="N181" s="11"/>
      <c r="O181" s="11"/>
      <c r="P181" s="11"/>
      <c r="Q181" s="11"/>
      <c r="R181" s="11"/>
      <c r="S181" s="11"/>
      <c r="T181" s="11"/>
      <c r="U181" s="11"/>
      <c r="V181" s="11"/>
      <c r="W181" s="11"/>
      <c r="X181" s="11"/>
      <c r="Y181" s="11"/>
      <c r="Z181" s="11"/>
    </row>
    <row r="182" spans="1:26" ht="14.25" customHeight="1">
      <c r="A182" s="11"/>
      <c r="B182" s="11"/>
      <c r="C182" s="11"/>
      <c r="D182" s="11"/>
      <c r="E182" s="11"/>
      <c r="F182" s="11"/>
      <c r="G182" s="11"/>
      <c r="H182" s="11"/>
      <c r="I182" s="46"/>
      <c r="J182" s="11"/>
      <c r="K182" s="11"/>
      <c r="L182" s="11"/>
      <c r="M182" s="11"/>
      <c r="N182" s="11"/>
      <c r="O182" s="11"/>
      <c r="P182" s="11"/>
      <c r="Q182" s="11"/>
      <c r="R182" s="11"/>
      <c r="S182" s="11"/>
      <c r="T182" s="11"/>
      <c r="U182" s="11"/>
      <c r="V182" s="11"/>
      <c r="W182" s="11"/>
      <c r="X182" s="11"/>
      <c r="Y182" s="11"/>
      <c r="Z182" s="11"/>
    </row>
    <row r="183" spans="1:26" ht="14.25" customHeight="1">
      <c r="A183" s="11"/>
      <c r="B183" s="11"/>
      <c r="C183" s="11"/>
      <c r="D183" s="11"/>
      <c r="E183" s="11"/>
      <c r="F183" s="11"/>
      <c r="G183" s="11"/>
      <c r="H183" s="11"/>
      <c r="I183" s="46"/>
      <c r="J183" s="11"/>
      <c r="K183" s="11"/>
      <c r="L183" s="11"/>
      <c r="M183" s="11"/>
      <c r="N183" s="11"/>
      <c r="O183" s="11"/>
      <c r="P183" s="11"/>
      <c r="Q183" s="11"/>
      <c r="R183" s="11"/>
      <c r="S183" s="11"/>
      <c r="T183" s="11"/>
      <c r="U183" s="11"/>
      <c r="V183" s="11"/>
      <c r="W183" s="11"/>
      <c r="X183" s="11"/>
      <c r="Y183" s="11"/>
      <c r="Z183" s="11"/>
    </row>
    <row r="184" spans="1:26" ht="14.25" customHeight="1">
      <c r="A184" s="11"/>
      <c r="B184" s="11"/>
      <c r="C184" s="11"/>
      <c r="D184" s="11"/>
      <c r="E184" s="11"/>
      <c r="F184" s="11"/>
      <c r="G184" s="11"/>
      <c r="H184" s="11"/>
      <c r="I184" s="46"/>
      <c r="J184" s="11"/>
      <c r="K184" s="11"/>
      <c r="L184" s="11"/>
      <c r="M184" s="11"/>
      <c r="N184" s="11"/>
      <c r="O184" s="11"/>
      <c r="P184" s="11"/>
      <c r="Q184" s="11"/>
      <c r="R184" s="11"/>
      <c r="S184" s="11"/>
      <c r="T184" s="11"/>
      <c r="U184" s="11"/>
      <c r="V184" s="11"/>
      <c r="W184" s="11"/>
      <c r="X184" s="11"/>
      <c r="Y184" s="11"/>
      <c r="Z184" s="11"/>
    </row>
    <row r="185" spans="1:26" ht="14.25" customHeight="1">
      <c r="A185" s="11"/>
      <c r="B185" s="11"/>
      <c r="C185" s="11"/>
      <c r="D185" s="11"/>
      <c r="E185" s="11"/>
      <c r="F185" s="11"/>
      <c r="G185" s="11"/>
      <c r="H185" s="11"/>
      <c r="I185" s="46"/>
      <c r="J185" s="11"/>
      <c r="K185" s="11"/>
      <c r="L185" s="11"/>
      <c r="M185" s="11"/>
      <c r="N185" s="11"/>
      <c r="O185" s="11"/>
      <c r="P185" s="11"/>
      <c r="Q185" s="11"/>
      <c r="R185" s="11"/>
      <c r="S185" s="11"/>
      <c r="T185" s="11"/>
      <c r="U185" s="11"/>
      <c r="V185" s="11"/>
      <c r="W185" s="11"/>
      <c r="X185" s="11"/>
      <c r="Y185" s="11"/>
      <c r="Z185" s="11"/>
    </row>
    <row r="186" spans="1:26" ht="14.25" customHeight="1">
      <c r="A186" s="11"/>
      <c r="B186" s="11"/>
      <c r="C186" s="11"/>
      <c r="D186" s="11"/>
      <c r="E186" s="11"/>
      <c r="F186" s="11"/>
      <c r="G186" s="11"/>
      <c r="H186" s="11"/>
      <c r="I186" s="46"/>
      <c r="J186" s="11"/>
      <c r="K186" s="11"/>
      <c r="L186" s="11"/>
      <c r="M186" s="11"/>
      <c r="N186" s="11"/>
      <c r="O186" s="11"/>
      <c r="P186" s="11"/>
      <c r="Q186" s="11"/>
      <c r="R186" s="11"/>
      <c r="S186" s="11"/>
      <c r="T186" s="11"/>
      <c r="U186" s="11"/>
      <c r="V186" s="11"/>
      <c r="W186" s="11"/>
      <c r="X186" s="11"/>
      <c r="Y186" s="11"/>
      <c r="Z186" s="11"/>
    </row>
    <row r="187" spans="1:26" ht="14.25" customHeight="1">
      <c r="A187" s="11"/>
      <c r="B187" s="11"/>
      <c r="C187" s="11"/>
      <c r="D187" s="11"/>
      <c r="E187" s="11"/>
      <c r="F187" s="11"/>
      <c r="G187" s="11"/>
      <c r="H187" s="11"/>
      <c r="I187" s="46"/>
      <c r="J187" s="11"/>
      <c r="K187" s="11"/>
      <c r="L187" s="11"/>
      <c r="M187" s="11"/>
      <c r="N187" s="11"/>
      <c r="O187" s="11"/>
      <c r="P187" s="11"/>
      <c r="Q187" s="11"/>
      <c r="R187" s="11"/>
      <c r="S187" s="11"/>
      <c r="T187" s="11"/>
      <c r="U187" s="11"/>
      <c r="V187" s="11"/>
      <c r="W187" s="11"/>
      <c r="X187" s="11"/>
      <c r="Y187" s="11"/>
      <c r="Z187" s="11"/>
    </row>
    <row r="188" spans="1:26" ht="14.25" customHeight="1">
      <c r="A188" s="11"/>
      <c r="B188" s="11"/>
      <c r="C188" s="11"/>
      <c r="D188" s="11"/>
      <c r="E188" s="11"/>
      <c r="F188" s="11"/>
      <c r="G188" s="11"/>
      <c r="H188" s="11"/>
      <c r="I188" s="46"/>
      <c r="J188" s="11"/>
      <c r="K188" s="11"/>
      <c r="L188" s="11"/>
      <c r="M188" s="11"/>
      <c r="N188" s="11"/>
      <c r="O188" s="11"/>
      <c r="P188" s="11"/>
      <c r="Q188" s="11"/>
      <c r="R188" s="11"/>
      <c r="S188" s="11"/>
      <c r="T188" s="11"/>
      <c r="U188" s="11"/>
      <c r="V188" s="11"/>
      <c r="W188" s="11"/>
      <c r="X188" s="11"/>
      <c r="Y188" s="11"/>
      <c r="Z188" s="11"/>
    </row>
    <row r="189" spans="1:26" ht="14.25" customHeight="1">
      <c r="A189" s="11"/>
      <c r="B189" s="11"/>
      <c r="C189" s="11"/>
      <c r="D189" s="11"/>
      <c r="E189" s="11"/>
      <c r="F189" s="11"/>
      <c r="G189" s="11"/>
      <c r="H189" s="11"/>
      <c r="I189" s="46"/>
      <c r="J189" s="11"/>
      <c r="K189" s="11"/>
      <c r="L189" s="11"/>
      <c r="M189" s="11"/>
      <c r="N189" s="11"/>
      <c r="O189" s="11"/>
      <c r="P189" s="11"/>
      <c r="Q189" s="11"/>
      <c r="R189" s="11"/>
      <c r="S189" s="11"/>
      <c r="T189" s="11"/>
      <c r="U189" s="11"/>
      <c r="V189" s="11"/>
      <c r="W189" s="11"/>
      <c r="X189" s="11"/>
      <c r="Y189" s="11"/>
      <c r="Z189" s="11"/>
    </row>
    <row r="190" spans="1:26" ht="14.25" customHeight="1">
      <c r="A190" s="11"/>
      <c r="B190" s="11"/>
      <c r="C190" s="11"/>
      <c r="D190" s="11"/>
      <c r="E190" s="11"/>
      <c r="F190" s="11"/>
      <c r="G190" s="11"/>
      <c r="H190" s="11"/>
      <c r="I190" s="46"/>
      <c r="J190" s="11"/>
      <c r="K190" s="11"/>
      <c r="L190" s="11"/>
      <c r="M190" s="11"/>
      <c r="N190" s="11"/>
      <c r="O190" s="11"/>
      <c r="P190" s="11"/>
      <c r="Q190" s="11"/>
      <c r="R190" s="11"/>
      <c r="S190" s="11"/>
      <c r="T190" s="11"/>
      <c r="U190" s="11"/>
      <c r="V190" s="11"/>
      <c r="W190" s="11"/>
      <c r="X190" s="11"/>
      <c r="Y190" s="11"/>
      <c r="Z190" s="11"/>
    </row>
    <row r="191" spans="1:26" ht="14.25" customHeight="1">
      <c r="A191" s="11"/>
      <c r="B191" s="11"/>
      <c r="C191" s="11"/>
      <c r="D191" s="11"/>
      <c r="E191" s="11"/>
      <c r="F191" s="11"/>
      <c r="G191" s="11"/>
      <c r="H191" s="11"/>
      <c r="I191" s="46"/>
      <c r="J191" s="11"/>
      <c r="K191" s="11"/>
      <c r="L191" s="11"/>
      <c r="M191" s="11"/>
      <c r="N191" s="11"/>
      <c r="O191" s="11"/>
      <c r="P191" s="11"/>
      <c r="Q191" s="11"/>
      <c r="R191" s="11"/>
      <c r="S191" s="11"/>
      <c r="T191" s="11"/>
      <c r="U191" s="11"/>
      <c r="V191" s="11"/>
      <c r="W191" s="11"/>
      <c r="X191" s="11"/>
      <c r="Y191" s="11"/>
      <c r="Z191" s="11"/>
    </row>
    <row r="192" spans="1:26" ht="14.25" customHeight="1">
      <c r="A192" s="11"/>
      <c r="B192" s="11"/>
      <c r="C192" s="11"/>
      <c r="D192" s="11"/>
      <c r="E192" s="11"/>
      <c r="F192" s="11"/>
      <c r="G192" s="11"/>
      <c r="H192" s="11"/>
      <c r="I192" s="46"/>
      <c r="J192" s="11"/>
      <c r="K192" s="11"/>
      <c r="L192" s="11"/>
      <c r="M192" s="11"/>
      <c r="N192" s="11"/>
      <c r="O192" s="11"/>
      <c r="P192" s="11"/>
      <c r="Q192" s="11"/>
      <c r="R192" s="11"/>
      <c r="S192" s="11"/>
      <c r="T192" s="11"/>
      <c r="U192" s="11"/>
      <c r="V192" s="11"/>
      <c r="W192" s="11"/>
      <c r="X192" s="11"/>
      <c r="Y192" s="11"/>
      <c r="Z192" s="11"/>
    </row>
    <row r="193" spans="1:26" ht="14.25" customHeight="1">
      <c r="A193" s="11"/>
      <c r="B193" s="11"/>
      <c r="C193" s="11"/>
      <c r="D193" s="11"/>
      <c r="E193" s="11"/>
      <c r="F193" s="11"/>
      <c r="G193" s="11"/>
      <c r="H193" s="11"/>
      <c r="I193" s="46"/>
      <c r="J193" s="11"/>
      <c r="K193" s="11"/>
      <c r="L193" s="11"/>
      <c r="M193" s="11"/>
      <c r="N193" s="11"/>
      <c r="O193" s="11"/>
      <c r="P193" s="11"/>
      <c r="Q193" s="11"/>
      <c r="R193" s="11"/>
      <c r="S193" s="11"/>
      <c r="T193" s="11"/>
      <c r="U193" s="11"/>
      <c r="V193" s="11"/>
      <c r="W193" s="11"/>
      <c r="X193" s="11"/>
      <c r="Y193" s="11"/>
      <c r="Z193" s="11"/>
    </row>
    <row r="194" spans="1:26" ht="14.25" customHeight="1">
      <c r="A194" s="11"/>
      <c r="B194" s="11"/>
      <c r="C194" s="11"/>
      <c r="D194" s="11"/>
      <c r="E194" s="11"/>
      <c r="F194" s="11"/>
      <c r="G194" s="11"/>
      <c r="H194" s="11"/>
      <c r="I194" s="46"/>
      <c r="J194" s="11"/>
      <c r="K194" s="11"/>
      <c r="L194" s="11"/>
      <c r="M194" s="11"/>
      <c r="N194" s="11"/>
      <c r="O194" s="11"/>
      <c r="P194" s="11"/>
      <c r="Q194" s="11"/>
      <c r="R194" s="11"/>
      <c r="S194" s="11"/>
      <c r="T194" s="11"/>
      <c r="U194" s="11"/>
      <c r="V194" s="11"/>
      <c r="W194" s="11"/>
      <c r="X194" s="11"/>
      <c r="Y194" s="11"/>
      <c r="Z194" s="11"/>
    </row>
    <row r="195" spans="1:26" ht="14.25" customHeight="1">
      <c r="A195" s="11"/>
      <c r="B195" s="11"/>
      <c r="C195" s="11"/>
      <c r="D195" s="11"/>
      <c r="E195" s="11"/>
      <c r="F195" s="11"/>
      <c r="G195" s="11"/>
      <c r="H195" s="11"/>
      <c r="I195" s="46"/>
      <c r="J195" s="11"/>
      <c r="K195" s="11"/>
      <c r="L195" s="11"/>
      <c r="M195" s="11"/>
      <c r="N195" s="11"/>
      <c r="O195" s="11"/>
      <c r="P195" s="11"/>
      <c r="Q195" s="11"/>
      <c r="R195" s="11"/>
      <c r="S195" s="11"/>
      <c r="T195" s="11"/>
      <c r="U195" s="11"/>
      <c r="V195" s="11"/>
      <c r="W195" s="11"/>
      <c r="X195" s="11"/>
      <c r="Y195" s="11"/>
      <c r="Z195" s="11"/>
    </row>
    <row r="196" spans="1:26" ht="14.25" customHeight="1">
      <c r="A196" s="11"/>
      <c r="B196" s="11"/>
      <c r="C196" s="11"/>
      <c r="D196" s="11"/>
      <c r="E196" s="11"/>
      <c r="F196" s="11"/>
      <c r="G196" s="11"/>
      <c r="H196" s="11"/>
      <c r="I196" s="46"/>
      <c r="J196" s="11"/>
      <c r="K196" s="11"/>
      <c r="L196" s="11"/>
      <c r="M196" s="11"/>
      <c r="N196" s="11"/>
      <c r="O196" s="11"/>
      <c r="P196" s="11"/>
      <c r="Q196" s="11"/>
      <c r="R196" s="11"/>
      <c r="S196" s="11"/>
      <c r="T196" s="11"/>
      <c r="U196" s="11"/>
      <c r="V196" s="11"/>
      <c r="W196" s="11"/>
      <c r="X196" s="11"/>
      <c r="Y196" s="11"/>
      <c r="Z196" s="11"/>
    </row>
    <row r="197" spans="1:26" ht="14.25" customHeight="1">
      <c r="A197" s="11"/>
      <c r="B197" s="11"/>
      <c r="C197" s="11"/>
      <c r="D197" s="11"/>
      <c r="E197" s="11"/>
      <c r="F197" s="11"/>
      <c r="G197" s="11"/>
      <c r="H197" s="11"/>
      <c r="I197" s="46"/>
      <c r="J197" s="11"/>
      <c r="K197" s="11"/>
      <c r="L197" s="11"/>
      <c r="M197" s="11"/>
      <c r="N197" s="11"/>
      <c r="O197" s="11"/>
      <c r="P197" s="11"/>
      <c r="Q197" s="11"/>
      <c r="R197" s="11"/>
      <c r="S197" s="11"/>
      <c r="T197" s="11"/>
      <c r="U197" s="11"/>
      <c r="V197" s="11"/>
      <c r="W197" s="11"/>
      <c r="X197" s="11"/>
      <c r="Y197" s="11"/>
      <c r="Z197" s="11"/>
    </row>
    <row r="198" spans="1:26" ht="14.25" customHeight="1">
      <c r="A198" s="11"/>
      <c r="B198" s="11"/>
      <c r="C198" s="11"/>
      <c r="D198" s="11"/>
      <c r="E198" s="11"/>
      <c r="F198" s="11"/>
      <c r="G198" s="11"/>
      <c r="H198" s="11"/>
      <c r="I198" s="46"/>
      <c r="J198" s="11"/>
      <c r="K198" s="11"/>
      <c r="L198" s="11"/>
      <c r="M198" s="11"/>
      <c r="N198" s="11"/>
      <c r="O198" s="11"/>
      <c r="P198" s="11"/>
      <c r="Q198" s="11"/>
      <c r="R198" s="11"/>
      <c r="S198" s="11"/>
      <c r="T198" s="11"/>
      <c r="U198" s="11"/>
      <c r="V198" s="11"/>
      <c r="W198" s="11"/>
      <c r="X198" s="11"/>
      <c r="Y198" s="11"/>
      <c r="Z198" s="11"/>
    </row>
    <row r="199" spans="1:26" ht="14.25" customHeight="1">
      <c r="A199" s="11"/>
      <c r="B199" s="11"/>
      <c r="C199" s="11"/>
      <c r="D199" s="11"/>
      <c r="E199" s="11"/>
      <c r="F199" s="11"/>
      <c r="G199" s="11"/>
      <c r="H199" s="11"/>
      <c r="I199" s="46"/>
      <c r="J199" s="11"/>
      <c r="K199" s="11"/>
      <c r="L199" s="11"/>
      <c r="M199" s="11"/>
      <c r="N199" s="11"/>
      <c r="O199" s="11"/>
      <c r="P199" s="11"/>
      <c r="Q199" s="11"/>
      <c r="R199" s="11"/>
      <c r="S199" s="11"/>
      <c r="T199" s="11"/>
      <c r="U199" s="11"/>
      <c r="V199" s="11"/>
      <c r="W199" s="11"/>
      <c r="X199" s="11"/>
      <c r="Y199" s="11"/>
      <c r="Z199" s="11"/>
    </row>
    <row r="200" spans="1:26" ht="14.25" customHeight="1">
      <c r="A200" s="11"/>
      <c r="B200" s="11"/>
      <c r="C200" s="11"/>
      <c r="D200" s="11"/>
      <c r="E200" s="11"/>
      <c r="F200" s="11"/>
      <c r="G200" s="11"/>
      <c r="H200" s="11"/>
      <c r="I200" s="46"/>
      <c r="J200" s="11"/>
      <c r="K200" s="11"/>
      <c r="L200" s="11"/>
      <c r="M200" s="11"/>
      <c r="N200" s="11"/>
      <c r="O200" s="11"/>
      <c r="P200" s="11"/>
      <c r="Q200" s="11"/>
      <c r="R200" s="11"/>
      <c r="S200" s="11"/>
      <c r="T200" s="11"/>
      <c r="U200" s="11"/>
      <c r="V200" s="11"/>
      <c r="W200" s="11"/>
      <c r="X200" s="11"/>
      <c r="Y200" s="11"/>
      <c r="Z200" s="11"/>
    </row>
    <row r="201" spans="1:26" ht="14.25" customHeight="1">
      <c r="A201" s="11"/>
      <c r="B201" s="11"/>
      <c r="C201" s="11"/>
      <c r="D201" s="11"/>
      <c r="E201" s="11"/>
      <c r="F201" s="11"/>
      <c r="G201" s="11"/>
      <c r="H201" s="11"/>
      <c r="I201" s="46"/>
      <c r="J201" s="11"/>
      <c r="K201" s="11"/>
      <c r="L201" s="11"/>
      <c r="M201" s="11"/>
      <c r="N201" s="11"/>
      <c r="O201" s="11"/>
      <c r="P201" s="11"/>
      <c r="Q201" s="11"/>
      <c r="R201" s="11"/>
      <c r="S201" s="11"/>
      <c r="T201" s="11"/>
      <c r="U201" s="11"/>
      <c r="V201" s="11"/>
      <c r="W201" s="11"/>
      <c r="X201" s="11"/>
      <c r="Y201" s="11"/>
      <c r="Z201" s="11"/>
    </row>
    <row r="202" spans="1:26" ht="14.25" customHeight="1">
      <c r="A202" s="11"/>
      <c r="B202" s="11"/>
      <c r="C202" s="11"/>
      <c r="D202" s="11"/>
      <c r="E202" s="11"/>
      <c r="F202" s="11"/>
      <c r="G202" s="11"/>
      <c r="H202" s="11"/>
      <c r="I202" s="46"/>
      <c r="J202" s="11"/>
      <c r="K202" s="11"/>
      <c r="L202" s="11"/>
      <c r="M202" s="11"/>
      <c r="N202" s="11"/>
      <c r="O202" s="11"/>
      <c r="P202" s="11"/>
      <c r="Q202" s="11"/>
      <c r="R202" s="11"/>
      <c r="S202" s="11"/>
      <c r="T202" s="11"/>
      <c r="U202" s="11"/>
      <c r="V202" s="11"/>
      <c r="W202" s="11"/>
      <c r="X202" s="11"/>
      <c r="Y202" s="11"/>
      <c r="Z202" s="11"/>
    </row>
    <row r="203" spans="1:26" ht="14.25" customHeight="1">
      <c r="A203" s="11"/>
      <c r="B203" s="11"/>
      <c r="C203" s="11"/>
      <c r="D203" s="11"/>
      <c r="E203" s="11"/>
      <c r="F203" s="11"/>
      <c r="G203" s="11"/>
      <c r="H203" s="11"/>
      <c r="I203" s="46"/>
      <c r="J203" s="11"/>
      <c r="K203" s="11"/>
      <c r="L203" s="11"/>
      <c r="M203" s="11"/>
      <c r="N203" s="11"/>
      <c r="O203" s="11"/>
      <c r="P203" s="11"/>
      <c r="Q203" s="11"/>
      <c r="R203" s="11"/>
      <c r="S203" s="11"/>
      <c r="T203" s="11"/>
      <c r="U203" s="11"/>
      <c r="V203" s="11"/>
      <c r="W203" s="11"/>
      <c r="X203" s="11"/>
      <c r="Y203" s="11"/>
      <c r="Z203" s="11"/>
    </row>
    <row r="204" spans="1:26" ht="14.25" customHeight="1">
      <c r="A204" s="11"/>
      <c r="B204" s="11"/>
      <c r="C204" s="11"/>
      <c r="D204" s="11"/>
      <c r="E204" s="11"/>
      <c r="F204" s="11"/>
      <c r="G204" s="11"/>
      <c r="H204" s="11"/>
      <c r="I204" s="46"/>
      <c r="J204" s="11"/>
      <c r="K204" s="11"/>
      <c r="L204" s="11"/>
      <c r="M204" s="11"/>
      <c r="N204" s="11"/>
      <c r="O204" s="11"/>
      <c r="P204" s="11"/>
      <c r="Q204" s="11"/>
      <c r="R204" s="11"/>
      <c r="S204" s="11"/>
      <c r="T204" s="11"/>
      <c r="U204" s="11"/>
      <c r="V204" s="11"/>
      <c r="W204" s="11"/>
      <c r="X204" s="11"/>
      <c r="Y204" s="11"/>
      <c r="Z204" s="11"/>
    </row>
    <row r="205" spans="1:26" ht="14.25" customHeight="1">
      <c r="A205" s="11"/>
      <c r="B205" s="11"/>
      <c r="C205" s="11"/>
      <c r="D205" s="11"/>
      <c r="E205" s="11"/>
      <c r="F205" s="11"/>
      <c r="G205" s="11"/>
      <c r="H205" s="11"/>
      <c r="I205" s="46"/>
      <c r="J205" s="11"/>
      <c r="K205" s="11"/>
      <c r="L205" s="11"/>
      <c r="M205" s="11"/>
      <c r="N205" s="11"/>
      <c r="O205" s="11"/>
      <c r="P205" s="11"/>
      <c r="Q205" s="11"/>
      <c r="R205" s="11"/>
      <c r="S205" s="11"/>
      <c r="T205" s="11"/>
      <c r="U205" s="11"/>
      <c r="V205" s="11"/>
      <c r="W205" s="11"/>
      <c r="X205" s="11"/>
      <c r="Y205" s="11"/>
      <c r="Z205" s="11"/>
    </row>
    <row r="206" spans="1:26" ht="14.25" customHeight="1">
      <c r="A206" s="11"/>
      <c r="B206" s="11"/>
      <c r="C206" s="11"/>
      <c r="D206" s="11"/>
      <c r="E206" s="11"/>
      <c r="F206" s="11"/>
      <c r="G206" s="11"/>
      <c r="H206" s="11"/>
      <c r="I206" s="46"/>
      <c r="J206" s="11"/>
      <c r="K206" s="11"/>
      <c r="L206" s="11"/>
      <c r="M206" s="11"/>
      <c r="N206" s="11"/>
      <c r="O206" s="11"/>
      <c r="P206" s="11"/>
      <c r="Q206" s="11"/>
      <c r="R206" s="11"/>
      <c r="S206" s="11"/>
      <c r="T206" s="11"/>
      <c r="U206" s="11"/>
      <c r="V206" s="11"/>
      <c r="W206" s="11"/>
      <c r="X206" s="11"/>
      <c r="Y206" s="11"/>
      <c r="Z206" s="11"/>
    </row>
    <row r="207" spans="1:26" ht="14.25" customHeight="1">
      <c r="A207" s="11"/>
      <c r="B207" s="11"/>
      <c r="C207" s="11"/>
      <c r="D207" s="11"/>
      <c r="E207" s="11"/>
      <c r="F207" s="11"/>
      <c r="G207" s="11"/>
      <c r="H207" s="11"/>
      <c r="I207" s="46"/>
      <c r="J207" s="11"/>
      <c r="K207" s="11"/>
      <c r="L207" s="11"/>
      <c r="M207" s="11"/>
      <c r="N207" s="11"/>
      <c r="O207" s="11"/>
      <c r="P207" s="11"/>
      <c r="Q207" s="11"/>
      <c r="R207" s="11"/>
      <c r="S207" s="11"/>
      <c r="T207" s="11"/>
      <c r="U207" s="11"/>
      <c r="V207" s="11"/>
      <c r="W207" s="11"/>
      <c r="X207" s="11"/>
      <c r="Y207" s="11"/>
      <c r="Z207" s="11"/>
    </row>
    <row r="208" spans="1:26" ht="14.25" customHeight="1">
      <c r="A208" s="11"/>
      <c r="B208" s="11"/>
      <c r="C208" s="11"/>
      <c r="D208" s="11"/>
      <c r="E208" s="11"/>
      <c r="F208" s="11"/>
      <c r="G208" s="11"/>
      <c r="H208" s="11"/>
      <c r="I208" s="46"/>
      <c r="J208" s="11"/>
      <c r="K208" s="11"/>
      <c r="L208" s="11"/>
      <c r="M208" s="11"/>
      <c r="N208" s="11"/>
      <c r="O208" s="11"/>
      <c r="P208" s="11"/>
      <c r="Q208" s="11"/>
      <c r="R208" s="11"/>
      <c r="S208" s="11"/>
      <c r="T208" s="11"/>
      <c r="U208" s="11"/>
      <c r="V208" s="11"/>
      <c r="W208" s="11"/>
      <c r="X208" s="11"/>
      <c r="Y208" s="11"/>
      <c r="Z208" s="11"/>
    </row>
    <row r="209" spans="1:26" ht="14.25" customHeight="1">
      <c r="A209" s="11"/>
      <c r="B209" s="11"/>
      <c r="C209" s="11"/>
      <c r="D209" s="11"/>
      <c r="E209" s="11"/>
      <c r="F209" s="11"/>
      <c r="G209" s="11"/>
      <c r="H209" s="11"/>
      <c r="I209" s="46"/>
      <c r="J209" s="11"/>
      <c r="K209" s="11"/>
      <c r="L209" s="11"/>
      <c r="M209" s="11"/>
      <c r="N209" s="11"/>
      <c r="O209" s="11"/>
      <c r="P209" s="11"/>
      <c r="Q209" s="11"/>
      <c r="R209" s="11"/>
      <c r="S209" s="11"/>
      <c r="T209" s="11"/>
      <c r="U209" s="11"/>
      <c r="V209" s="11"/>
      <c r="W209" s="11"/>
      <c r="X209" s="11"/>
      <c r="Y209" s="11"/>
      <c r="Z209" s="11"/>
    </row>
    <row r="210" spans="1:26" ht="14.25" customHeight="1">
      <c r="A210" s="11"/>
      <c r="B210" s="11"/>
      <c r="C210" s="11"/>
      <c r="D210" s="11"/>
      <c r="E210" s="11"/>
      <c r="F210" s="11"/>
      <c r="G210" s="11"/>
      <c r="H210" s="11"/>
      <c r="I210" s="46"/>
      <c r="J210" s="11"/>
      <c r="K210" s="11"/>
      <c r="L210" s="11"/>
      <c r="M210" s="11"/>
      <c r="N210" s="11"/>
      <c r="O210" s="11"/>
      <c r="P210" s="11"/>
      <c r="Q210" s="11"/>
      <c r="R210" s="11"/>
      <c r="S210" s="11"/>
      <c r="T210" s="11"/>
      <c r="U210" s="11"/>
      <c r="V210" s="11"/>
      <c r="W210" s="11"/>
      <c r="X210" s="11"/>
      <c r="Y210" s="11"/>
      <c r="Z210" s="11"/>
    </row>
    <row r="211" spans="1:26" ht="14.25" customHeight="1">
      <c r="A211" s="11"/>
      <c r="B211" s="11"/>
      <c r="C211" s="11"/>
      <c r="D211" s="11"/>
      <c r="E211" s="11"/>
      <c r="F211" s="11"/>
      <c r="G211" s="11"/>
      <c r="H211" s="11"/>
      <c r="I211" s="46"/>
      <c r="J211" s="11"/>
      <c r="K211" s="11"/>
      <c r="L211" s="11"/>
      <c r="M211" s="11"/>
      <c r="N211" s="11"/>
      <c r="O211" s="11"/>
      <c r="P211" s="11"/>
      <c r="Q211" s="11"/>
      <c r="R211" s="11"/>
      <c r="S211" s="11"/>
      <c r="T211" s="11"/>
      <c r="U211" s="11"/>
      <c r="V211" s="11"/>
      <c r="W211" s="11"/>
      <c r="X211" s="11"/>
      <c r="Y211" s="11"/>
      <c r="Z211" s="11"/>
    </row>
    <row r="212" spans="1:26" ht="14.25" customHeight="1">
      <c r="A212" s="11"/>
      <c r="B212" s="11"/>
      <c r="C212" s="11"/>
      <c r="D212" s="11"/>
      <c r="E212" s="11"/>
      <c r="F212" s="11"/>
      <c r="G212" s="11"/>
      <c r="H212" s="11"/>
      <c r="I212" s="46"/>
      <c r="J212" s="11"/>
      <c r="K212" s="11"/>
      <c r="L212" s="11"/>
      <c r="M212" s="11"/>
      <c r="N212" s="11"/>
      <c r="O212" s="11"/>
      <c r="P212" s="11"/>
      <c r="Q212" s="11"/>
      <c r="R212" s="11"/>
      <c r="S212" s="11"/>
      <c r="T212" s="11"/>
      <c r="U212" s="11"/>
      <c r="V212" s="11"/>
      <c r="W212" s="11"/>
      <c r="X212" s="11"/>
      <c r="Y212" s="11"/>
      <c r="Z212" s="11"/>
    </row>
    <row r="213" spans="1:26" ht="14.25" customHeight="1">
      <c r="A213" s="11"/>
      <c r="B213" s="11"/>
      <c r="C213" s="11"/>
      <c r="D213" s="11"/>
      <c r="E213" s="11"/>
      <c r="F213" s="11"/>
      <c r="G213" s="11"/>
      <c r="H213" s="11"/>
      <c r="I213" s="46"/>
      <c r="J213" s="11"/>
      <c r="K213" s="11"/>
      <c r="L213" s="11"/>
      <c r="M213" s="11"/>
      <c r="N213" s="11"/>
      <c r="O213" s="11"/>
      <c r="P213" s="11"/>
      <c r="Q213" s="11"/>
      <c r="R213" s="11"/>
      <c r="S213" s="11"/>
      <c r="T213" s="11"/>
      <c r="U213" s="11"/>
      <c r="V213" s="11"/>
      <c r="W213" s="11"/>
      <c r="X213" s="11"/>
      <c r="Y213" s="11"/>
      <c r="Z213" s="11"/>
    </row>
    <row r="214" spans="1:26" ht="14.25" customHeight="1">
      <c r="A214" s="11"/>
      <c r="B214" s="11"/>
      <c r="C214" s="11"/>
      <c r="D214" s="11"/>
      <c r="E214" s="11"/>
      <c r="F214" s="11"/>
      <c r="G214" s="11"/>
      <c r="H214" s="11"/>
      <c r="I214" s="46"/>
      <c r="J214" s="11"/>
      <c r="K214" s="11"/>
      <c r="L214" s="11"/>
      <c r="M214" s="11"/>
      <c r="N214" s="11"/>
      <c r="O214" s="11"/>
      <c r="P214" s="11"/>
      <c r="Q214" s="11"/>
      <c r="R214" s="11"/>
      <c r="S214" s="11"/>
      <c r="T214" s="11"/>
      <c r="U214" s="11"/>
      <c r="V214" s="11"/>
      <c r="W214" s="11"/>
      <c r="X214" s="11"/>
      <c r="Y214" s="11"/>
      <c r="Z214" s="11"/>
    </row>
    <row r="215" spans="1:26" ht="14.25" customHeight="1">
      <c r="A215" s="11"/>
      <c r="B215" s="11"/>
      <c r="C215" s="11"/>
      <c r="D215" s="11"/>
      <c r="E215" s="11"/>
      <c r="F215" s="11"/>
      <c r="G215" s="11"/>
      <c r="H215" s="11"/>
      <c r="I215" s="46"/>
      <c r="J215" s="11"/>
      <c r="K215" s="11"/>
      <c r="L215" s="11"/>
      <c r="M215" s="11"/>
      <c r="N215" s="11"/>
      <c r="O215" s="11"/>
      <c r="P215" s="11"/>
      <c r="Q215" s="11"/>
      <c r="R215" s="11"/>
      <c r="S215" s="11"/>
      <c r="T215" s="11"/>
      <c r="U215" s="11"/>
      <c r="V215" s="11"/>
      <c r="W215" s="11"/>
      <c r="X215" s="11"/>
      <c r="Y215" s="11"/>
      <c r="Z215" s="11"/>
    </row>
    <row r="216" spans="1:26" ht="14.25" customHeight="1">
      <c r="A216" s="11"/>
      <c r="B216" s="11"/>
      <c r="C216" s="11"/>
      <c r="D216" s="11"/>
      <c r="E216" s="11"/>
      <c r="F216" s="11"/>
      <c r="G216" s="11"/>
      <c r="H216" s="11"/>
      <c r="I216" s="46"/>
      <c r="J216" s="11"/>
      <c r="K216" s="11"/>
      <c r="L216" s="11"/>
      <c r="M216" s="11"/>
      <c r="N216" s="11"/>
      <c r="O216" s="11"/>
      <c r="P216" s="11"/>
      <c r="Q216" s="11"/>
      <c r="R216" s="11"/>
      <c r="S216" s="11"/>
      <c r="T216" s="11"/>
      <c r="U216" s="11"/>
      <c r="V216" s="11"/>
      <c r="W216" s="11"/>
      <c r="X216" s="11"/>
      <c r="Y216" s="11"/>
      <c r="Z216" s="11"/>
    </row>
    <row r="217" spans="1:26" ht="14.25" customHeight="1">
      <c r="A217" s="11"/>
      <c r="B217" s="11"/>
      <c r="C217" s="11"/>
      <c r="D217" s="11"/>
      <c r="E217" s="11"/>
      <c r="F217" s="11"/>
      <c r="G217" s="11"/>
      <c r="H217" s="11"/>
      <c r="I217" s="46"/>
      <c r="J217" s="11"/>
      <c r="K217" s="11"/>
      <c r="L217" s="11"/>
      <c r="M217" s="11"/>
      <c r="N217" s="11"/>
      <c r="O217" s="11"/>
      <c r="P217" s="11"/>
      <c r="Q217" s="11"/>
      <c r="R217" s="11"/>
      <c r="S217" s="11"/>
      <c r="T217" s="11"/>
      <c r="U217" s="11"/>
      <c r="V217" s="11"/>
      <c r="W217" s="11"/>
      <c r="X217" s="11"/>
      <c r="Y217" s="11"/>
      <c r="Z217" s="11"/>
    </row>
    <row r="218" spans="1:26" ht="14.25" customHeight="1">
      <c r="A218" s="11"/>
      <c r="B218" s="11"/>
      <c r="C218" s="11"/>
      <c r="D218" s="11"/>
      <c r="E218" s="11"/>
      <c r="F218" s="11"/>
      <c r="G218" s="11"/>
      <c r="H218" s="11"/>
      <c r="I218" s="46"/>
      <c r="J218" s="11"/>
      <c r="K218" s="11"/>
      <c r="L218" s="11"/>
      <c r="M218" s="11"/>
      <c r="N218" s="11"/>
      <c r="O218" s="11"/>
      <c r="P218" s="11"/>
      <c r="Q218" s="11"/>
      <c r="R218" s="11"/>
      <c r="S218" s="11"/>
      <c r="T218" s="11"/>
      <c r="U218" s="11"/>
      <c r="V218" s="11"/>
      <c r="W218" s="11"/>
      <c r="X218" s="11"/>
      <c r="Y218" s="11"/>
      <c r="Z218" s="11"/>
    </row>
    <row r="219" spans="1:26" ht="14.25" customHeight="1">
      <c r="A219" s="11"/>
      <c r="B219" s="11"/>
      <c r="C219" s="11"/>
      <c r="D219" s="11"/>
      <c r="E219" s="11"/>
      <c r="F219" s="11"/>
      <c r="G219" s="11"/>
      <c r="H219" s="11"/>
      <c r="I219" s="46"/>
      <c r="J219" s="11"/>
      <c r="K219" s="11"/>
      <c r="L219" s="11"/>
      <c r="M219" s="11"/>
      <c r="N219" s="11"/>
      <c r="O219" s="11"/>
      <c r="P219" s="11"/>
      <c r="Q219" s="11"/>
      <c r="R219" s="11"/>
      <c r="S219" s="11"/>
      <c r="T219" s="11"/>
      <c r="U219" s="11"/>
      <c r="V219" s="11"/>
      <c r="W219" s="11"/>
      <c r="X219" s="11"/>
      <c r="Y219" s="11"/>
      <c r="Z219" s="11"/>
    </row>
    <row r="220" spans="1:26" ht="14.25" customHeight="1">
      <c r="A220" s="11"/>
      <c r="B220" s="11"/>
      <c r="C220" s="11"/>
      <c r="D220" s="11"/>
      <c r="E220" s="11"/>
      <c r="F220" s="11"/>
      <c r="G220" s="11"/>
      <c r="H220" s="11"/>
      <c r="I220" s="46"/>
      <c r="J220" s="11"/>
      <c r="K220" s="11"/>
      <c r="L220" s="11"/>
      <c r="M220" s="11"/>
      <c r="N220" s="11"/>
      <c r="O220" s="11"/>
      <c r="P220" s="11"/>
      <c r="Q220" s="11"/>
      <c r="R220" s="11"/>
      <c r="S220" s="11"/>
      <c r="T220" s="11"/>
      <c r="U220" s="11"/>
      <c r="V220" s="11"/>
      <c r="W220" s="11"/>
      <c r="X220" s="11"/>
      <c r="Y220" s="11"/>
      <c r="Z220" s="11"/>
    </row>
    <row r="221" spans="1:26" ht="14.25" customHeight="1">
      <c r="A221" s="11"/>
      <c r="B221" s="11"/>
      <c r="C221" s="11"/>
      <c r="D221" s="11"/>
      <c r="E221" s="11"/>
      <c r="F221" s="11"/>
      <c r="G221" s="11"/>
      <c r="H221" s="11"/>
      <c r="I221" s="46"/>
      <c r="J221" s="11"/>
      <c r="K221" s="11"/>
      <c r="L221" s="11"/>
      <c r="M221" s="11"/>
      <c r="N221" s="11"/>
      <c r="O221" s="11"/>
      <c r="P221" s="11"/>
      <c r="Q221" s="11"/>
      <c r="R221" s="11"/>
      <c r="S221" s="11"/>
      <c r="T221" s="11"/>
      <c r="U221" s="11"/>
      <c r="V221" s="11"/>
      <c r="W221" s="11"/>
      <c r="X221" s="11"/>
      <c r="Y221" s="11"/>
      <c r="Z221" s="11"/>
    </row>
    <row r="222" spans="1:26" ht="14.25" customHeight="1">
      <c r="A222" s="11"/>
      <c r="B222" s="11"/>
      <c r="C222" s="11"/>
      <c r="D222" s="11"/>
      <c r="E222" s="11"/>
      <c r="F222" s="11"/>
      <c r="G222" s="11"/>
      <c r="H222" s="11"/>
      <c r="I222" s="46"/>
      <c r="J222" s="11"/>
      <c r="K222" s="11"/>
      <c r="L222" s="11"/>
      <c r="M222" s="11"/>
      <c r="N222" s="11"/>
      <c r="O222" s="11"/>
      <c r="P222" s="11"/>
      <c r="Q222" s="11"/>
      <c r="R222" s="11"/>
      <c r="S222" s="11"/>
      <c r="T222" s="11"/>
      <c r="U222" s="11"/>
      <c r="V222" s="11"/>
      <c r="W222" s="11"/>
      <c r="X222" s="11"/>
      <c r="Y222" s="11"/>
      <c r="Z222" s="11"/>
    </row>
    <row r="223" spans="1:26" ht="14.25" customHeight="1">
      <c r="A223" s="11"/>
      <c r="B223" s="11"/>
      <c r="C223" s="11"/>
      <c r="D223" s="11"/>
      <c r="E223" s="11"/>
      <c r="F223" s="11"/>
      <c r="G223" s="11"/>
      <c r="H223" s="11"/>
      <c r="I223" s="46"/>
      <c r="J223" s="11"/>
      <c r="K223" s="11"/>
      <c r="L223" s="11"/>
      <c r="M223" s="11"/>
      <c r="N223" s="11"/>
      <c r="O223" s="11"/>
      <c r="P223" s="11"/>
      <c r="Q223" s="11"/>
      <c r="R223" s="11"/>
      <c r="S223" s="11"/>
      <c r="T223" s="11"/>
      <c r="U223" s="11"/>
      <c r="V223" s="11"/>
      <c r="W223" s="11"/>
      <c r="X223" s="11"/>
      <c r="Y223" s="11"/>
      <c r="Z223" s="11"/>
    </row>
    <row r="224" spans="1:26" ht="14.25" customHeight="1">
      <c r="A224" s="11"/>
      <c r="B224" s="11"/>
      <c r="C224" s="11"/>
      <c r="D224" s="11"/>
      <c r="E224" s="11"/>
      <c r="F224" s="11"/>
      <c r="G224" s="11"/>
      <c r="H224" s="11"/>
      <c r="I224" s="46"/>
      <c r="J224" s="11"/>
      <c r="K224" s="11"/>
      <c r="L224" s="11"/>
      <c r="M224" s="11"/>
      <c r="N224" s="11"/>
      <c r="O224" s="11"/>
      <c r="P224" s="11"/>
      <c r="Q224" s="11"/>
      <c r="R224" s="11"/>
      <c r="S224" s="11"/>
      <c r="T224" s="11"/>
      <c r="U224" s="11"/>
      <c r="V224" s="11"/>
      <c r="W224" s="11"/>
      <c r="X224" s="11"/>
      <c r="Y224" s="11"/>
      <c r="Z224" s="11"/>
    </row>
    <row r="225" spans="1:26" ht="14.25" customHeight="1">
      <c r="A225" s="11"/>
      <c r="B225" s="11"/>
      <c r="C225" s="11"/>
      <c r="D225" s="11"/>
      <c r="E225" s="11"/>
      <c r="F225" s="11"/>
      <c r="G225" s="11"/>
      <c r="H225" s="11"/>
      <c r="I225" s="46"/>
      <c r="J225" s="11"/>
      <c r="K225" s="11"/>
      <c r="L225" s="11"/>
      <c r="M225" s="11"/>
      <c r="N225" s="11"/>
      <c r="O225" s="11"/>
      <c r="P225" s="11"/>
      <c r="Q225" s="11"/>
      <c r="R225" s="11"/>
      <c r="S225" s="11"/>
      <c r="T225" s="11"/>
      <c r="U225" s="11"/>
      <c r="V225" s="11"/>
      <c r="W225" s="11"/>
      <c r="X225" s="11"/>
      <c r="Y225" s="11"/>
      <c r="Z225" s="11"/>
    </row>
    <row r="226" spans="1:26" ht="14.25" customHeight="1">
      <c r="A226" s="11"/>
      <c r="B226" s="11"/>
      <c r="C226" s="11"/>
      <c r="D226" s="11"/>
      <c r="E226" s="11"/>
      <c r="F226" s="11"/>
      <c r="G226" s="11"/>
      <c r="H226" s="11"/>
      <c r="I226" s="46"/>
      <c r="J226" s="11"/>
      <c r="K226" s="11"/>
      <c r="L226" s="11"/>
      <c r="M226" s="11"/>
      <c r="N226" s="11"/>
      <c r="O226" s="11"/>
      <c r="P226" s="11"/>
      <c r="Q226" s="11"/>
      <c r="R226" s="11"/>
      <c r="S226" s="11"/>
      <c r="T226" s="11"/>
      <c r="U226" s="11"/>
      <c r="V226" s="11"/>
      <c r="W226" s="11"/>
      <c r="X226" s="11"/>
      <c r="Y226" s="11"/>
      <c r="Z226" s="11"/>
    </row>
    <row r="227" spans="1:26" ht="14.25" customHeight="1">
      <c r="A227" s="11"/>
      <c r="B227" s="11"/>
      <c r="C227" s="11"/>
      <c r="D227" s="11"/>
      <c r="E227" s="11"/>
      <c r="F227" s="11"/>
      <c r="G227" s="11"/>
      <c r="H227" s="11"/>
      <c r="I227" s="46"/>
      <c r="J227" s="11"/>
      <c r="K227" s="11"/>
      <c r="L227" s="11"/>
      <c r="M227" s="11"/>
      <c r="N227" s="11"/>
      <c r="O227" s="11"/>
      <c r="P227" s="11"/>
      <c r="Q227" s="11"/>
      <c r="R227" s="11"/>
      <c r="S227" s="11"/>
      <c r="T227" s="11"/>
      <c r="U227" s="11"/>
      <c r="V227" s="11"/>
      <c r="W227" s="11"/>
      <c r="X227" s="11"/>
      <c r="Y227" s="11"/>
      <c r="Z227" s="11"/>
    </row>
    <row r="228" spans="1:26" ht="14.25" customHeight="1">
      <c r="A228" s="11"/>
      <c r="B228" s="11"/>
      <c r="C228" s="11"/>
      <c r="D228" s="11"/>
      <c r="E228" s="11"/>
      <c r="F228" s="11"/>
      <c r="G228" s="11"/>
      <c r="H228" s="11"/>
      <c r="I228" s="46"/>
      <c r="J228" s="11"/>
      <c r="K228" s="11"/>
      <c r="L228" s="11"/>
      <c r="M228" s="11"/>
      <c r="N228" s="11"/>
      <c r="O228" s="11"/>
      <c r="P228" s="11"/>
      <c r="Q228" s="11"/>
      <c r="R228" s="11"/>
      <c r="S228" s="11"/>
      <c r="T228" s="11"/>
      <c r="U228" s="11"/>
      <c r="V228" s="11"/>
      <c r="W228" s="11"/>
      <c r="X228" s="11"/>
      <c r="Y228" s="11"/>
      <c r="Z228" s="11"/>
    </row>
    <row r="229" spans="1:26" ht="14.25" customHeight="1">
      <c r="A229" s="11"/>
      <c r="B229" s="11"/>
      <c r="C229" s="11"/>
      <c r="D229" s="11"/>
      <c r="E229" s="11"/>
      <c r="F229" s="11"/>
      <c r="G229" s="11"/>
      <c r="H229" s="11"/>
      <c r="I229" s="46"/>
      <c r="J229" s="11"/>
      <c r="K229" s="11"/>
      <c r="L229" s="11"/>
      <c r="M229" s="11"/>
      <c r="N229" s="11"/>
      <c r="O229" s="11"/>
      <c r="P229" s="11"/>
      <c r="Q229" s="11"/>
      <c r="R229" s="11"/>
      <c r="S229" s="11"/>
      <c r="T229" s="11"/>
      <c r="U229" s="11"/>
      <c r="V229" s="11"/>
      <c r="W229" s="11"/>
      <c r="X229" s="11"/>
      <c r="Y229" s="11"/>
      <c r="Z229" s="11"/>
    </row>
    <row r="230" spans="1:26" ht="14.25" customHeight="1">
      <c r="A230" s="11"/>
      <c r="B230" s="11"/>
      <c r="C230" s="11"/>
      <c r="D230" s="11"/>
      <c r="E230" s="11"/>
      <c r="F230" s="11"/>
      <c r="G230" s="11"/>
      <c r="H230" s="11"/>
      <c r="I230" s="46"/>
      <c r="J230" s="11"/>
      <c r="K230" s="11"/>
      <c r="L230" s="11"/>
      <c r="M230" s="11"/>
      <c r="N230" s="11"/>
      <c r="O230" s="11"/>
      <c r="P230" s="11"/>
      <c r="Q230" s="11"/>
      <c r="R230" s="11"/>
      <c r="S230" s="11"/>
      <c r="T230" s="11"/>
      <c r="U230" s="11"/>
      <c r="V230" s="11"/>
      <c r="W230" s="11"/>
      <c r="X230" s="11"/>
      <c r="Y230" s="11"/>
      <c r="Z230" s="11"/>
    </row>
    <row r="231" spans="1:26" ht="14.25" customHeight="1">
      <c r="A231" s="11"/>
      <c r="B231" s="11"/>
      <c r="C231" s="11"/>
      <c r="D231" s="11"/>
      <c r="E231" s="11"/>
      <c r="F231" s="11"/>
      <c r="G231" s="11"/>
      <c r="H231" s="11"/>
      <c r="I231" s="46"/>
      <c r="J231" s="11"/>
      <c r="K231" s="11"/>
      <c r="L231" s="11"/>
      <c r="M231" s="11"/>
      <c r="N231" s="11"/>
      <c r="O231" s="11"/>
      <c r="P231" s="11"/>
      <c r="Q231" s="11"/>
      <c r="R231" s="11"/>
      <c r="S231" s="11"/>
      <c r="T231" s="11"/>
      <c r="U231" s="11"/>
      <c r="V231" s="11"/>
      <c r="W231" s="11"/>
      <c r="X231" s="11"/>
      <c r="Y231" s="11"/>
      <c r="Z231" s="11"/>
    </row>
    <row r="232" spans="1:26" ht="14.25" customHeight="1">
      <c r="A232" s="11"/>
      <c r="B232" s="11"/>
      <c r="C232" s="11"/>
      <c r="D232" s="11"/>
      <c r="E232" s="11"/>
      <c r="F232" s="11"/>
      <c r="G232" s="11"/>
      <c r="H232" s="11"/>
      <c r="I232" s="46"/>
      <c r="J232" s="11"/>
      <c r="K232" s="11"/>
      <c r="L232" s="11"/>
      <c r="M232" s="11"/>
      <c r="N232" s="11"/>
      <c r="O232" s="11"/>
      <c r="P232" s="11"/>
      <c r="Q232" s="11"/>
      <c r="R232" s="11"/>
      <c r="S232" s="11"/>
      <c r="T232" s="11"/>
      <c r="U232" s="11"/>
      <c r="V232" s="11"/>
      <c r="W232" s="11"/>
      <c r="X232" s="11"/>
      <c r="Y232" s="11"/>
      <c r="Z232" s="11"/>
    </row>
    <row r="233" spans="1:26" ht="14.25" customHeight="1">
      <c r="A233" s="11"/>
      <c r="B233" s="11"/>
      <c r="C233" s="11"/>
      <c r="D233" s="11"/>
      <c r="E233" s="11"/>
      <c r="F233" s="11"/>
      <c r="G233" s="11"/>
      <c r="H233" s="11"/>
      <c r="I233" s="46"/>
      <c r="J233" s="11"/>
      <c r="K233" s="11"/>
      <c r="L233" s="11"/>
      <c r="M233" s="11"/>
      <c r="N233" s="11"/>
      <c r="O233" s="11"/>
      <c r="P233" s="11"/>
      <c r="Q233" s="11"/>
      <c r="R233" s="11"/>
      <c r="S233" s="11"/>
      <c r="T233" s="11"/>
      <c r="U233" s="11"/>
      <c r="V233" s="11"/>
      <c r="W233" s="11"/>
      <c r="X233" s="11"/>
      <c r="Y233" s="11"/>
      <c r="Z233" s="11"/>
    </row>
    <row r="234" spans="1:26" ht="14.25" customHeight="1">
      <c r="A234" s="11"/>
      <c r="B234" s="11"/>
      <c r="C234" s="11"/>
      <c r="D234" s="11"/>
      <c r="E234" s="11"/>
      <c r="F234" s="11"/>
      <c r="G234" s="11"/>
      <c r="H234" s="11"/>
      <c r="I234" s="46"/>
      <c r="J234" s="11"/>
      <c r="K234" s="11"/>
      <c r="L234" s="11"/>
      <c r="M234" s="11"/>
      <c r="N234" s="11"/>
      <c r="O234" s="11"/>
      <c r="P234" s="11"/>
      <c r="Q234" s="11"/>
      <c r="R234" s="11"/>
      <c r="S234" s="11"/>
      <c r="T234" s="11"/>
      <c r="U234" s="11"/>
      <c r="V234" s="11"/>
      <c r="W234" s="11"/>
      <c r="X234" s="11"/>
      <c r="Y234" s="11"/>
      <c r="Z234" s="11"/>
    </row>
    <row r="235" spans="1:26" ht="14.25" customHeight="1">
      <c r="A235" s="11"/>
      <c r="B235" s="11"/>
      <c r="C235" s="11"/>
      <c r="D235" s="11"/>
      <c r="E235" s="11"/>
      <c r="F235" s="11"/>
      <c r="G235" s="11"/>
      <c r="H235" s="11"/>
      <c r="I235" s="46"/>
      <c r="J235" s="11"/>
      <c r="K235" s="11"/>
      <c r="L235" s="11"/>
      <c r="M235" s="11"/>
      <c r="N235" s="11"/>
      <c r="O235" s="11"/>
      <c r="P235" s="11"/>
      <c r="Q235" s="11"/>
      <c r="R235" s="11"/>
      <c r="S235" s="11"/>
      <c r="T235" s="11"/>
      <c r="U235" s="11"/>
      <c r="V235" s="11"/>
      <c r="W235" s="11"/>
      <c r="X235" s="11"/>
      <c r="Y235" s="11"/>
      <c r="Z235" s="11"/>
    </row>
    <row r="236" spans="1:26" ht="14.25" customHeight="1">
      <c r="A236" s="11"/>
      <c r="B236" s="11"/>
      <c r="C236" s="11"/>
      <c r="D236" s="11"/>
      <c r="E236" s="11"/>
      <c r="F236" s="11"/>
      <c r="G236" s="11"/>
      <c r="H236" s="11"/>
      <c r="I236" s="46"/>
      <c r="J236" s="11"/>
      <c r="K236" s="11"/>
      <c r="L236" s="11"/>
      <c r="M236" s="11"/>
      <c r="N236" s="11"/>
      <c r="O236" s="11"/>
      <c r="P236" s="11"/>
      <c r="Q236" s="11"/>
      <c r="R236" s="11"/>
      <c r="S236" s="11"/>
      <c r="T236" s="11"/>
      <c r="U236" s="11"/>
      <c r="V236" s="11"/>
      <c r="W236" s="11"/>
      <c r="X236" s="11"/>
      <c r="Y236" s="11"/>
      <c r="Z236" s="11"/>
    </row>
    <row r="237" spans="1:26" ht="14.25" customHeight="1">
      <c r="A237" s="11"/>
      <c r="B237" s="11"/>
      <c r="C237" s="11"/>
      <c r="D237" s="11"/>
      <c r="E237" s="11"/>
      <c r="F237" s="11"/>
      <c r="G237" s="11"/>
      <c r="H237" s="11"/>
      <c r="I237" s="46"/>
      <c r="J237" s="11"/>
      <c r="K237" s="11"/>
      <c r="L237" s="11"/>
      <c r="M237" s="11"/>
      <c r="N237" s="11"/>
      <c r="O237" s="11"/>
      <c r="P237" s="11"/>
      <c r="Q237" s="11"/>
      <c r="R237" s="11"/>
      <c r="S237" s="11"/>
      <c r="T237" s="11"/>
      <c r="U237" s="11"/>
      <c r="V237" s="11"/>
      <c r="W237" s="11"/>
      <c r="X237" s="11"/>
      <c r="Y237" s="11"/>
      <c r="Z237" s="11"/>
    </row>
    <row r="238" spans="1:26" ht="14.25" customHeight="1">
      <c r="A238" s="11"/>
      <c r="B238" s="11"/>
      <c r="C238" s="11"/>
      <c r="D238" s="11"/>
      <c r="E238" s="11"/>
      <c r="F238" s="11"/>
      <c r="G238" s="11"/>
      <c r="H238" s="11"/>
      <c r="I238" s="46"/>
      <c r="J238" s="11"/>
      <c r="K238" s="11"/>
      <c r="L238" s="11"/>
      <c r="M238" s="11"/>
      <c r="N238" s="11"/>
      <c r="O238" s="11"/>
      <c r="P238" s="11"/>
      <c r="Q238" s="11"/>
      <c r="R238" s="11"/>
      <c r="S238" s="11"/>
      <c r="T238" s="11"/>
      <c r="U238" s="11"/>
      <c r="V238" s="11"/>
      <c r="W238" s="11"/>
      <c r="X238" s="11"/>
      <c r="Y238" s="11"/>
      <c r="Z238" s="11"/>
    </row>
    <row r="239" spans="1:26" ht="14.25" customHeight="1">
      <c r="A239" s="11"/>
      <c r="B239" s="11"/>
      <c r="C239" s="11"/>
      <c r="D239" s="11"/>
      <c r="E239" s="11"/>
      <c r="F239" s="11"/>
      <c r="G239" s="11"/>
      <c r="H239" s="11"/>
      <c r="I239" s="46"/>
      <c r="J239" s="11"/>
      <c r="K239" s="11"/>
      <c r="L239" s="11"/>
      <c r="M239" s="11"/>
      <c r="N239" s="11"/>
      <c r="O239" s="11"/>
      <c r="P239" s="11"/>
      <c r="Q239" s="11"/>
      <c r="R239" s="11"/>
      <c r="S239" s="11"/>
      <c r="T239" s="11"/>
      <c r="U239" s="11"/>
      <c r="V239" s="11"/>
      <c r="W239" s="11"/>
      <c r="X239" s="11"/>
      <c r="Y239" s="11"/>
      <c r="Z239" s="11"/>
    </row>
    <row r="240" spans="1:26" ht="14.25" customHeight="1">
      <c r="A240" s="11"/>
      <c r="B240" s="11"/>
      <c r="C240" s="11"/>
      <c r="D240" s="11"/>
      <c r="E240" s="11"/>
      <c r="F240" s="11"/>
      <c r="G240" s="11"/>
      <c r="H240" s="11"/>
      <c r="I240" s="46"/>
      <c r="J240" s="11"/>
      <c r="K240" s="11"/>
      <c r="L240" s="11"/>
      <c r="M240" s="11"/>
      <c r="N240" s="11"/>
      <c r="O240" s="11"/>
      <c r="P240" s="11"/>
      <c r="Q240" s="11"/>
      <c r="R240" s="11"/>
      <c r="S240" s="11"/>
      <c r="T240" s="11"/>
      <c r="U240" s="11"/>
      <c r="V240" s="11"/>
      <c r="W240" s="11"/>
      <c r="X240" s="11"/>
      <c r="Y240" s="11"/>
      <c r="Z240" s="11"/>
    </row>
    <row r="241" spans="1:26" ht="14.25" customHeight="1">
      <c r="A241" s="11"/>
      <c r="B241" s="11"/>
      <c r="C241" s="11"/>
      <c r="D241" s="11"/>
      <c r="E241" s="11"/>
      <c r="F241" s="11"/>
      <c r="G241" s="11"/>
      <c r="H241" s="11"/>
      <c r="I241" s="46"/>
      <c r="J241" s="11"/>
      <c r="K241" s="11"/>
      <c r="L241" s="11"/>
      <c r="M241" s="11"/>
      <c r="N241" s="11"/>
      <c r="O241" s="11"/>
      <c r="P241" s="11"/>
      <c r="Q241" s="11"/>
      <c r="R241" s="11"/>
      <c r="S241" s="11"/>
      <c r="T241" s="11"/>
      <c r="U241" s="11"/>
      <c r="V241" s="11"/>
      <c r="W241" s="11"/>
      <c r="X241" s="11"/>
      <c r="Y241" s="11"/>
      <c r="Z241" s="11"/>
    </row>
    <row r="242" spans="1:26" ht="14.25" customHeight="1">
      <c r="A242" s="11"/>
      <c r="B242" s="11"/>
      <c r="C242" s="11"/>
      <c r="D242" s="11"/>
      <c r="E242" s="11"/>
      <c r="F242" s="11"/>
      <c r="G242" s="11"/>
      <c r="H242" s="11"/>
      <c r="I242" s="46"/>
      <c r="J242" s="11"/>
      <c r="K242" s="11"/>
      <c r="L242" s="11"/>
      <c r="M242" s="11"/>
      <c r="N242" s="11"/>
      <c r="O242" s="11"/>
      <c r="P242" s="11"/>
      <c r="Q242" s="11"/>
      <c r="R242" s="11"/>
      <c r="S242" s="11"/>
      <c r="T242" s="11"/>
      <c r="U242" s="11"/>
      <c r="V242" s="11"/>
      <c r="W242" s="11"/>
      <c r="X242" s="11"/>
      <c r="Y242" s="11"/>
      <c r="Z242" s="11"/>
    </row>
    <row r="243" spans="1:26" ht="14.25" customHeight="1">
      <c r="A243" s="11"/>
      <c r="B243" s="11"/>
      <c r="C243" s="11"/>
      <c r="D243" s="11"/>
      <c r="E243" s="11"/>
      <c r="F243" s="11"/>
      <c r="G243" s="11"/>
      <c r="H243" s="11"/>
      <c r="I243" s="46"/>
      <c r="J243" s="11"/>
      <c r="K243" s="11"/>
      <c r="L243" s="11"/>
      <c r="M243" s="11"/>
      <c r="N243" s="11"/>
      <c r="O243" s="11"/>
      <c r="P243" s="11"/>
      <c r="Q243" s="11"/>
      <c r="R243" s="11"/>
      <c r="S243" s="11"/>
      <c r="T243" s="11"/>
      <c r="U243" s="11"/>
      <c r="V243" s="11"/>
      <c r="W243" s="11"/>
      <c r="X243" s="11"/>
      <c r="Y243" s="11"/>
      <c r="Z243" s="11"/>
    </row>
    <row r="244" spans="1:26" ht="14.25" customHeight="1">
      <c r="A244" s="11"/>
      <c r="B244" s="11"/>
      <c r="C244" s="11"/>
      <c r="D244" s="11"/>
      <c r="E244" s="11"/>
      <c r="F244" s="11"/>
      <c r="G244" s="11"/>
      <c r="H244" s="11"/>
      <c r="I244" s="46"/>
      <c r="J244" s="11"/>
      <c r="K244" s="11"/>
      <c r="L244" s="11"/>
      <c r="M244" s="11"/>
      <c r="N244" s="11"/>
      <c r="O244" s="11"/>
      <c r="P244" s="11"/>
      <c r="Q244" s="11"/>
      <c r="R244" s="11"/>
      <c r="S244" s="11"/>
      <c r="T244" s="11"/>
      <c r="U244" s="11"/>
      <c r="V244" s="11"/>
      <c r="W244" s="11"/>
      <c r="X244" s="11"/>
      <c r="Y244" s="11"/>
      <c r="Z244" s="11"/>
    </row>
    <row r="245" spans="1:26" ht="14.25" customHeight="1">
      <c r="A245" s="11"/>
      <c r="B245" s="11"/>
      <c r="C245" s="11"/>
      <c r="D245" s="11"/>
      <c r="E245" s="11"/>
      <c r="F245" s="11"/>
      <c r="G245" s="11"/>
      <c r="H245" s="11"/>
      <c r="I245" s="46"/>
      <c r="J245" s="11"/>
      <c r="K245" s="11"/>
      <c r="L245" s="11"/>
      <c r="M245" s="11"/>
      <c r="N245" s="11"/>
      <c r="O245" s="11"/>
      <c r="P245" s="11"/>
      <c r="Q245" s="11"/>
      <c r="R245" s="11"/>
      <c r="S245" s="11"/>
      <c r="T245" s="11"/>
      <c r="U245" s="11"/>
      <c r="V245" s="11"/>
      <c r="W245" s="11"/>
      <c r="X245" s="11"/>
      <c r="Y245" s="11"/>
      <c r="Z245" s="11"/>
    </row>
    <row r="246" spans="1:26" ht="14.25" customHeight="1">
      <c r="A246" s="11"/>
      <c r="B246" s="11"/>
      <c r="C246" s="11"/>
      <c r="D246" s="11"/>
      <c r="E246" s="11"/>
      <c r="F246" s="11"/>
      <c r="G246" s="11"/>
      <c r="H246" s="11"/>
      <c r="I246" s="46"/>
      <c r="J246" s="11"/>
      <c r="K246" s="11"/>
      <c r="L246" s="11"/>
      <c r="M246" s="11"/>
      <c r="N246" s="11"/>
      <c r="O246" s="11"/>
      <c r="P246" s="11"/>
      <c r="Q246" s="11"/>
      <c r="R246" s="11"/>
      <c r="S246" s="11"/>
      <c r="T246" s="11"/>
      <c r="U246" s="11"/>
      <c r="V246" s="11"/>
      <c r="W246" s="11"/>
      <c r="X246" s="11"/>
      <c r="Y246" s="11"/>
      <c r="Z246" s="11"/>
    </row>
    <row r="247" spans="1:26" ht="14.25" customHeight="1">
      <c r="A247" s="11"/>
      <c r="B247" s="11"/>
      <c r="C247" s="11"/>
      <c r="D247" s="11"/>
      <c r="E247" s="11"/>
      <c r="F247" s="11"/>
      <c r="G247" s="11"/>
      <c r="H247" s="11"/>
      <c r="I247" s="46"/>
      <c r="J247" s="11"/>
      <c r="K247" s="11"/>
      <c r="L247" s="11"/>
      <c r="M247" s="11"/>
      <c r="N247" s="11"/>
      <c r="O247" s="11"/>
      <c r="P247" s="11"/>
      <c r="Q247" s="11"/>
      <c r="R247" s="11"/>
      <c r="S247" s="11"/>
      <c r="T247" s="11"/>
      <c r="U247" s="11"/>
      <c r="V247" s="11"/>
      <c r="W247" s="11"/>
      <c r="X247" s="11"/>
      <c r="Y247" s="11"/>
      <c r="Z247" s="11"/>
    </row>
    <row r="248" spans="1:26" ht="14.25" customHeight="1">
      <c r="A248" s="11"/>
      <c r="B248" s="11"/>
      <c r="C248" s="11"/>
      <c r="D248" s="11"/>
      <c r="E248" s="11"/>
      <c r="F248" s="11"/>
      <c r="G248" s="11"/>
      <c r="H248" s="11"/>
      <c r="I248" s="46"/>
      <c r="J248" s="11"/>
      <c r="K248" s="11"/>
      <c r="L248" s="11"/>
      <c r="M248" s="11"/>
      <c r="N248" s="11"/>
      <c r="O248" s="11"/>
      <c r="P248" s="11"/>
      <c r="Q248" s="11"/>
      <c r="R248" s="11"/>
      <c r="S248" s="11"/>
      <c r="T248" s="11"/>
      <c r="U248" s="11"/>
      <c r="V248" s="11"/>
      <c r="W248" s="11"/>
      <c r="X248" s="11"/>
      <c r="Y248" s="11"/>
      <c r="Z248" s="11"/>
    </row>
    <row r="249" spans="1:26" ht="14.25" customHeight="1">
      <c r="A249" s="11"/>
      <c r="B249" s="11"/>
      <c r="C249" s="11"/>
      <c r="D249" s="11"/>
      <c r="E249" s="11"/>
      <c r="F249" s="11"/>
      <c r="G249" s="11"/>
      <c r="H249" s="11"/>
      <c r="I249" s="46"/>
      <c r="J249" s="11"/>
      <c r="K249" s="11"/>
      <c r="L249" s="11"/>
      <c r="M249" s="11"/>
      <c r="N249" s="11"/>
      <c r="O249" s="11"/>
      <c r="P249" s="11"/>
      <c r="Q249" s="11"/>
      <c r="R249" s="11"/>
      <c r="S249" s="11"/>
      <c r="T249" s="11"/>
      <c r="U249" s="11"/>
      <c r="V249" s="11"/>
      <c r="W249" s="11"/>
      <c r="X249" s="11"/>
      <c r="Y249" s="11"/>
      <c r="Z249" s="11"/>
    </row>
    <row r="250" spans="1:26" ht="14.25" customHeight="1">
      <c r="A250" s="11"/>
      <c r="B250" s="11"/>
      <c r="C250" s="11"/>
      <c r="D250" s="11"/>
      <c r="E250" s="11"/>
      <c r="F250" s="11"/>
      <c r="G250" s="11"/>
      <c r="H250" s="11"/>
      <c r="I250" s="46"/>
      <c r="J250" s="11"/>
      <c r="K250" s="11"/>
      <c r="L250" s="11"/>
      <c r="M250" s="11"/>
      <c r="N250" s="11"/>
      <c r="O250" s="11"/>
      <c r="P250" s="11"/>
      <c r="Q250" s="11"/>
      <c r="R250" s="11"/>
      <c r="S250" s="11"/>
      <c r="T250" s="11"/>
      <c r="U250" s="11"/>
      <c r="V250" s="11"/>
      <c r="W250" s="11"/>
      <c r="X250" s="11"/>
      <c r="Y250" s="11"/>
      <c r="Z250" s="11"/>
    </row>
    <row r="251" spans="1:26" ht="14.25" customHeight="1">
      <c r="A251" s="11"/>
      <c r="B251" s="11"/>
      <c r="C251" s="11"/>
      <c r="D251" s="11"/>
      <c r="E251" s="11"/>
      <c r="F251" s="11"/>
      <c r="G251" s="11"/>
      <c r="H251" s="11"/>
      <c r="I251" s="46"/>
      <c r="J251" s="11"/>
      <c r="K251" s="11"/>
      <c r="L251" s="11"/>
      <c r="M251" s="11"/>
      <c r="N251" s="11"/>
      <c r="O251" s="11"/>
      <c r="P251" s="11"/>
      <c r="Q251" s="11"/>
      <c r="R251" s="11"/>
      <c r="S251" s="11"/>
      <c r="T251" s="11"/>
      <c r="U251" s="11"/>
      <c r="V251" s="11"/>
      <c r="W251" s="11"/>
      <c r="X251" s="11"/>
      <c r="Y251" s="11"/>
      <c r="Z251" s="11"/>
    </row>
    <row r="252" spans="1:26" ht="14.25" customHeight="1">
      <c r="A252" s="11"/>
      <c r="B252" s="11"/>
      <c r="C252" s="11"/>
      <c r="D252" s="11"/>
      <c r="E252" s="11"/>
      <c r="F252" s="11"/>
      <c r="G252" s="11"/>
      <c r="H252" s="11"/>
      <c r="I252" s="46"/>
      <c r="J252" s="11"/>
      <c r="K252" s="11"/>
      <c r="L252" s="11"/>
      <c r="M252" s="11"/>
      <c r="N252" s="11"/>
      <c r="O252" s="11"/>
      <c r="P252" s="11"/>
      <c r="Q252" s="11"/>
      <c r="R252" s="11"/>
      <c r="S252" s="11"/>
      <c r="T252" s="11"/>
      <c r="U252" s="11"/>
      <c r="V252" s="11"/>
      <c r="W252" s="11"/>
      <c r="X252" s="11"/>
      <c r="Y252" s="11"/>
      <c r="Z252" s="11"/>
    </row>
    <row r="253" spans="1:26" ht="14.25" customHeight="1">
      <c r="A253" s="11"/>
      <c r="B253" s="11"/>
      <c r="C253" s="11"/>
      <c r="D253" s="11"/>
      <c r="E253" s="11"/>
      <c r="F253" s="11"/>
      <c r="G253" s="11"/>
      <c r="H253" s="11"/>
      <c r="I253" s="46"/>
      <c r="J253" s="11"/>
      <c r="K253" s="11"/>
      <c r="L253" s="11"/>
      <c r="M253" s="11"/>
      <c r="N253" s="11"/>
      <c r="O253" s="11"/>
      <c r="P253" s="11"/>
      <c r="Q253" s="11"/>
      <c r="R253" s="11"/>
      <c r="S253" s="11"/>
      <c r="T253" s="11"/>
      <c r="U253" s="11"/>
      <c r="V253" s="11"/>
      <c r="W253" s="11"/>
      <c r="X253" s="11"/>
      <c r="Y253" s="11"/>
      <c r="Z253" s="11"/>
    </row>
    <row r="254" spans="1:26" ht="14.25" customHeight="1">
      <c r="A254" s="11"/>
      <c r="B254" s="11"/>
      <c r="C254" s="11"/>
      <c r="D254" s="11"/>
      <c r="E254" s="11"/>
      <c r="F254" s="11"/>
      <c r="G254" s="11"/>
      <c r="H254" s="11"/>
      <c r="I254" s="46"/>
      <c r="J254" s="11"/>
      <c r="K254" s="11"/>
      <c r="L254" s="11"/>
      <c r="M254" s="11"/>
      <c r="N254" s="11"/>
      <c r="O254" s="11"/>
      <c r="P254" s="11"/>
      <c r="Q254" s="11"/>
      <c r="R254" s="11"/>
      <c r="S254" s="11"/>
      <c r="T254" s="11"/>
      <c r="U254" s="11"/>
      <c r="V254" s="11"/>
      <c r="W254" s="11"/>
      <c r="X254" s="11"/>
      <c r="Y254" s="11"/>
      <c r="Z254" s="11"/>
    </row>
    <row r="255" spans="1:26" ht="14.25" customHeight="1">
      <c r="A255" s="11"/>
      <c r="B255" s="11"/>
      <c r="C255" s="11"/>
      <c r="D255" s="11"/>
      <c r="E255" s="11"/>
      <c r="F255" s="11"/>
      <c r="G255" s="11"/>
      <c r="H255" s="11"/>
      <c r="I255" s="46"/>
      <c r="J255" s="11"/>
      <c r="K255" s="11"/>
      <c r="L255" s="11"/>
      <c r="M255" s="11"/>
      <c r="N255" s="11"/>
      <c r="O255" s="11"/>
      <c r="P255" s="11"/>
      <c r="Q255" s="11"/>
      <c r="R255" s="11"/>
      <c r="S255" s="11"/>
      <c r="T255" s="11"/>
      <c r="U255" s="11"/>
      <c r="V255" s="11"/>
      <c r="W255" s="11"/>
      <c r="X255" s="11"/>
      <c r="Y255" s="11"/>
      <c r="Z255" s="11"/>
    </row>
    <row r="256" spans="1:26" ht="14.25" customHeight="1">
      <c r="A256" s="11"/>
      <c r="B256" s="11"/>
      <c r="C256" s="11"/>
      <c r="D256" s="11"/>
      <c r="E256" s="11"/>
      <c r="F256" s="11"/>
      <c r="G256" s="11"/>
      <c r="H256" s="11"/>
      <c r="I256" s="46"/>
      <c r="J256" s="11"/>
      <c r="K256" s="11"/>
      <c r="L256" s="11"/>
      <c r="M256" s="11"/>
      <c r="N256" s="11"/>
      <c r="O256" s="11"/>
      <c r="P256" s="11"/>
      <c r="Q256" s="11"/>
      <c r="R256" s="11"/>
      <c r="S256" s="11"/>
      <c r="T256" s="11"/>
      <c r="U256" s="11"/>
      <c r="V256" s="11"/>
      <c r="W256" s="11"/>
      <c r="X256" s="11"/>
      <c r="Y256" s="11"/>
      <c r="Z256" s="11"/>
    </row>
    <row r="257" spans="1:26" ht="14.25" customHeight="1">
      <c r="A257" s="11"/>
      <c r="B257" s="11"/>
      <c r="C257" s="11"/>
      <c r="D257" s="11"/>
      <c r="E257" s="11"/>
      <c r="F257" s="11"/>
      <c r="G257" s="11"/>
      <c r="H257" s="11"/>
      <c r="I257" s="46"/>
      <c r="J257" s="11"/>
      <c r="K257" s="11"/>
      <c r="L257" s="11"/>
      <c r="M257" s="11"/>
      <c r="N257" s="11"/>
      <c r="O257" s="11"/>
      <c r="P257" s="11"/>
      <c r="Q257" s="11"/>
      <c r="R257" s="11"/>
      <c r="S257" s="11"/>
      <c r="T257" s="11"/>
      <c r="U257" s="11"/>
      <c r="V257" s="11"/>
      <c r="W257" s="11"/>
      <c r="X257" s="11"/>
      <c r="Y257" s="11"/>
      <c r="Z257" s="11"/>
    </row>
    <row r="258" spans="1:26" ht="14.25" customHeight="1">
      <c r="A258" s="11"/>
      <c r="B258" s="11"/>
      <c r="C258" s="11"/>
      <c r="D258" s="11"/>
      <c r="E258" s="11"/>
      <c r="F258" s="11"/>
      <c r="G258" s="11"/>
      <c r="H258" s="11"/>
      <c r="I258" s="46"/>
      <c r="J258" s="11"/>
      <c r="K258" s="11"/>
      <c r="L258" s="11"/>
      <c r="M258" s="11"/>
      <c r="N258" s="11"/>
      <c r="O258" s="11"/>
      <c r="P258" s="11"/>
      <c r="Q258" s="11"/>
      <c r="R258" s="11"/>
      <c r="S258" s="11"/>
      <c r="T258" s="11"/>
      <c r="U258" s="11"/>
      <c r="V258" s="11"/>
      <c r="W258" s="11"/>
      <c r="X258" s="11"/>
      <c r="Y258" s="11"/>
      <c r="Z258" s="11"/>
    </row>
    <row r="259" spans="1:26" ht="14.25" customHeight="1">
      <c r="A259" s="11"/>
      <c r="B259" s="11"/>
      <c r="C259" s="11"/>
      <c r="D259" s="11"/>
      <c r="E259" s="11"/>
      <c r="F259" s="11"/>
      <c r="G259" s="11"/>
      <c r="H259" s="11"/>
      <c r="I259" s="46"/>
      <c r="J259" s="11"/>
      <c r="K259" s="11"/>
      <c r="L259" s="11"/>
      <c r="M259" s="11"/>
      <c r="N259" s="11"/>
      <c r="O259" s="11"/>
      <c r="P259" s="11"/>
      <c r="Q259" s="11"/>
      <c r="R259" s="11"/>
      <c r="S259" s="11"/>
      <c r="T259" s="11"/>
      <c r="U259" s="11"/>
      <c r="V259" s="11"/>
      <c r="W259" s="11"/>
      <c r="X259" s="11"/>
      <c r="Y259" s="11"/>
      <c r="Z259" s="11"/>
    </row>
    <row r="260" spans="1:26" ht="14.25" customHeight="1">
      <c r="A260" s="11"/>
      <c r="B260" s="11"/>
      <c r="C260" s="11"/>
      <c r="D260" s="11"/>
      <c r="E260" s="11"/>
      <c r="F260" s="11"/>
      <c r="G260" s="11"/>
      <c r="H260" s="11"/>
      <c r="I260" s="46"/>
      <c r="J260" s="11"/>
      <c r="K260" s="11"/>
      <c r="L260" s="11"/>
      <c r="M260" s="11"/>
      <c r="N260" s="11"/>
      <c r="O260" s="11"/>
      <c r="P260" s="11"/>
      <c r="Q260" s="11"/>
      <c r="R260" s="11"/>
      <c r="S260" s="11"/>
      <c r="T260" s="11"/>
      <c r="U260" s="11"/>
      <c r="V260" s="11"/>
      <c r="W260" s="11"/>
      <c r="X260" s="11"/>
      <c r="Y260" s="11"/>
      <c r="Z260" s="11"/>
    </row>
    <row r="261" spans="1:26" ht="14.25" customHeight="1">
      <c r="A261" s="11"/>
      <c r="B261" s="11"/>
      <c r="C261" s="11"/>
      <c r="D261" s="11"/>
      <c r="E261" s="11"/>
      <c r="F261" s="11"/>
      <c r="G261" s="11"/>
      <c r="H261" s="11"/>
      <c r="I261" s="46"/>
      <c r="J261" s="11"/>
      <c r="K261" s="11"/>
      <c r="L261" s="11"/>
      <c r="M261" s="11"/>
      <c r="N261" s="11"/>
      <c r="O261" s="11"/>
      <c r="P261" s="11"/>
      <c r="Q261" s="11"/>
      <c r="R261" s="11"/>
      <c r="S261" s="11"/>
      <c r="T261" s="11"/>
      <c r="U261" s="11"/>
      <c r="V261" s="11"/>
      <c r="W261" s="11"/>
      <c r="X261" s="11"/>
      <c r="Y261" s="11"/>
      <c r="Z261" s="11"/>
    </row>
    <row r="262" spans="1:26" ht="14.25" customHeight="1">
      <c r="A262" s="11"/>
      <c r="B262" s="11"/>
      <c r="C262" s="11"/>
      <c r="D262" s="11"/>
      <c r="E262" s="11"/>
      <c r="F262" s="11"/>
      <c r="G262" s="11"/>
      <c r="H262" s="11"/>
      <c r="I262" s="46"/>
      <c r="J262" s="11"/>
      <c r="K262" s="11"/>
      <c r="L262" s="11"/>
      <c r="M262" s="11"/>
      <c r="N262" s="11"/>
      <c r="O262" s="11"/>
      <c r="P262" s="11"/>
      <c r="Q262" s="11"/>
      <c r="R262" s="11"/>
      <c r="S262" s="11"/>
      <c r="T262" s="11"/>
      <c r="U262" s="11"/>
      <c r="V262" s="11"/>
      <c r="W262" s="11"/>
      <c r="X262" s="11"/>
      <c r="Y262" s="11"/>
      <c r="Z262" s="11"/>
    </row>
    <row r="263" spans="1:26" ht="14.25" customHeight="1">
      <c r="A263" s="11"/>
      <c r="B263" s="11"/>
      <c r="C263" s="11"/>
      <c r="D263" s="11"/>
      <c r="E263" s="11"/>
      <c r="F263" s="11"/>
      <c r="G263" s="11"/>
      <c r="H263" s="11"/>
      <c r="I263" s="46"/>
      <c r="J263" s="11"/>
      <c r="K263" s="11"/>
      <c r="L263" s="11"/>
      <c r="M263" s="11"/>
      <c r="N263" s="11"/>
      <c r="O263" s="11"/>
      <c r="P263" s="11"/>
      <c r="Q263" s="11"/>
      <c r="R263" s="11"/>
      <c r="S263" s="11"/>
      <c r="T263" s="11"/>
      <c r="U263" s="11"/>
      <c r="V263" s="11"/>
      <c r="W263" s="11"/>
      <c r="X263" s="11"/>
      <c r="Y263" s="11"/>
      <c r="Z263" s="11"/>
    </row>
    <row r="264" spans="1:26" ht="14.25" customHeight="1">
      <c r="A264" s="11"/>
      <c r="B264" s="11"/>
      <c r="C264" s="11"/>
      <c r="D264" s="11"/>
      <c r="E264" s="11"/>
      <c r="F264" s="11"/>
      <c r="G264" s="11"/>
      <c r="H264" s="11"/>
      <c r="I264" s="46"/>
      <c r="J264" s="11"/>
      <c r="K264" s="11"/>
      <c r="L264" s="11"/>
      <c r="M264" s="11"/>
      <c r="N264" s="11"/>
      <c r="O264" s="11"/>
      <c r="P264" s="11"/>
      <c r="Q264" s="11"/>
      <c r="R264" s="11"/>
      <c r="S264" s="11"/>
      <c r="T264" s="11"/>
      <c r="U264" s="11"/>
      <c r="V264" s="11"/>
      <c r="W264" s="11"/>
      <c r="X264" s="11"/>
      <c r="Y264" s="11"/>
      <c r="Z264" s="11"/>
    </row>
    <row r="265" spans="1:26" ht="14.25" customHeight="1">
      <c r="A265" s="11"/>
      <c r="B265" s="11"/>
      <c r="C265" s="11"/>
      <c r="D265" s="11"/>
      <c r="E265" s="11"/>
      <c r="F265" s="11"/>
      <c r="G265" s="11"/>
      <c r="H265" s="11"/>
      <c r="I265" s="46"/>
      <c r="J265" s="11"/>
      <c r="K265" s="11"/>
      <c r="L265" s="11"/>
      <c r="M265" s="11"/>
      <c r="N265" s="11"/>
      <c r="O265" s="11"/>
      <c r="P265" s="11"/>
      <c r="Q265" s="11"/>
      <c r="R265" s="11"/>
      <c r="S265" s="11"/>
      <c r="T265" s="11"/>
      <c r="U265" s="11"/>
      <c r="V265" s="11"/>
      <c r="W265" s="11"/>
      <c r="X265" s="11"/>
      <c r="Y265" s="11"/>
      <c r="Z265" s="11"/>
    </row>
    <row r="266" spans="1:26" ht="14.25" customHeight="1">
      <c r="A266" s="11"/>
      <c r="B266" s="11"/>
      <c r="C266" s="11"/>
      <c r="D266" s="11"/>
      <c r="E266" s="11"/>
      <c r="F266" s="11"/>
      <c r="G266" s="11"/>
      <c r="H266" s="11"/>
      <c r="I266" s="46"/>
      <c r="J266" s="11"/>
      <c r="K266" s="11"/>
      <c r="L266" s="11"/>
      <c r="M266" s="11"/>
      <c r="N266" s="11"/>
      <c r="O266" s="11"/>
      <c r="P266" s="11"/>
      <c r="Q266" s="11"/>
      <c r="R266" s="11"/>
      <c r="S266" s="11"/>
      <c r="T266" s="11"/>
      <c r="U266" s="11"/>
      <c r="V266" s="11"/>
      <c r="W266" s="11"/>
      <c r="X266" s="11"/>
      <c r="Y266" s="11"/>
      <c r="Z266" s="11"/>
    </row>
    <row r="267" spans="1:26" ht="14.25" customHeight="1">
      <c r="A267" s="11"/>
      <c r="B267" s="11"/>
      <c r="C267" s="11"/>
      <c r="D267" s="11"/>
      <c r="E267" s="11"/>
      <c r="F267" s="11"/>
      <c r="G267" s="11"/>
      <c r="H267" s="11"/>
      <c r="I267" s="46"/>
      <c r="J267" s="11"/>
      <c r="K267" s="11"/>
      <c r="L267" s="11"/>
      <c r="M267" s="11"/>
      <c r="N267" s="11"/>
      <c r="O267" s="11"/>
      <c r="P267" s="11"/>
      <c r="Q267" s="11"/>
      <c r="R267" s="11"/>
      <c r="S267" s="11"/>
      <c r="T267" s="11"/>
      <c r="U267" s="11"/>
      <c r="V267" s="11"/>
      <c r="W267" s="11"/>
      <c r="X267" s="11"/>
      <c r="Y267" s="11"/>
      <c r="Z267" s="11"/>
    </row>
    <row r="268" spans="1:26" ht="14.25" customHeight="1">
      <c r="A268" s="11"/>
      <c r="B268" s="11"/>
      <c r="C268" s="11"/>
      <c r="D268" s="11"/>
      <c r="E268" s="11"/>
      <c r="F268" s="11"/>
      <c r="G268" s="11"/>
      <c r="H268" s="11"/>
      <c r="I268" s="46"/>
      <c r="J268" s="11"/>
      <c r="K268" s="11"/>
      <c r="L268" s="11"/>
      <c r="M268" s="11"/>
      <c r="N268" s="11"/>
      <c r="O268" s="11"/>
      <c r="P268" s="11"/>
      <c r="Q268" s="11"/>
      <c r="R268" s="11"/>
      <c r="S268" s="11"/>
      <c r="T268" s="11"/>
      <c r="U268" s="11"/>
      <c r="V268" s="11"/>
      <c r="W268" s="11"/>
      <c r="X268" s="11"/>
      <c r="Y268" s="11"/>
      <c r="Z268" s="11"/>
    </row>
    <row r="269" spans="1:26" ht="14.25" customHeight="1">
      <c r="A269" s="11"/>
      <c r="B269" s="11"/>
      <c r="C269" s="11"/>
      <c r="D269" s="11"/>
      <c r="E269" s="11"/>
      <c r="F269" s="11"/>
      <c r="G269" s="11"/>
      <c r="H269" s="11"/>
      <c r="I269" s="46"/>
      <c r="J269" s="11"/>
      <c r="K269" s="11"/>
      <c r="L269" s="11"/>
      <c r="M269" s="11"/>
      <c r="N269" s="11"/>
      <c r="O269" s="11"/>
      <c r="P269" s="11"/>
      <c r="Q269" s="11"/>
      <c r="R269" s="11"/>
      <c r="S269" s="11"/>
      <c r="T269" s="11"/>
      <c r="U269" s="11"/>
      <c r="V269" s="11"/>
      <c r="W269" s="11"/>
      <c r="X269" s="11"/>
      <c r="Y269" s="11"/>
      <c r="Z269" s="11"/>
    </row>
    <row r="270" spans="1:26" ht="14.25" customHeight="1">
      <c r="A270" s="11"/>
      <c r="B270" s="11"/>
      <c r="C270" s="11"/>
      <c r="D270" s="11"/>
      <c r="E270" s="11"/>
      <c r="F270" s="11"/>
      <c r="G270" s="11"/>
      <c r="H270" s="11"/>
      <c r="I270" s="46"/>
      <c r="J270" s="11"/>
      <c r="K270" s="11"/>
      <c r="L270" s="11"/>
      <c r="M270" s="11"/>
      <c r="N270" s="11"/>
      <c r="O270" s="11"/>
      <c r="P270" s="11"/>
      <c r="Q270" s="11"/>
      <c r="R270" s="11"/>
      <c r="S270" s="11"/>
      <c r="T270" s="11"/>
      <c r="U270" s="11"/>
      <c r="V270" s="11"/>
      <c r="W270" s="11"/>
      <c r="X270" s="11"/>
      <c r="Y270" s="11"/>
      <c r="Z270" s="11"/>
    </row>
    <row r="271" spans="1:26" ht="14.25" customHeight="1">
      <c r="A271" s="11"/>
      <c r="B271" s="11"/>
      <c r="C271" s="11"/>
      <c r="D271" s="11"/>
      <c r="E271" s="11"/>
      <c r="F271" s="11"/>
      <c r="G271" s="11"/>
      <c r="H271" s="11"/>
      <c r="I271" s="46"/>
      <c r="J271" s="11"/>
      <c r="K271" s="11"/>
      <c r="L271" s="11"/>
      <c r="M271" s="11"/>
      <c r="N271" s="11"/>
      <c r="O271" s="11"/>
      <c r="P271" s="11"/>
      <c r="Q271" s="11"/>
      <c r="R271" s="11"/>
      <c r="S271" s="11"/>
      <c r="T271" s="11"/>
      <c r="U271" s="11"/>
      <c r="V271" s="11"/>
      <c r="W271" s="11"/>
      <c r="X271" s="11"/>
      <c r="Y271" s="11"/>
      <c r="Z271" s="11"/>
    </row>
    <row r="272" spans="1:26" ht="14.25" customHeight="1">
      <c r="A272" s="11"/>
      <c r="B272" s="11"/>
      <c r="C272" s="11"/>
      <c r="D272" s="11"/>
      <c r="E272" s="11"/>
      <c r="F272" s="11"/>
      <c r="G272" s="11"/>
      <c r="H272" s="11"/>
      <c r="I272" s="46"/>
      <c r="J272" s="11"/>
      <c r="K272" s="11"/>
      <c r="L272" s="11"/>
      <c r="M272" s="11"/>
      <c r="N272" s="11"/>
      <c r="O272" s="11"/>
      <c r="P272" s="11"/>
      <c r="Q272" s="11"/>
      <c r="R272" s="11"/>
      <c r="S272" s="11"/>
      <c r="T272" s="11"/>
      <c r="U272" s="11"/>
      <c r="V272" s="11"/>
      <c r="W272" s="11"/>
      <c r="X272" s="11"/>
      <c r="Y272" s="11"/>
      <c r="Z272" s="11"/>
    </row>
    <row r="273" spans="1:26" ht="14.25" customHeight="1">
      <c r="A273" s="11"/>
      <c r="B273" s="11"/>
      <c r="C273" s="11"/>
      <c r="D273" s="11"/>
      <c r="E273" s="11"/>
      <c r="F273" s="11"/>
      <c r="G273" s="11"/>
      <c r="H273" s="11"/>
      <c r="I273" s="46"/>
      <c r="J273" s="11"/>
      <c r="K273" s="11"/>
      <c r="L273" s="11"/>
      <c r="M273" s="11"/>
      <c r="N273" s="11"/>
      <c r="O273" s="11"/>
      <c r="P273" s="11"/>
      <c r="Q273" s="11"/>
      <c r="R273" s="11"/>
      <c r="S273" s="11"/>
      <c r="T273" s="11"/>
      <c r="U273" s="11"/>
      <c r="V273" s="11"/>
      <c r="W273" s="11"/>
      <c r="X273" s="11"/>
      <c r="Y273" s="11"/>
      <c r="Z273" s="11"/>
    </row>
    <row r="274" spans="1:26" ht="14.25" customHeight="1">
      <c r="A274" s="11"/>
      <c r="B274" s="11"/>
      <c r="C274" s="11"/>
      <c r="D274" s="11"/>
      <c r="E274" s="11"/>
      <c r="F274" s="11"/>
      <c r="G274" s="11"/>
      <c r="H274" s="11"/>
      <c r="I274" s="46"/>
      <c r="J274" s="11"/>
      <c r="K274" s="11"/>
      <c r="L274" s="11"/>
      <c r="M274" s="11"/>
      <c r="N274" s="11"/>
      <c r="O274" s="11"/>
      <c r="P274" s="11"/>
      <c r="Q274" s="11"/>
      <c r="R274" s="11"/>
      <c r="S274" s="11"/>
      <c r="T274" s="11"/>
      <c r="U274" s="11"/>
      <c r="V274" s="11"/>
      <c r="W274" s="11"/>
      <c r="X274" s="11"/>
      <c r="Y274" s="11"/>
      <c r="Z274" s="11"/>
    </row>
    <row r="275" spans="1:26" ht="14.25" customHeight="1">
      <c r="A275" s="11"/>
      <c r="B275" s="11"/>
      <c r="C275" s="11"/>
      <c r="D275" s="11"/>
      <c r="E275" s="11"/>
      <c r="F275" s="11"/>
      <c r="G275" s="11"/>
      <c r="H275" s="11"/>
      <c r="I275" s="46"/>
      <c r="J275" s="11"/>
      <c r="K275" s="11"/>
      <c r="L275" s="11"/>
      <c r="M275" s="11"/>
      <c r="N275" s="11"/>
      <c r="O275" s="11"/>
      <c r="P275" s="11"/>
      <c r="Q275" s="11"/>
      <c r="R275" s="11"/>
      <c r="S275" s="11"/>
      <c r="T275" s="11"/>
      <c r="U275" s="11"/>
      <c r="V275" s="11"/>
      <c r="W275" s="11"/>
      <c r="X275" s="11"/>
      <c r="Y275" s="11"/>
      <c r="Z275" s="11"/>
    </row>
    <row r="276" spans="1:26" ht="14.25" customHeight="1">
      <c r="A276" s="11"/>
      <c r="B276" s="11"/>
      <c r="C276" s="11"/>
      <c r="D276" s="11"/>
      <c r="E276" s="11"/>
      <c r="F276" s="11"/>
      <c r="G276" s="11"/>
      <c r="H276" s="11"/>
      <c r="I276" s="46"/>
      <c r="J276" s="11"/>
      <c r="K276" s="11"/>
      <c r="L276" s="11"/>
      <c r="M276" s="11"/>
      <c r="N276" s="11"/>
      <c r="O276" s="11"/>
      <c r="P276" s="11"/>
      <c r="Q276" s="11"/>
      <c r="R276" s="11"/>
      <c r="S276" s="11"/>
      <c r="T276" s="11"/>
      <c r="U276" s="11"/>
      <c r="V276" s="11"/>
      <c r="W276" s="11"/>
      <c r="X276" s="11"/>
      <c r="Y276" s="11"/>
      <c r="Z276" s="11"/>
    </row>
    <row r="277" spans="1:26" ht="14.25" customHeight="1">
      <c r="A277" s="11"/>
      <c r="B277" s="11"/>
      <c r="C277" s="11"/>
      <c r="D277" s="11"/>
      <c r="E277" s="11"/>
      <c r="F277" s="11"/>
      <c r="G277" s="11"/>
      <c r="H277" s="11"/>
      <c r="I277" s="46"/>
      <c r="J277" s="11"/>
      <c r="K277" s="11"/>
      <c r="L277" s="11"/>
      <c r="M277" s="11"/>
      <c r="N277" s="11"/>
      <c r="O277" s="11"/>
      <c r="P277" s="11"/>
      <c r="Q277" s="11"/>
      <c r="R277" s="11"/>
      <c r="S277" s="11"/>
      <c r="T277" s="11"/>
      <c r="U277" s="11"/>
      <c r="V277" s="11"/>
      <c r="W277" s="11"/>
      <c r="X277" s="11"/>
      <c r="Y277" s="11"/>
      <c r="Z277" s="11"/>
    </row>
    <row r="278" spans="1:26" ht="14.25" customHeight="1">
      <c r="A278" s="11"/>
      <c r="B278" s="11"/>
      <c r="C278" s="11"/>
      <c r="D278" s="11"/>
      <c r="E278" s="11"/>
      <c r="F278" s="11"/>
      <c r="G278" s="11"/>
      <c r="H278" s="11"/>
      <c r="I278" s="46"/>
      <c r="J278" s="11"/>
      <c r="K278" s="11"/>
      <c r="L278" s="11"/>
      <c r="M278" s="11"/>
      <c r="N278" s="11"/>
      <c r="O278" s="11"/>
      <c r="P278" s="11"/>
      <c r="Q278" s="11"/>
      <c r="R278" s="11"/>
      <c r="S278" s="11"/>
      <c r="T278" s="11"/>
      <c r="U278" s="11"/>
      <c r="V278" s="11"/>
      <c r="W278" s="11"/>
      <c r="X278" s="11"/>
      <c r="Y278" s="11"/>
      <c r="Z278" s="11"/>
    </row>
    <row r="279" spans="1:26" ht="14.25" customHeight="1">
      <c r="A279" s="11"/>
      <c r="B279" s="11"/>
      <c r="C279" s="11"/>
      <c r="D279" s="11"/>
      <c r="E279" s="11"/>
      <c r="F279" s="11"/>
      <c r="G279" s="11"/>
      <c r="H279" s="11"/>
      <c r="I279" s="46"/>
      <c r="J279" s="11"/>
      <c r="K279" s="11"/>
      <c r="L279" s="11"/>
      <c r="M279" s="11"/>
      <c r="N279" s="11"/>
      <c r="O279" s="11"/>
      <c r="P279" s="11"/>
      <c r="Q279" s="11"/>
      <c r="R279" s="11"/>
      <c r="S279" s="11"/>
      <c r="T279" s="11"/>
      <c r="U279" s="11"/>
      <c r="V279" s="11"/>
      <c r="W279" s="11"/>
      <c r="X279" s="11"/>
      <c r="Y279" s="11"/>
      <c r="Z279" s="11"/>
    </row>
    <row r="280" spans="1:26" ht="14.25" customHeight="1">
      <c r="A280" s="11"/>
      <c r="B280" s="11"/>
      <c r="C280" s="11"/>
      <c r="D280" s="11"/>
      <c r="E280" s="11"/>
      <c r="F280" s="11"/>
      <c r="G280" s="11"/>
      <c r="H280" s="11"/>
      <c r="I280" s="46"/>
      <c r="J280" s="11"/>
      <c r="K280" s="11"/>
      <c r="L280" s="11"/>
      <c r="M280" s="11"/>
      <c r="N280" s="11"/>
      <c r="O280" s="11"/>
      <c r="P280" s="11"/>
      <c r="Q280" s="11"/>
      <c r="R280" s="11"/>
      <c r="S280" s="11"/>
      <c r="T280" s="11"/>
      <c r="U280" s="11"/>
      <c r="V280" s="11"/>
      <c r="W280" s="11"/>
      <c r="X280" s="11"/>
      <c r="Y280" s="11"/>
      <c r="Z280" s="11"/>
    </row>
    <row r="281" spans="1:26" ht="14.25" customHeight="1">
      <c r="A281" s="11"/>
      <c r="B281" s="11"/>
      <c r="C281" s="11"/>
      <c r="D281" s="11"/>
      <c r="E281" s="11"/>
      <c r="F281" s="11"/>
      <c r="G281" s="11"/>
      <c r="H281" s="11"/>
      <c r="I281" s="46"/>
      <c r="J281" s="11"/>
      <c r="K281" s="11"/>
      <c r="L281" s="11"/>
      <c r="M281" s="11"/>
      <c r="N281" s="11"/>
      <c r="O281" s="11"/>
      <c r="P281" s="11"/>
      <c r="Q281" s="11"/>
      <c r="R281" s="11"/>
      <c r="S281" s="11"/>
      <c r="T281" s="11"/>
      <c r="U281" s="11"/>
      <c r="V281" s="11"/>
      <c r="W281" s="11"/>
      <c r="X281" s="11"/>
      <c r="Y281" s="11"/>
      <c r="Z281" s="11"/>
    </row>
    <row r="282" spans="1:26" ht="14.25" customHeight="1">
      <c r="A282" s="11"/>
      <c r="B282" s="11"/>
      <c r="C282" s="11"/>
      <c r="D282" s="11"/>
      <c r="E282" s="11"/>
      <c r="F282" s="11"/>
      <c r="G282" s="11"/>
      <c r="H282" s="11"/>
      <c r="I282" s="46"/>
      <c r="J282" s="11"/>
      <c r="K282" s="11"/>
      <c r="L282" s="11"/>
      <c r="M282" s="11"/>
      <c r="N282" s="11"/>
      <c r="O282" s="11"/>
      <c r="P282" s="11"/>
      <c r="Q282" s="11"/>
      <c r="R282" s="11"/>
      <c r="S282" s="11"/>
      <c r="T282" s="11"/>
      <c r="U282" s="11"/>
      <c r="V282" s="11"/>
      <c r="W282" s="11"/>
      <c r="X282" s="11"/>
      <c r="Y282" s="11"/>
      <c r="Z282" s="11"/>
    </row>
    <row r="283" spans="1:26" ht="14.25" customHeight="1">
      <c r="A283" s="11"/>
      <c r="B283" s="11"/>
      <c r="C283" s="11"/>
      <c r="D283" s="11"/>
      <c r="E283" s="11"/>
      <c r="F283" s="11"/>
      <c r="G283" s="11"/>
      <c r="H283" s="11"/>
      <c r="I283" s="46"/>
      <c r="J283" s="11"/>
      <c r="K283" s="11"/>
      <c r="L283" s="11"/>
      <c r="M283" s="11"/>
      <c r="N283" s="11"/>
      <c r="O283" s="11"/>
      <c r="P283" s="11"/>
      <c r="Q283" s="11"/>
      <c r="R283" s="11"/>
      <c r="S283" s="11"/>
      <c r="T283" s="11"/>
      <c r="U283" s="11"/>
      <c r="V283" s="11"/>
      <c r="W283" s="11"/>
      <c r="X283" s="11"/>
      <c r="Y283" s="11"/>
      <c r="Z283" s="11"/>
    </row>
    <row r="284" spans="1:26" ht="14.25" customHeight="1">
      <c r="A284" s="11"/>
      <c r="B284" s="11"/>
      <c r="C284" s="11"/>
      <c r="D284" s="11"/>
      <c r="E284" s="11"/>
      <c r="F284" s="11"/>
      <c r="G284" s="11"/>
      <c r="H284" s="11"/>
      <c r="I284" s="46"/>
      <c r="J284" s="11"/>
      <c r="K284" s="11"/>
      <c r="L284" s="11"/>
      <c r="M284" s="11"/>
      <c r="N284" s="11"/>
      <c r="O284" s="11"/>
      <c r="P284" s="11"/>
      <c r="Q284" s="11"/>
      <c r="R284" s="11"/>
      <c r="S284" s="11"/>
      <c r="T284" s="11"/>
      <c r="U284" s="11"/>
      <c r="V284" s="11"/>
      <c r="W284" s="11"/>
      <c r="X284" s="11"/>
      <c r="Y284" s="11"/>
      <c r="Z284" s="11"/>
    </row>
    <row r="285" spans="1:26" ht="14.25" customHeight="1">
      <c r="A285" s="11"/>
      <c r="B285" s="11"/>
      <c r="C285" s="11"/>
      <c r="D285" s="11"/>
      <c r="E285" s="11"/>
      <c r="F285" s="11"/>
      <c r="G285" s="11"/>
      <c r="H285" s="11"/>
      <c r="I285" s="46"/>
      <c r="J285" s="11"/>
      <c r="K285" s="11"/>
      <c r="L285" s="11"/>
      <c r="M285" s="11"/>
      <c r="N285" s="11"/>
      <c r="O285" s="11"/>
      <c r="P285" s="11"/>
      <c r="Q285" s="11"/>
      <c r="R285" s="11"/>
      <c r="S285" s="11"/>
      <c r="T285" s="11"/>
      <c r="U285" s="11"/>
      <c r="V285" s="11"/>
      <c r="W285" s="11"/>
      <c r="X285" s="11"/>
      <c r="Y285" s="11"/>
      <c r="Z285" s="11"/>
    </row>
    <row r="286" spans="1:26" ht="14.25" customHeight="1">
      <c r="A286" s="11"/>
      <c r="B286" s="11"/>
      <c r="C286" s="11"/>
      <c r="D286" s="11"/>
      <c r="E286" s="11"/>
      <c r="F286" s="11"/>
      <c r="G286" s="11"/>
      <c r="H286" s="11"/>
      <c r="I286" s="46"/>
      <c r="J286" s="11"/>
      <c r="K286" s="11"/>
      <c r="L286" s="11"/>
      <c r="M286" s="11"/>
      <c r="N286" s="11"/>
      <c r="O286" s="11"/>
      <c r="P286" s="11"/>
      <c r="Q286" s="11"/>
      <c r="R286" s="11"/>
      <c r="S286" s="11"/>
      <c r="T286" s="11"/>
      <c r="U286" s="11"/>
      <c r="V286" s="11"/>
      <c r="W286" s="11"/>
      <c r="X286" s="11"/>
      <c r="Y286" s="11"/>
      <c r="Z286" s="11"/>
    </row>
    <row r="287" spans="1:26" ht="14.25" customHeight="1">
      <c r="A287" s="11"/>
      <c r="B287" s="11"/>
      <c r="C287" s="11"/>
      <c r="D287" s="11"/>
      <c r="E287" s="11"/>
      <c r="F287" s="11"/>
      <c r="G287" s="11"/>
      <c r="H287" s="11"/>
      <c r="I287" s="46"/>
      <c r="J287" s="11"/>
      <c r="K287" s="11"/>
      <c r="L287" s="11"/>
      <c r="M287" s="11"/>
      <c r="N287" s="11"/>
      <c r="O287" s="11"/>
      <c r="P287" s="11"/>
      <c r="Q287" s="11"/>
      <c r="R287" s="11"/>
      <c r="S287" s="11"/>
      <c r="T287" s="11"/>
      <c r="U287" s="11"/>
      <c r="V287" s="11"/>
      <c r="W287" s="11"/>
      <c r="X287" s="11"/>
      <c r="Y287" s="11"/>
      <c r="Z287" s="11"/>
    </row>
    <row r="288" spans="1:26" ht="14.25" customHeight="1">
      <c r="A288" s="11"/>
      <c r="B288" s="11"/>
      <c r="C288" s="11"/>
      <c r="D288" s="11"/>
      <c r="E288" s="11"/>
      <c r="F288" s="11"/>
      <c r="G288" s="11"/>
      <c r="H288" s="11"/>
      <c r="I288" s="46"/>
      <c r="J288" s="11"/>
      <c r="K288" s="11"/>
      <c r="L288" s="11"/>
      <c r="M288" s="11"/>
      <c r="N288" s="11"/>
      <c r="O288" s="11"/>
      <c r="P288" s="11"/>
      <c r="Q288" s="11"/>
      <c r="R288" s="11"/>
      <c r="S288" s="11"/>
      <c r="T288" s="11"/>
      <c r="U288" s="11"/>
      <c r="V288" s="11"/>
      <c r="W288" s="11"/>
      <c r="X288" s="11"/>
      <c r="Y288" s="11"/>
      <c r="Z288" s="11"/>
    </row>
    <row r="289" spans="1:26" ht="14.25" customHeight="1">
      <c r="A289" s="11"/>
      <c r="B289" s="11"/>
      <c r="C289" s="11"/>
      <c r="D289" s="11"/>
      <c r="E289" s="11"/>
      <c r="F289" s="11"/>
      <c r="G289" s="11"/>
      <c r="H289" s="11"/>
      <c r="I289" s="46"/>
      <c r="J289" s="11"/>
      <c r="K289" s="11"/>
      <c r="L289" s="11"/>
      <c r="M289" s="11"/>
      <c r="N289" s="11"/>
      <c r="O289" s="11"/>
      <c r="P289" s="11"/>
      <c r="Q289" s="11"/>
      <c r="R289" s="11"/>
      <c r="S289" s="11"/>
      <c r="T289" s="11"/>
      <c r="U289" s="11"/>
      <c r="V289" s="11"/>
      <c r="W289" s="11"/>
      <c r="X289" s="11"/>
      <c r="Y289" s="11"/>
      <c r="Z289" s="11"/>
    </row>
    <row r="290" spans="1:26" ht="14.25" customHeight="1">
      <c r="A290" s="11"/>
      <c r="B290" s="11"/>
      <c r="C290" s="11"/>
      <c r="D290" s="11"/>
      <c r="E290" s="11"/>
      <c r="F290" s="11"/>
      <c r="G290" s="11"/>
      <c r="H290" s="11"/>
      <c r="I290" s="46"/>
      <c r="J290" s="11"/>
      <c r="K290" s="11"/>
      <c r="L290" s="11"/>
      <c r="M290" s="11"/>
      <c r="N290" s="11"/>
      <c r="O290" s="11"/>
      <c r="P290" s="11"/>
      <c r="Q290" s="11"/>
      <c r="R290" s="11"/>
      <c r="S290" s="11"/>
      <c r="T290" s="11"/>
      <c r="U290" s="11"/>
      <c r="V290" s="11"/>
      <c r="W290" s="11"/>
      <c r="X290" s="11"/>
      <c r="Y290" s="11"/>
      <c r="Z290" s="11"/>
    </row>
    <row r="291" spans="1:26" ht="14.25" customHeight="1">
      <c r="A291" s="11"/>
      <c r="B291" s="11"/>
      <c r="C291" s="11"/>
      <c r="D291" s="11"/>
      <c r="E291" s="11"/>
      <c r="F291" s="11"/>
      <c r="G291" s="11"/>
      <c r="H291" s="11"/>
      <c r="I291" s="46"/>
      <c r="J291" s="11"/>
      <c r="K291" s="11"/>
      <c r="L291" s="11"/>
      <c r="M291" s="11"/>
      <c r="N291" s="11"/>
      <c r="O291" s="11"/>
      <c r="P291" s="11"/>
      <c r="Q291" s="11"/>
      <c r="R291" s="11"/>
      <c r="S291" s="11"/>
      <c r="T291" s="11"/>
      <c r="U291" s="11"/>
      <c r="V291" s="11"/>
      <c r="W291" s="11"/>
      <c r="X291" s="11"/>
      <c r="Y291" s="11"/>
      <c r="Z291" s="11"/>
    </row>
    <row r="292" spans="1:26" ht="14.25" customHeight="1">
      <c r="A292" s="11"/>
      <c r="B292" s="11"/>
      <c r="C292" s="11"/>
      <c r="D292" s="11"/>
      <c r="E292" s="11"/>
      <c r="F292" s="11"/>
      <c r="G292" s="11"/>
      <c r="H292" s="11"/>
      <c r="I292" s="46"/>
      <c r="J292" s="11"/>
      <c r="K292" s="11"/>
      <c r="L292" s="11"/>
      <c r="M292" s="11"/>
      <c r="N292" s="11"/>
      <c r="O292" s="11"/>
      <c r="P292" s="11"/>
      <c r="Q292" s="11"/>
      <c r="R292" s="11"/>
      <c r="S292" s="11"/>
      <c r="T292" s="11"/>
      <c r="U292" s="11"/>
      <c r="V292" s="11"/>
      <c r="W292" s="11"/>
      <c r="X292" s="11"/>
      <c r="Y292" s="11"/>
      <c r="Z292" s="11"/>
    </row>
    <row r="293" spans="1:26" ht="14.25" customHeight="1">
      <c r="A293" s="11"/>
      <c r="B293" s="11"/>
      <c r="C293" s="11"/>
      <c r="D293" s="11"/>
      <c r="E293" s="11"/>
      <c r="F293" s="11"/>
      <c r="G293" s="11"/>
      <c r="H293" s="11"/>
      <c r="I293" s="46"/>
      <c r="J293" s="11"/>
      <c r="K293" s="11"/>
      <c r="L293" s="11"/>
      <c r="M293" s="11"/>
      <c r="N293" s="11"/>
      <c r="O293" s="11"/>
      <c r="P293" s="11"/>
      <c r="Q293" s="11"/>
      <c r="R293" s="11"/>
      <c r="S293" s="11"/>
      <c r="T293" s="11"/>
      <c r="U293" s="11"/>
      <c r="V293" s="11"/>
      <c r="W293" s="11"/>
      <c r="X293" s="11"/>
      <c r="Y293" s="11"/>
      <c r="Z293" s="11"/>
    </row>
    <row r="294" spans="1:26" ht="14.25" customHeight="1">
      <c r="A294" s="11"/>
      <c r="B294" s="11"/>
      <c r="C294" s="11"/>
      <c r="D294" s="11"/>
      <c r="E294" s="11"/>
      <c r="F294" s="11"/>
      <c r="G294" s="11"/>
      <c r="H294" s="11"/>
      <c r="I294" s="46"/>
      <c r="J294" s="11"/>
      <c r="K294" s="11"/>
      <c r="L294" s="11"/>
      <c r="M294" s="11"/>
      <c r="N294" s="11"/>
      <c r="O294" s="11"/>
      <c r="P294" s="11"/>
      <c r="Q294" s="11"/>
      <c r="R294" s="11"/>
      <c r="S294" s="11"/>
      <c r="T294" s="11"/>
      <c r="U294" s="11"/>
      <c r="V294" s="11"/>
      <c r="W294" s="11"/>
      <c r="X294" s="11"/>
      <c r="Y294" s="11"/>
      <c r="Z294" s="11"/>
    </row>
    <row r="295" spans="1:26" ht="14.25" customHeight="1">
      <c r="A295" s="11"/>
      <c r="B295" s="11"/>
      <c r="C295" s="11"/>
      <c r="D295" s="11"/>
      <c r="E295" s="11"/>
      <c r="F295" s="11"/>
      <c r="G295" s="11"/>
      <c r="H295" s="11"/>
      <c r="I295" s="46"/>
      <c r="J295" s="11"/>
      <c r="K295" s="11"/>
      <c r="L295" s="11"/>
      <c r="M295" s="11"/>
      <c r="N295" s="11"/>
      <c r="O295" s="11"/>
      <c r="P295" s="11"/>
      <c r="Q295" s="11"/>
      <c r="R295" s="11"/>
      <c r="S295" s="11"/>
      <c r="T295" s="11"/>
      <c r="U295" s="11"/>
      <c r="V295" s="11"/>
      <c r="W295" s="11"/>
      <c r="X295" s="11"/>
      <c r="Y295" s="11"/>
      <c r="Z295" s="11"/>
    </row>
    <row r="296" spans="1:26" ht="14.25" customHeight="1">
      <c r="A296" s="11"/>
      <c r="B296" s="11"/>
      <c r="C296" s="11"/>
      <c r="D296" s="11"/>
      <c r="E296" s="11"/>
      <c r="F296" s="11"/>
      <c r="G296" s="11"/>
      <c r="H296" s="11"/>
      <c r="I296" s="46"/>
      <c r="J296" s="11"/>
      <c r="K296" s="11"/>
      <c r="L296" s="11"/>
      <c r="M296" s="11"/>
      <c r="N296" s="11"/>
      <c r="O296" s="11"/>
      <c r="P296" s="11"/>
      <c r="Q296" s="11"/>
      <c r="R296" s="11"/>
      <c r="S296" s="11"/>
      <c r="T296" s="11"/>
      <c r="U296" s="11"/>
      <c r="V296" s="11"/>
      <c r="W296" s="11"/>
      <c r="X296" s="11"/>
      <c r="Y296" s="11"/>
      <c r="Z296" s="11"/>
    </row>
    <row r="297" spans="1:26" ht="14.25" customHeight="1">
      <c r="A297" s="11"/>
      <c r="B297" s="11"/>
      <c r="C297" s="11"/>
      <c r="D297" s="11"/>
      <c r="E297" s="11"/>
      <c r="F297" s="11"/>
      <c r="G297" s="11"/>
      <c r="H297" s="11"/>
      <c r="I297" s="46"/>
      <c r="J297" s="11"/>
      <c r="K297" s="11"/>
      <c r="L297" s="11"/>
      <c r="M297" s="11"/>
      <c r="N297" s="11"/>
      <c r="O297" s="11"/>
      <c r="P297" s="11"/>
      <c r="Q297" s="11"/>
      <c r="R297" s="11"/>
      <c r="S297" s="11"/>
      <c r="T297" s="11"/>
      <c r="U297" s="11"/>
      <c r="V297" s="11"/>
      <c r="W297" s="11"/>
      <c r="X297" s="11"/>
      <c r="Y297" s="11"/>
      <c r="Z297" s="11"/>
    </row>
    <row r="298" spans="1:26" ht="14.25" customHeight="1">
      <c r="A298" s="11"/>
      <c r="B298" s="11"/>
      <c r="C298" s="11"/>
      <c r="D298" s="11"/>
      <c r="E298" s="11"/>
      <c r="F298" s="11"/>
      <c r="G298" s="11"/>
      <c r="H298" s="11"/>
      <c r="I298" s="46"/>
      <c r="J298" s="11"/>
      <c r="K298" s="11"/>
      <c r="L298" s="11"/>
      <c r="M298" s="11"/>
      <c r="N298" s="11"/>
      <c r="O298" s="11"/>
      <c r="P298" s="11"/>
      <c r="Q298" s="11"/>
      <c r="R298" s="11"/>
      <c r="S298" s="11"/>
      <c r="T298" s="11"/>
      <c r="U298" s="11"/>
      <c r="V298" s="11"/>
      <c r="W298" s="11"/>
      <c r="X298" s="11"/>
      <c r="Y298" s="11"/>
      <c r="Z298" s="11"/>
    </row>
    <row r="299" spans="1:26" ht="14.25" customHeight="1">
      <c r="A299" s="11"/>
      <c r="B299" s="11"/>
      <c r="C299" s="11"/>
      <c r="D299" s="11"/>
      <c r="E299" s="11"/>
      <c r="F299" s="11"/>
      <c r="G299" s="11"/>
      <c r="H299" s="11"/>
      <c r="I299" s="46"/>
      <c r="J299" s="11"/>
      <c r="K299" s="11"/>
      <c r="L299" s="11"/>
      <c r="M299" s="11"/>
      <c r="N299" s="11"/>
      <c r="O299" s="11"/>
      <c r="P299" s="11"/>
      <c r="Q299" s="11"/>
      <c r="R299" s="11"/>
      <c r="S299" s="11"/>
      <c r="T299" s="11"/>
      <c r="U299" s="11"/>
      <c r="V299" s="11"/>
      <c r="W299" s="11"/>
      <c r="X299" s="11"/>
      <c r="Y299" s="11"/>
      <c r="Z299" s="11"/>
    </row>
    <row r="300" spans="1:26" ht="14.25" customHeight="1">
      <c r="A300" s="11"/>
      <c r="B300" s="11"/>
      <c r="C300" s="11"/>
      <c r="D300" s="11"/>
      <c r="E300" s="11"/>
      <c r="F300" s="11"/>
      <c r="G300" s="11"/>
      <c r="H300" s="11"/>
      <c r="I300" s="46"/>
      <c r="J300" s="11"/>
      <c r="K300" s="11"/>
      <c r="L300" s="11"/>
      <c r="M300" s="11"/>
      <c r="N300" s="11"/>
      <c r="O300" s="11"/>
      <c r="P300" s="11"/>
      <c r="Q300" s="11"/>
      <c r="R300" s="11"/>
      <c r="S300" s="11"/>
      <c r="T300" s="11"/>
      <c r="U300" s="11"/>
      <c r="V300" s="11"/>
      <c r="W300" s="11"/>
      <c r="X300" s="11"/>
      <c r="Y300" s="11"/>
      <c r="Z300" s="11"/>
    </row>
    <row r="301" spans="1:26" ht="14.25" customHeight="1">
      <c r="A301" s="11"/>
      <c r="B301" s="11"/>
      <c r="C301" s="11"/>
      <c r="D301" s="11"/>
      <c r="E301" s="11"/>
      <c r="F301" s="11"/>
      <c r="G301" s="11"/>
      <c r="H301" s="11"/>
      <c r="I301" s="46"/>
      <c r="J301" s="11"/>
      <c r="K301" s="11"/>
      <c r="L301" s="11"/>
      <c r="M301" s="11"/>
      <c r="N301" s="11"/>
      <c r="O301" s="11"/>
      <c r="P301" s="11"/>
      <c r="Q301" s="11"/>
      <c r="R301" s="11"/>
      <c r="S301" s="11"/>
      <c r="T301" s="11"/>
      <c r="U301" s="11"/>
      <c r="V301" s="11"/>
      <c r="W301" s="11"/>
      <c r="X301" s="11"/>
      <c r="Y301" s="11"/>
      <c r="Z301" s="11"/>
    </row>
    <row r="302" spans="1:26" ht="14.25" customHeight="1">
      <c r="A302" s="11"/>
      <c r="B302" s="11"/>
      <c r="C302" s="11"/>
      <c r="D302" s="11"/>
      <c r="E302" s="11"/>
      <c r="F302" s="11"/>
      <c r="G302" s="11"/>
      <c r="H302" s="11"/>
      <c r="I302" s="46"/>
      <c r="J302" s="11"/>
      <c r="K302" s="11"/>
      <c r="L302" s="11"/>
      <c r="M302" s="11"/>
      <c r="N302" s="11"/>
      <c r="O302" s="11"/>
      <c r="P302" s="11"/>
      <c r="Q302" s="11"/>
      <c r="R302" s="11"/>
      <c r="S302" s="11"/>
      <c r="T302" s="11"/>
      <c r="U302" s="11"/>
      <c r="V302" s="11"/>
      <c r="W302" s="11"/>
      <c r="X302" s="11"/>
      <c r="Y302" s="11"/>
      <c r="Z302" s="11"/>
    </row>
    <row r="303" spans="1:26" ht="14.25" customHeight="1">
      <c r="A303" s="11"/>
      <c r="B303" s="11"/>
      <c r="C303" s="11"/>
      <c r="D303" s="11"/>
      <c r="E303" s="11"/>
      <c r="F303" s="11"/>
      <c r="G303" s="11"/>
      <c r="H303" s="11"/>
      <c r="I303" s="46"/>
      <c r="J303" s="11"/>
      <c r="K303" s="11"/>
      <c r="L303" s="11"/>
      <c r="M303" s="11"/>
      <c r="N303" s="11"/>
      <c r="O303" s="11"/>
      <c r="P303" s="11"/>
      <c r="Q303" s="11"/>
      <c r="R303" s="11"/>
      <c r="S303" s="11"/>
      <c r="T303" s="11"/>
      <c r="U303" s="11"/>
      <c r="V303" s="11"/>
      <c r="W303" s="11"/>
      <c r="X303" s="11"/>
      <c r="Y303" s="11"/>
      <c r="Z303" s="11"/>
    </row>
    <row r="304" spans="1:26" ht="14.25" customHeight="1">
      <c r="A304" s="11"/>
      <c r="B304" s="11"/>
      <c r="C304" s="11"/>
      <c r="D304" s="11"/>
      <c r="E304" s="11"/>
      <c r="F304" s="11"/>
      <c r="G304" s="11"/>
      <c r="H304" s="11"/>
      <c r="I304" s="46"/>
      <c r="J304" s="11"/>
      <c r="K304" s="11"/>
      <c r="L304" s="11"/>
      <c r="M304" s="11"/>
      <c r="N304" s="11"/>
      <c r="O304" s="11"/>
      <c r="P304" s="11"/>
      <c r="Q304" s="11"/>
      <c r="R304" s="11"/>
      <c r="S304" s="11"/>
      <c r="T304" s="11"/>
      <c r="U304" s="11"/>
      <c r="V304" s="11"/>
      <c r="W304" s="11"/>
      <c r="X304" s="11"/>
      <c r="Y304" s="11"/>
      <c r="Z304" s="11"/>
    </row>
    <row r="305" spans="1:26" ht="14.25" customHeight="1">
      <c r="A305" s="11"/>
      <c r="B305" s="11"/>
      <c r="C305" s="11"/>
      <c r="D305" s="11"/>
      <c r="E305" s="11"/>
      <c r="F305" s="11"/>
      <c r="G305" s="11"/>
      <c r="H305" s="11"/>
      <c r="I305" s="46"/>
      <c r="J305" s="11"/>
      <c r="K305" s="11"/>
      <c r="L305" s="11"/>
      <c r="M305" s="11"/>
      <c r="N305" s="11"/>
      <c r="O305" s="11"/>
      <c r="P305" s="11"/>
      <c r="Q305" s="11"/>
      <c r="R305" s="11"/>
      <c r="S305" s="11"/>
      <c r="T305" s="11"/>
      <c r="U305" s="11"/>
      <c r="V305" s="11"/>
      <c r="W305" s="11"/>
      <c r="X305" s="11"/>
      <c r="Y305" s="11"/>
      <c r="Z305" s="11"/>
    </row>
    <row r="306" spans="1:26" ht="14.25" customHeight="1">
      <c r="A306" s="11"/>
      <c r="B306" s="11"/>
      <c r="C306" s="11"/>
      <c r="D306" s="11"/>
      <c r="E306" s="11"/>
      <c r="F306" s="11"/>
      <c r="G306" s="11"/>
      <c r="H306" s="11"/>
      <c r="I306" s="46"/>
      <c r="J306" s="11"/>
      <c r="K306" s="11"/>
      <c r="L306" s="11"/>
      <c r="M306" s="11"/>
      <c r="N306" s="11"/>
      <c r="O306" s="11"/>
      <c r="P306" s="11"/>
      <c r="Q306" s="11"/>
      <c r="R306" s="11"/>
      <c r="S306" s="11"/>
      <c r="T306" s="11"/>
      <c r="U306" s="11"/>
      <c r="V306" s="11"/>
      <c r="W306" s="11"/>
      <c r="X306" s="11"/>
      <c r="Y306" s="11"/>
      <c r="Z306" s="11"/>
    </row>
    <row r="307" spans="1:26" ht="14.25" customHeight="1">
      <c r="A307" s="11"/>
      <c r="B307" s="11"/>
      <c r="C307" s="11"/>
      <c r="D307" s="11"/>
      <c r="E307" s="11"/>
      <c r="F307" s="11"/>
      <c r="G307" s="11"/>
      <c r="H307" s="11"/>
      <c r="I307" s="46"/>
      <c r="J307" s="11"/>
      <c r="K307" s="11"/>
      <c r="L307" s="11"/>
      <c r="M307" s="11"/>
      <c r="N307" s="11"/>
      <c r="O307" s="11"/>
      <c r="P307" s="11"/>
      <c r="Q307" s="11"/>
      <c r="R307" s="11"/>
      <c r="S307" s="11"/>
      <c r="T307" s="11"/>
      <c r="U307" s="11"/>
      <c r="V307" s="11"/>
      <c r="W307" s="11"/>
      <c r="X307" s="11"/>
      <c r="Y307" s="11"/>
      <c r="Z307" s="11"/>
    </row>
    <row r="308" spans="1:26" ht="14.25" customHeight="1">
      <c r="A308" s="11"/>
      <c r="B308" s="11"/>
      <c r="C308" s="11"/>
      <c r="D308" s="11"/>
      <c r="E308" s="11"/>
      <c r="F308" s="11"/>
      <c r="G308" s="11"/>
      <c r="H308" s="11"/>
      <c r="I308" s="46"/>
      <c r="J308" s="11"/>
      <c r="K308" s="11"/>
      <c r="L308" s="11"/>
      <c r="M308" s="11"/>
      <c r="N308" s="11"/>
      <c r="O308" s="11"/>
      <c r="P308" s="11"/>
      <c r="Q308" s="11"/>
      <c r="R308" s="11"/>
      <c r="S308" s="11"/>
      <c r="T308" s="11"/>
      <c r="U308" s="11"/>
      <c r="V308" s="11"/>
      <c r="W308" s="11"/>
      <c r="X308" s="11"/>
      <c r="Y308" s="11"/>
      <c r="Z308" s="11"/>
    </row>
    <row r="309" spans="1:26" ht="14.25" customHeight="1">
      <c r="A309" s="11"/>
      <c r="B309" s="11"/>
      <c r="C309" s="11"/>
      <c r="D309" s="11"/>
      <c r="E309" s="11"/>
      <c r="F309" s="11"/>
      <c r="G309" s="11"/>
      <c r="H309" s="11"/>
      <c r="I309" s="46"/>
      <c r="J309" s="11"/>
      <c r="K309" s="11"/>
      <c r="L309" s="11"/>
      <c r="M309" s="11"/>
      <c r="N309" s="11"/>
      <c r="O309" s="11"/>
      <c r="P309" s="11"/>
      <c r="Q309" s="11"/>
      <c r="R309" s="11"/>
      <c r="S309" s="11"/>
      <c r="T309" s="11"/>
      <c r="U309" s="11"/>
      <c r="V309" s="11"/>
      <c r="W309" s="11"/>
      <c r="X309" s="11"/>
      <c r="Y309" s="11"/>
      <c r="Z309" s="11"/>
    </row>
    <row r="310" spans="1:26" ht="14.25" customHeight="1">
      <c r="A310" s="11"/>
      <c r="B310" s="11"/>
      <c r="C310" s="11"/>
      <c r="D310" s="11"/>
      <c r="E310" s="11"/>
      <c r="F310" s="11"/>
      <c r="G310" s="11"/>
      <c r="H310" s="11"/>
      <c r="I310" s="46"/>
      <c r="J310" s="11"/>
      <c r="K310" s="11"/>
      <c r="L310" s="11"/>
      <c r="M310" s="11"/>
      <c r="N310" s="11"/>
      <c r="O310" s="11"/>
      <c r="P310" s="11"/>
      <c r="Q310" s="11"/>
      <c r="R310" s="11"/>
      <c r="S310" s="11"/>
      <c r="T310" s="11"/>
      <c r="U310" s="11"/>
      <c r="V310" s="11"/>
      <c r="W310" s="11"/>
      <c r="X310" s="11"/>
      <c r="Y310" s="11"/>
      <c r="Z310" s="11"/>
    </row>
    <row r="311" spans="1:26" ht="14.25" customHeight="1">
      <c r="A311" s="11"/>
      <c r="B311" s="11"/>
      <c r="C311" s="11"/>
      <c r="D311" s="11"/>
      <c r="E311" s="11"/>
      <c r="F311" s="11"/>
      <c r="G311" s="11"/>
      <c r="H311" s="11"/>
      <c r="I311" s="46"/>
      <c r="J311" s="11"/>
      <c r="K311" s="11"/>
      <c r="L311" s="11"/>
      <c r="M311" s="11"/>
      <c r="N311" s="11"/>
      <c r="O311" s="11"/>
      <c r="P311" s="11"/>
      <c r="Q311" s="11"/>
      <c r="R311" s="11"/>
      <c r="S311" s="11"/>
      <c r="T311" s="11"/>
      <c r="U311" s="11"/>
      <c r="V311" s="11"/>
      <c r="W311" s="11"/>
      <c r="X311" s="11"/>
      <c r="Y311" s="11"/>
      <c r="Z311" s="11"/>
    </row>
    <row r="312" spans="1:26" ht="14.25" customHeight="1">
      <c r="A312" s="11"/>
      <c r="B312" s="11"/>
      <c r="C312" s="11"/>
      <c r="D312" s="11"/>
      <c r="E312" s="11"/>
      <c r="F312" s="11"/>
      <c r="G312" s="11"/>
      <c r="H312" s="11"/>
      <c r="I312" s="46"/>
      <c r="J312" s="11"/>
      <c r="K312" s="11"/>
      <c r="L312" s="11"/>
      <c r="M312" s="11"/>
      <c r="N312" s="11"/>
      <c r="O312" s="11"/>
      <c r="P312" s="11"/>
      <c r="Q312" s="11"/>
      <c r="R312" s="11"/>
      <c r="S312" s="11"/>
      <c r="T312" s="11"/>
      <c r="U312" s="11"/>
      <c r="V312" s="11"/>
      <c r="W312" s="11"/>
      <c r="X312" s="11"/>
      <c r="Y312" s="11"/>
      <c r="Z312" s="11"/>
    </row>
    <row r="313" spans="1:26" ht="14.25" customHeight="1">
      <c r="A313" s="11"/>
      <c r="B313" s="11"/>
      <c r="C313" s="11"/>
      <c r="D313" s="11"/>
      <c r="E313" s="11"/>
      <c r="F313" s="11"/>
      <c r="G313" s="11"/>
      <c r="H313" s="11"/>
      <c r="I313" s="46"/>
      <c r="J313" s="11"/>
      <c r="K313" s="11"/>
      <c r="L313" s="11"/>
      <c r="M313" s="11"/>
      <c r="N313" s="11"/>
      <c r="O313" s="11"/>
      <c r="P313" s="11"/>
      <c r="Q313" s="11"/>
      <c r="R313" s="11"/>
      <c r="S313" s="11"/>
      <c r="T313" s="11"/>
      <c r="U313" s="11"/>
      <c r="V313" s="11"/>
      <c r="W313" s="11"/>
      <c r="X313" s="11"/>
      <c r="Y313" s="11"/>
      <c r="Z313" s="11"/>
    </row>
    <row r="314" spans="1:26" ht="14.25" customHeight="1">
      <c r="A314" s="11"/>
      <c r="B314" s="11"/>
      <c r="C314" s="11"/>
      <c r="D314" s="11"/>
      <c r="E314" s="11"/>
      <c r="F314" s="11"/>
      <c r="G314" s="11"/>
      <c r="H314" s="11"/>
      <c r="I314" s="46"/>
      <c r="J314" s="11"/>
      <c r="K314" s="11"/>
      <c r="L314" s="11"/>
      <c r="M314" s="11"/>
      <c r="N314" s="11"/>
      <c r="O314" s="11"/>
      <c r="P314" s="11"/>
      <c r="Q314" s="11"/>
      <c r="R314" s="11"/>
      <c r="S314" s="11"/>
      <c r="T314" s="11"/>
      <c r="U314" s="11"/>
      <c r="V314" s="11"/>
      <c r="W314" s="11"/>
      <c r="X314" s="11"/>
      <c r="Y314" s="11"/>
      <c r="Z314" s="11"/>
    </row>
    <row r="315" spans="1:26" ht="14.25" customHeight="1">
      <c r="A315" s="11"/>
      <c r="B315" s="11"/>
      <c r="C315" s="11"/>
      <c r="D315" s="11"/>
      <c r="E315" s="11"/>
      <c r="F315" s="11"/>
      <c r="G315" s="11"/>
      <c r="H315" s="11"/>
      <c r="I315" s="46"/>
      <c r="J315" s="11"/>
      <c r="K315" s="11"/>
      <c r="L315" s="11"/>
      <c r="M315" s="11"/>
      <c r="N315" s="11"/>
      <c r="O315" s="11"/>
      <c r="P315" s="11"/>
      <c r="Q315" s="11"/>
      <c r="R315" s="11"/>
      <c r="S315" s="11"/>
      <c r="T315" s="11"/>
      <c r="U315" s="11"/>
      <c r="V315" s="11"/>
      <c r="W315" s="11"/>
      <c r="X315" s="11"/>
      <c r="Y315" s="11"/>
      <c r="Z315" s="11"/>
    </row>
    <row r="316" spans="1:26" ht="14.25" customHeight="1">
      <c r="A316" s="11"/>
      <c r="B316" s="11"/>
      <c r="C316" s="11"/>
      <c r="D316" s="11"/>
      <c r="E316" s="11"/>
      <c r="F316" s="11"/>
      <c r="G316" s="11"/>
      <c r="H316" s="11"/>
      <c r="I316" s="46"/>
      <c r="J316" s="11"/>
      <c r="K316" s="11"/>
      <c r="L316" s="11"/>
      <c r="M316" s="11"/>
      <c r="N316" s="11"/>
      <c r="O316" s="11"/>
      <c r="P316" s="11"/>
      <c r="Q316" s="11"/>
      <c r="R316" s="11"/>
      <c r="S316" s="11"/>
      <c r="T316" s="11"/>
      <c r="U316" s="11"/>
      <c r="V316" s="11"/>
      <c r="W316" s="11"/>
      <c r="X316" s="11"/>
      <c r="Y316" s="11"/>
      <c r="Z316" s="11"/>
    </row>
    <row r="317" spans="1:26" ht="14.25" customHeight="1">
      <c r="A317" s="11"/>
      <c r="B317" s="11"/>
      <c r="C317" s="11"/>
      <c r="D317" s="11"/>
      <c r="E317" s="11"/>
      <c r="F317" s="11"/>
      <c r="G317" s="11"/>
      <c r="H317" s="11"/>
      <c r="I317" s="46"/>
      <c r="J317" s="11"/>
      <c r="K317" s="11"/>
      <c r="L317" s="11"/>
      <c r="M317" s="11"/>
      <c r="N317" s="11"/>
      <c r="O317" s="11"/>
      <c r="P317" s="11"/>
      <c r="Q317" s="11"/>
      <c r="R317" s="11"/>
      <c r="S317" s="11"/>
      <c r="T317" s="11"/>
      <c r="U317" s="11"/>
      <c r="V317" s="11"/>
      <c r="W317" s="11"/>
      <c r="X317" s="11"/>
      <c r="Y317" s="11"/>
      <c r="Z317" s="11"/>
    </row>
    <row r="318" spans="1:26" ht="14.25" customHeight="1">
      <c r="A318" s="11"/>
      <c r="B318" s="11"/>
      <c r="C318" s="11"/>
      <c r="D318" s="11"/>
      <c r="E318" s="11"/>
      <c r="F318" s="11"/>
      <c r="G318" s="11"/>
      <c r="H318" s="11"/>
      <c r="I318" s="46"/>
      <c r="J318" s="11"/>
      <c r="K318" s="11"/>
      <c r="L318" s="11"/>
      <c r="M318" s="11"/>
      <c r="N318" s="11"/>
      <c r="O318" s="11"/>
      <c r="P318" s="11"/>
      <c r="Q318" s="11"/>
      <c r="R318" s="11"/>
      <c r="S318" s="11"/>
      <c r="T318" s="11"/>
      <c r="U318" s="11"/>
      <c r="V318" s="11"/>
      <c r="W318" s="11"/>
      <c r="X318" s="11"/>
      <c r="Y318" s="11"/>
      <c r="Z318" s="11"/>
    </row>
    <row r="319" spans="1:26" ht="14.25" customHeight="1">
      <c r="A319" s="11"/>
      <c r="B319" s="11"/>
      <c r="C319" s="11"/>
      <c r="D319" s="11"/>
      <c r="E319" s="11"/>
      <c r="F319" s="11"/>
      <c r="G319" s="11"/>
      <c r="H319" s="11"/>
      <c r="I319" s="46"/>
      <c r="J319" s="11"/>
      <c r="K319" s="11"/>
      <c r="L319" s="11"/>
      <c r="M319" s="11"/>
      <c r="N319" s="11"/>
      <c r="O319" s="11"/>
      <c r="P319" s="11"/>
      <c r="Q319" s="11"/>
      <c r="R319" s="11"/>
      <c r="S319" s="11"/>
      <c r="T319" s="11"/>
      <c r="U319" s="11"/>
      <c r="V319" s="11"/>
      <c r="W319" s="11"/>
      <c r="X319" s="11"/>
      <c r="Y319" s="11"/>
      <c r="Z319" s="11"/>
    </row>
    <row r="320" spans="1:26" ht="14.25" customHeight="1">
      <c r="A320" s="11"/>
      <c r="B320" s="11"/>
      <c r="C320" s="11"/>
      <c r="D320" s="11"/>
      <c r="E320" s="11"/>
      <c r="F320" s="11"/>
      <c r="G320" s="11"/>
      <c r="H320" s="11"/>
      <c r="I320" s="46"/>
      <c r="J320" s="11"/>
      <c r="K320" s="11"/>
      <c r="L320" s="11"/>
      <c r="M320" s="11"/>
      <c r="N320" s="11"/>
      <c r="O320" s="11"/>
      <c r="P320" s="11"/>
      <c r="Q320" s="11"/>
      <c r="R320" s="11"/>
      <c r="S320" s="11"/>
      <c r="T320" s="11"/>
      <c r="U320" s="11"/>
      <c r="V320" s="11"/>
      <c r="W320" s="11"/>
      <c r="X320" s="11"/>
      <c r="Y320" s="11"/>
      <c r="Z320" s="11"/>
    </row>
    <row r="321" spans="1:26" ht="14.25" customHeight="1">
      <c r="A321" s="11"/>
      <c r="B321" s="11"/>
      <c r="C321" s="11"/>
      <c r="D321" s="11"/>
      <c r="E321" s="11"/>
      <c r="F321" s="11"/>
      <c r="G321" s="11"/>
      <c r="H321" s="11"/>
      <c r="I321" s="46"/>
      <c r="J321" s="11"/>
      <c r="K321" s="11"/>
      <c r="L321" s="11"/>
      <c r="M321" s="11"/>
      <c r="N321" s="11"/>
      <c r="O321" s="11"/>
      <c r="P321" s="11"/>
      <c r="Q321" s="11"/>
      <c r="R321" s="11"/>
      <c r="S321" s="11"/>
      <c r="T321" s="11"/>
      <c r="U321" s="11"/>
      <c r="V321" s="11"/>
      <c r="W321" s="11"/>
      <c r="X321" s="11"/>
      <c r="Y321" s="11"/>
      <c r="Z321" s="11"/>
    </row>
    <row r="322" spans="1:26" ht="14.25" customHeight="1">
      <c r="A322" s="11"/>
      <c r="B322" s="11"/>
      <c r="C322" s="11"/>
      <c r="D322" s="11"/>
      <c r="E322" s="11"/>
      <c r="F322" s="11"/>
      <c r="G322" s="11"/>
      <c r="H322" s="11"/>
      <c r="I322" s="46"/>
      <c r="J322" s="11"/>
      <c r="K322" s="11"/>
      <c r="L322" s="11"/>
      <c r="M322" s="11"/>
      <c r="N322" s="11"/>
      <c r="O322" s="11"/>
      <c r="P322" s="11"/>
      <c r="Q322" s="11"/>
      <c r="R322" s="11"/>
      <c r="S322" s="11"/>
      <c r="T322" s="11"/>
      <c r="U322" s="11"/>
      <c r="V322" s="11"/>
      <c r="W322" s="11"/>
      <c r="X322" s="11"/>
      <c r="Y322" s="11"/>
      <c r="Z322" s="11"/>
    </row>
    <row r="323" spans="1:26" ht="14.25" customHeight="1">
      <c r="A323" s="11"/>
      <c r="B323" s="11"/>
      <c r="C323" s="11"/>
      <c r="D323" s="11"/>
      <c r="E323" s="11"/>
      <c r="F323" s="11"/>
      <c r="G323" s="11"/>
      <c r="H323" s="11"/>
      <c r="I323" s="46"/>
      <c r="J323" s="11"/>
      <c r="K323" s="11"/>
      <c r="L323" s="11"/>
      <c r="M323" s="11"/>
      <c r="N323" s="11"/>
      <c r="O323" s="11"/>
      <c r="P323" s="11"/>
      <c r="Q323" s="11"/>
      <c r="R323" s="11"/>
      <c r="S323" s="11"/>
      <c r="T323" s="11"/>
      <c r="U323" s="11"/>
      <c r="V323" s="11"/>
      <c r="W323" s="11"/>
      <c r="X323" s="11"/>
      <c r="Y323" s="11"/>
      <c r="Z323" s="11"/>
    </row>
    <row r="324" spans="1:26" ht="14.25" customHeight="1">
      <c r="A324" s="11"/>
      <c r="B324" s="11"/>
      <c r="C324" s="11"/>
      <c r="D324" s="11"/>
      <c r="E324" s="11"/>
      <c r="F324" s="11"/>
      <c r="G324" s="11"/>
      <c r="H324" s="11"/>
      <c r="I324" s="46"/>
      <c r="J324" s="11"/>
      <c r="K324" s="11"/>
      <c r="L324" s="11"/>
      <c r="M324" s="11"/>
      <c r="N324" s="11"/>
      <c r="O324" s="11"/>
      <c r="P324" s="11"/>
      <c r="Q324" s="11"/>
      <c r="R324" s="11"/>
      <c r="S324" s="11"/>
      <c r="T324" s="11"/>
      <c r="U324" s="11"/>
      <c r="V324" s="11"/>
      <c r="W324" s="11"/>
      <c r="X324" s="11"/>
      <c r="Y324" s="11"/>
      <c r="Z324" s="11"/>
    </row>
    <row r="325" spans="1:26" ht="14.25" customHeight="1">
      <c r="A325" s="11"/>
      <c r="B325" s="11"/>
      <c r="C325" s="11"/>
      <c r="D325" s="11"/>
      <c r="E325" s="11"/>
      <c r="F325" s="11"/>
      <c r="G325" s="11"/>
      <c r="H325" s="11"/>
      <c r="I325" s="46"/>
      <c r="J325" s="11"/>
      <c r="K325" s="11"/>
      <c r="L325" s="11"/>
      <c r="M325" s="11"/>
      <c r="N325" s="11"/>
      <c r="O325" s="11"/>
      <c r="P325" s="11"/>
      <c r="Q325" s="11"/>
      <c r="R325" s="11"/>
      <c r="S325" s="11"/>
      <c r="T325" s="11"/>
      <c r="U325" s="11"/>
      <c r="V325" s="11"/>
      <c r="W325" s="11"/>
      <c r="X325" s="11"/>
      <c r="Y325" s="11"/>
      <c r="Z325" s="11"/>
    </row>
    <row r="326" spans="1:26" ht="14.25" customHeight="1">
      <c r="A326" s="11"/>
      <c r="B326" s="11"/>
      <c r="C326" s="11"/>
      <c r="D326" s="11"/>
      <c r="E326" s="11"/>
      <c r="F326" s="11"/>
      <c r="G326" s="11"/>
      <c r="H326" s="11"/>
      <c r="I326" s="46"/>
      <c r="J326" s="11"/>
      <c r="K326" s="11"/>
      <c r="L326" s="11"/>
      <c r="M326" s="11"/>
      <c r="N326" s="11"/>
      <c r="O326" s="11"/>
      <c r="P326" s="11"/>
      <c r="Q326" s="11"/>
      <c r="R326" s="11"/>
      <c r="S326" s="11"/>
      <c r="T326" s="11"/>
      <c r="U326" s="11"/>
      <c r="V326" s="11"/>
      <c r="W326" s="11"/>
      <c r="X326" s="11"/>
      <c r="Y326" s="11"/>
      <c r="Z326" s="11"/>
    </row>
    <row r="327" spans="1:26" ht="14.25" customHeight="1">
      <c r="A327" s="11"/>
      <c r="B327" s="11"/>
      <c r="C327" s="11"/>
      <c r="D327" s="11"/>
      <c r="E327" s="11"/>
      <c r="F327" s="11"/>
      <c r="G327" s="11"/>
      <c r="H327" s="11"/>
      <c r="I327" s="46"/>
      <c r="J327" s="11"/>
      <c r="K327" s="11"/>
      <c r="L327" s="11"/>
      <c r="M327" s="11"/>
      <c r="N327" s="11"/>
      <c r="O327" s="11"/>
      <c r="P327" s="11"/>
      <c r="Q327" s="11"/>
      <c r="R327" s="11"/>
      <c r="S327" s="11"/>
      <c r="T327" s="11"/>
      <c r="U327" s="11"/>
      <c r="V327" s="11"/>
      <c r="W327" s="11"/>
      <c r="X327" s="11"/>
      <c r="Y327" s="11"/>
      <c r="Z327" s="11"/>
    </row>
    <row r="328" spans="1:26" ht="14.25" customHeight="1">
      <c r="A328" s="11"/>
      <c r="B328" s="11"/>
      <c r="C328" s="11"/>
      <c r="D328" s="11"/>
      <c r="E328" s="11"/>
      <c r="F328" s="11"/>
      <c r="G328" s="11"/>
      <c r="H328" s="11"/>
      <c r="I328" s="46"/>
      <c r="J328" s="11"/>
      <c r="K328" s="11"/>
      <c r="L328" s="11"/>
      <c r="M328" s="11"/>
      <c r="N328" s="11"/>
      <c r="O328" s="11"/>
      <c r="P328" s="11"/>
      <c r="Q328" s="11"/>
      <c r="R328" s="11"/>
      <c r="S328" s="11"/>
      <c r="T328" s="11"/>
      <c r="U328" s="11"/>
      <c r="V328" s="11"/>
      <c r="W328" s="11"/>
      <c r="X328" s="11"/>
      <c r="Y328" s="11"/>
      <c r="Z328" s="11"/>
    </row>
    <row r="329" spans="1:26" ht="14.25" customHeight="1">
      <c r="A329" s="11"/>
      <c r="B329" s="11"/>
      <c r="C329" s="11"/>
      <c r="D329" s="11"/>
      <c r="E329" s="11"/>
      <c r="F329" s="11"/>
      <c r="G329" s="11"/>
      <c r="H329" s="11"/>
      <c r="I329" s="46"/>
      <c r="J329" s="11"/>
      <c r="K329" s="11"/>
      <c r="L329" s="11"/>
      <c r="M329" s="11"/>
      <c r="N329" s="11"/>
      <c r="O329" s="11"/>
      <c r="P329" s="11"/>
      <c r="Q329" s="11"/>
      <c r="R329" s="11"/>
      <c r="S329" s="11"/>
      <c r="T329" s="11"/>
      <c r="U329" s="11"/>
      <c r="V329" s="11"/>
      <c r="W329" s="11"/>
      <c r="X329" s="11"/>
      <c r="Y329" s="11"/>
      <c r="Z329" s="11"/>
    </row>
    <row r="330" spans="1:26" ht="14.25" customHeight="1">
      <c r="A330" s="11"/>
      <c r="B330" s="11"/>
      <c r="C330" s="11"/>
      <c r="D330" s="11"/>
      <c r="E330" s="11"/>
      <c r="F330" s="11"/>
      <c r="G330" s="11"/>
      <c r="H330" s="11"/>
      <c r="I330" s="46"/>
      <c r="J330" s="11"/>
      <c r="K330" s="11"/>
      <c r="L330" s="11"/>
      <c r="M330" s="11"/>
      <c r="N330" s="11"/>
      <c r="O330" s="11"/>
      <c r="P330" s="11"/>
      <c r="Q330" s="11"/>
      <c r="R330" s="11"/>
      <c r="S330" s="11"/>
      <c r="T330" s="11"/>
      <c r="U330" s="11"/>
      <c r="V330" s="11"/>
      <c r="W330" s="11"/>
      <c r="X330" s="11"/>
      <c r="Y330" s="11"/>
      <c r="Z330" s="11"/>
    </row>
    <row r="331" spans="1:26" ht="14.25" customHeight="1">
      <c r="A331" s="11"/>
      <c r="B331" s="11"/>
      <c r="C331" s="11"/>
      <c r="D331" s="11"/>
      <c r="E331" s="11"/>
      <c r="F331" s="11"/>
      <c r="G331" s="11"/>
      <c r="H331" s="11"/>
      <c r="I331" s="46"/>
      <c r="J331" s="11"/>
      <c r="K331" s="11"/>
      <c r="L331" s="11"/>
      <c r="M331" s="11"/>
      <c r="N331" s="11"/>
      <c r="O331" s="11"/>
      <c r="P331" s="11"/>
      <c r="Q331" s="11"/>
      <c r="R331" s="11"/>
      <c r="S331" s="11"/>
      <c r="T331" s="11"/>
      <c r="U331" s="11"/>
      <c r="V331" s="11"/>
      <c r="W331" s="11"/>
      <c r="X331" s="11"/>
      <c r="Y331" s="11"/>
      <c r="Z331" s="11"/>
    </row>
    <row r="332" spans="1:26" ht="14.25" customHeight="1">
      <c r="A332" s="11"/>
      <c r="B332" s="11"/>
      <c r="C332" s="11"/>
      <c r="D332" s="11"/>
      <c r="E332" s="11"/>
      <c r="F332" s="11"/>
      <c r="G332" s="11"/>
      <c r="H332" s="11"/>
      <c r="I332" s="46"/>
      <c r="J332" s="11"/>
      <c r="K332" s="11"/>
      <c r="L332" s="11"/>
      <c r="M332" s="11"/>
      <c r="N332" s="11"/>
      <c r="O332" s="11"/>
      <c r="P332" s="11"/>
      <c r="Q332" s="11"/>
      <c r="R332" s="11"/>
      <c r="S332" s="11"/>
      <c r="T332" s="11"/>
      <c r="U332" s="11"/>
      <c r="V332" s="11"/>
      <c r="W332" s="11"/>
      <c r="X332" s="11"/>
      <c r="Y332" s="11"/>
      <c r="Z332" s="11"/>
    </row>
    <row r="333" spans="1:26" ht="14.25" customHeight="1">
      <c r="A333" s="11"/>
      <c r="B333" s="11"/>
      <c r="C333" s="11"/>
      <c r="D333" s="11"/>
      <c r="E333" s="11"/>
      <c r="F333" s="11"/>
      <c r="G333" s="11"/>
      <c r="H333" s="11"/>
      <c r="I333" s="46"/>
      <c r="J333" s="11"/>
      <c r="K333" s="11"/>
      <c r="L333" s="11"/>
      <c r="M333" s="11"/>
      <c r="N333" s="11"/>
      <c r="O333" s="11"/>
      <c r="P333" s="11"/>
      <c r="Q333" s="11"/>
      <c r="R333" s="11"/>
      <c r="S333" s="11"/>
      <c r="T333" s="11"/>
      <c r="U333" s="11"/>
      <c r="V333" s="11"/>
      <c r="W333" s="11"/>
      <c r="X333" s="11"/>
      <c r="Y333" s="11"/>
      <c r="Z333" s="11"/>
    </row>
    <row r="334" spans="1:26" ht="14.25" customHeight="1">
      <c r="A334" s="11"/>
      <c r="B334" s="11"/>
      <c r="C334" s="11"/>
      <c r="D334" s="11"/>
      <c r="E334" s="11"/>
      <c r="F334" s="11"/>
      <c r="G334" s="11"/>
      <c r="H334" s="11"/>
      <c r="I334" s="46"/>
      <c r="J334" s="11"/>
      <c r="K334" s="11"/>
      <c r="L334" s="11"/>
      <c r="M334" s="11"/>
      <c r="N334" s="11"/>
      <c r="O334" s="11"/>
      <c r="P334" s="11"/>
      <c r="Q334" s="11"/>
      <c r="R334" s="11"/>
      <c r="S334" s="11"/>
      <c r="T334" s="11"/>
      <c r="U334" s="11"/>
      <c r="V334" s="11"/>
      <c r="W334" s="11"/>
      <c r="X334" s="11"/>
      <c r="Y334" s="11"/>
      <c r="Z334" s="11"/>
    </row>
    <row r="335" spans="1:26" ht="14.25" customHeight="1">
      <c r="A335" s="11"/>
      <c r="B335" s="11"/>
      <c r="C335" s="11"/>
      <c r="D335" s="11"/>
      <c r="E335" s="11"/>
      <c r="F335" s="11"/>
      <c r="G335" s="11"/>
      <c r="H335" s="11"/>
      <c r="I335" s="46"/>
      <c r="J335" s="11"/>
      <c r="K335" s="11"/>
      <c r="L335" s="11"/>
      <c r="M335" s="11"/>
      <c r="N335" s="11"/>
      <c r="O335" s="11"/>
      <c r="P335" s="11"/>
      <c r="Q335" s="11"/>
      <c r="R335" s="11"/>
      <c r="S335" s="11"/>
      <c r="T335" s="11"/>
      <c r="U335" s="11"/>
      <c r="V335" s="11"/>
      <c r="W335" s="11"/>
      <c r="X335" s="11"/>
      <c r="Y335" s="11"/>
      <c r="Z335" s="11"/>
    </row>
    <row r="336" spans="1:26" ht="14.25" customHeight="1">
      <c r="A336" s="11"/>
      <c r="B336" s="11"/>
      <c r="C336" s="11"/>
      <c r="D336" s="11"/>
      <c r="E336" s="11"/>
      <c r="F336" s="11"/>
      <c r="G336" s="11"/>
      <c r="H336" s="11"/>
      <c r="I336" s="46"/>
      <c r="J336" s="11"/>
      <c r="K336" s="11"/>
      <c r="L336" s="11"/>
      <c r="M336" s="11"/>
      <c r="N336" s="11"/>
      <c r="O336" s="11"/>
      <c r="P336" s="11"/>
      <c r="Q336" s="11"/>
      <c r="R336" s="11"/>
      <c r="S336" s="11"/>
      <c r="T336" s="11"/>
      <c r="U336" s="11"/>
      <c r="V336" s="11"/>
      <c r="W336" s="11"/>
      <c r="X336" s="11"/>
      <c r="Y336" s="11"/>
      <c r="Z336" s="11"/>
    </row>
    <row r="337" spans="1:26" ht="14.25" customHeight="1">
      <c r="A337" s="11"/>
      <c r="B337" s="11"/>
      <c r="C337" s="11"/>
      <c r="D337" s="11"/>
      <c r="E337" s="11"/>
      <c r="F337" s="11"/>
      <c r="G337" s="11"/>
      <c r="H337" s="11"/>
      <c r="I337" s="46"/>
      <c r="J337" s="11"/>
      <c r="K337" s="11"/>
      <c r="L337" s="11"/>
      <c r="M337" s="11"/>
      <c r="N337" s="11"/>
      <c r="O337" s="11"/>
      <c r="P337" s="11"/>
      <c r="Q337" s="11"/>
      <c r="R337" s="11"/>
      <c r="S337" s="11"/>
      <c r="T337" s="11"/>
      <c r="U337" s="11"/>
      <c r="V337" s="11"/>
      <c r="W337" s="11"/>
      <c r="X337" s="11"/>
      <c r="Y337" s="11"/>
      <c r="Z337" s="11"/>
    </row>
    <row r="338" spans="1:26" ht="14.25" customHeight="1">
      <c r="A338" s="11"/>
      <c r="B338" s="11"/>
      <c r="C338" s="11"/>
      <c r="D338" s="11"/>
      <c r="E338" s="11"/>
      <c r="F338" s="11"/>
      <c r="G338" s="11"/>
      <c r="H338" s="11"/>
      <c r="I338" s="46"/>
      <c r="J338" s="11"/>
      <c r="K338" s="11"/>
      <c r="L338" s="11"/>
      <c r="M338" s="11"/>
      <c r="N338" s="11"/>
      <c r="O338" s="11"/>
      <c r="P338" s="11"/>
      <c r="Q338" s="11"/>
      <c r="R338" s="11"/>
      <c r="S338" s="11"/>
      <c r="T338" s="11"/>
      <c r="U338" s="11"/>
      <c r="V338" s="11"/>
      <c r="W338" s="11"/>
      <c r="X338" s="11"/>
      <c r="Y338" s="11"/>
      <c r="Z338" s="11"/>
    </row>
    <row r="339" spans="1:26" ht="14.25" customHeight="1">
      <c r="A339" s="11"/>
      <c r="B339" s="11"/>
      <c r="C339" s="11"/>
      <c r="D339" s="11"/>
      <c r="E339" s="11"/>
      <c r="F339" s="11"/>
      <c r="G339" s="11"/>
      <c r="H339" s="11"/>
      <c r="I339" s="46"/>
      <c r="J339" s="11"/>
      <c r="K339" s="11"/>
      <c r="L339" s="11"/>
      <c r="M339" s="11"/>
      <c r="N339" s="11"/>
      <c r="O339" s="11"/>
      <c r="P339" s="11"/>
      <c r="Q339" s="11"/>
      <c r="R339" s="11"/>
      <c r="S339" s="11"/>
      <c r="T339" s="11"/>
      <c r="U339" s="11"/>
      <c r="V339" s="11"/>
      <c r="W339" s="11"/>
      <c r="X339" s="11"/>
      <c r="Y339" s="11"/>
      <c r="Z339" s="11"/>
    </row>
    <row r="340" spans="1:26" ht="14.25" customHeight="1">
      <c r="A340" s="11"/>
      <c r="B340" s="11"/>
      <c r="C340" s="11"/>
      <c r="D340" s="11"/>
      <c r="E340" s="11"/>
      <c r="F340" s="11"/>
      <c r="G340" s="11"/>
      <c r="H340" s="11"/>
      <c r="I340" s="46"/>
      <c r="J340" s="11"/>
      <c r="K340" s="11"/>
      <c r="L340" s="11"/>
      <c r="M340" s="11"/>
      <c r="N340" s="11"/>
      <c r="O340" s="11"/>
      <c r="P340" s="11"/>
      <c r="Q340" s="11"/>
      <c r="R340" s="11"/>
      <c r="S340" s="11"/>
      <c r="T340" s="11"/>
      <c r="U340" s="11"/>
      <c r="V340" s="11"/>
      <c r="W340" s="11"/>
      <c r="X340" s="11"/>
      <c r="Y340" s="11"/>
      <c r="Z340" s="11"/>
    </row>
    <row r="341" spans="1:26" ht="14.25" customHeight="1">
      <c r="A341" s="11"/>
      <c r="B341" s="11"/>
      <c r="C341" s="11"/>
      <c r="D341" s="11"/>
      <c r="E341" s="11"/>
      <c r="F341" s="11"/>
      <c r="G341" s="11"/>
      <c r="H341" s="11"/>
      <c r="I341" s="46"/>
      <c r="J341" s="11"/>
      <c r="K341" s="11"/>
      <c r="L341" s="11"/>
      <c r="M341" s="11"/>
      <c r="N341" s="11"/>
      <c r="O341" s="11"/>
      <c r="P341" s="11"/>
      <c r="Q341" s="11"/>
      <c r="R341" s="11"/>
      <c r="S341" s="11"/>
      <c r="T341" s="11"/>
      <c r="U341" s="11"/>
      <c r="V341" s="11"/>
      <c r="W341" s="11"/>
      <c r="X341" s="11"/>
      <c r="Y341" s="11"/>
      <c r="Z341" s="11"/>
    </row>
    <row r="342" spans="1:26" ht="14.25" customHeight="1">
      <c r="A342" s="11"/>
      <c r="B342" s="11"/>
      <c r="C342" s="11"/>
      <c r="D342" s="11"/>
      <c r="E342" s="11"/>
      <c r="F342" s="11"/>
      <c r="G342" s="11"/>
      <c r="H342" s="11"/>
      <c r="I342" s="46"/>
      <c r="J342" s="11"/>
      <c r="K342" s="11"/>
      <c r="L342" s="11"/>
      <c r="M342" s="11"/>
      <c r="N342" s="11"/>
      <c r="O342" s="11"/>
      <c r="P342" s="11"/>
      <c r="Q342" s="11"/>
      <c r="R342" s="11"/>
      <c r="S342" s="11"/>
      <c r="T342" s="11"/>
      <c r="U342" s="11"/>
      <c r="V342" s="11"/>
      <c r="W342" s="11"/>
      <c r="X342" s="11"/>
      <c r="Y342" s="11"/>
      <c r="Z342" s="11"/>
    </row>
    <row r="343" spans="1:26" ht="14.25" customHeight="1">
      <c r="A343" s="11"/>
      <c r="B343" s="11"/>
      <c r="C343" s="11"/>
      <c r="D343" s="11"/>
      <c r="E343" s="11"/>
      <c r="F343" s="11"/>
      <c r="G343" s="11"/>
      <c r="H343" s="11"/>
      <c r="I343" s="46"/>
      <c r="J343" s="11"/>
      <c r="K343" s="11"/>
      <c r="L343" s="11"/>
      <c r="M343" s="11"/>
      <c r="N343" s="11"/>
      <c r="O343" s="11"/>
      <c r="P343" s="11"/>
      <c r="Q343" s="11"/>
      <c r="R343" s="11"/>
      <c r="S343" s="11"/>
      <c r="T343" s="11"/>
      <c r="U343" s="11"/>
      <c r="V343" s="11"/>
      <c r="W343" s="11"/>
      <c r="X343" s="11"/>
      <c r="Y343" s="11"/>
      <c r="Z343" s="11"/>
    </row>
    <row r="344" spans="1:26" ht="14.25" customHeight="1">
      <c r="A344" s="11"/>
      <c r="B344" s="11"/>
      <c r="C344" s="11"/>
      <c r="D344" s="11"/>
      <c r="E344" s="11"/>
      <c r="F344" s="11"/>
      <c r="G344" s="11"/>
      <c r="H344" s="11"/>
      <c r="I344" s="46"/>
      <c r="J344" s="11"/>
      <c r="K344" s="11"/>
      <c r="L344" s="11"/>
      <c r="M344" s="11"/>
      <c r="N344" s="11"/>
      <c r="O344" s="11"/>
      <c r="P344" s="11"/>
      <c r="Q344" s="11"/>
      <c r="R344" s="11"/>
      <c r="S344" s="11"/>
      <c r="T344" s="11"/>
      <c r="U344" s="11"/>
      <c r="V344" s="11"/>
      <c r="W344" s="11"/>
      <c r="X344" s="11"/>
      <c r="Y344" s="11"/>
      <c r="Z344" s="11"/>
    </row>
    <row r="345" spans="1:26" ht="14.25" customHeight="1">
      <c r="A345" s="11"/>
      <c r="B345" s="11"/>
      <c r="C345" s="11"/>
      <c r="D345" s="11"/>
      <c r="E345" s="11"/>
      <c r="F345" s="11"/>
      <c r="G345" s="11"/>
      <c r="H345" s="11"/>
      <c r="I345" s="46"/>
      <c r="J345" s="11"/>
      <c r="K345" s="11"/>
      <c r="L345" s="11"/>
      <c r="M345" s="11"/>
      <c r="N345" s="11"/>
      <c r="O345" s="11"/>
      <c r="P345" s="11"/>
      <c r="Q345" s="11"/>
      <c r="R345" s="11"/>
      <c r="S345" s="11"/>
      <c r="T345" s="11"/>
      <c r="U345" s="11"/>
      <c r="V345" s="11"/>
      <c r="W345" s="11"/>
      <c r="X345" s="11"/>
      <c r="Y345" s="11"/>
      <c r="Z345" s="11"/>
    </row>
    <row r="346" spans="1:26" ht="14.25" customHeight="1">
      <c r="A346" s="11"/>
      <c r="B346" s="11"/>
      <c r="C346" s="11"/>
      <c r="D346" s="11"/>
      <c r="E346" s="11"/>
      <c r="F346" s="11"/>
      <c r="G346" s="11"/>
      <c r="H346" s="11"/>
      <c r="I346" s="46"/>
      <c r="J346" s="11"/>
      <c r="K346" s="11"/>
      <c r="L346" s="11"/>
      <c r="M346" s="11"/>
      <c r="N346" s="11"/>
      <c r="O346" s="11"/>
      <c r="P346" s="11"/>
      <c r="Q346" s="11"/>
      <c r="R346" s="11"/>
      <c r="S346" s="11"/>
      <c r="T346" s="11"/>
      <c r="U346" s="11"/>
      <c r="V346" s="11"/>
      <c r="W346" s="11"/>
      <c r="X346" s="11"/>
      <c r="Y346" s="11"/>
      <c r="Z346" s="11"/>
    </row>
    <row r="347" spans="1:26" ht="14.25" customHeight="1">
      <c r="A347" s="11"/>
      <c r="B347" s="11"/>
      <c r="C347" s="11"/>
      <c r="D347" s="11"/>
      <c r="E347" s="11"/>
      <c r="F347" s="11"/>
      <c r="G347" s="11"/>
      <c r="H347" s="11"/>
      <c r="I347" s="46"/>
      <c r="J347" s="11"/>
      <c r="K347" s="11"/>
      <c r="L347" s="11"/>
      <c r="M347" s="11"/>
      <c r="N347" s="11"/>
      <c r="O347" s="11"/>
      <c r="P347" s="11"/>
      <c r="Q347" s="11"/>
      <c r="R347" s="11"/>
      <c r="S347" s="11"/>
      <c r="T347" s="11"/>
      <c r="U347" s="11"/>
      <c r="V347" s="11"/>
      <c r="W347" s="11"/>
      <c r="X347" s="11"/>
      <c r="Y347" s="11"/>
      <c r="Z347" s="11"/>
    </row>
    <row r="348" spans="1:26" ht="14.25" customHeight="1">
      <c r="A348" s="11"/>
      <c r="B348" s="11"/>
      <c r="C348" s="11"/>
      <c r="D348" s="11"/>
      <c r="E348" s="11"/>
      <c r="F348" s="11"/>
      <c r="G348" s="11"/>
      <c r="H348" s="11"/>
      <c r="I348" s="46"/>
      <c r="J348" s="11"/>
      <c r="K348" s="11"/>
      <c r="L348" s="11"/>
      <c r="M348" s="11"/>
      <c r="N348" s="11"/>
      <c r="O348" s="11"/>
      <c r="P348" s="11"/>
      <c r="Q348" s="11"/>
      <c r="R348" s="11"/>
      <c r="S348" s="11"/>
      <c r="T348" s="11"/>
      <c r="U348" s="11"/>
      <c r="V348" s="11"/>
      <c r="W348" s="11"/>
      <c r="X348" s="11"/>
      <c r="Y348" s="11"/>
      <c r="Z348" s="11"/>
    </row>
    <row r="349" spans="1:26" ht="14.25" customHeight="1">
      <c r="A349" s="11"/>
      <c r="B349" s="11"/>
      <c r="C349" s="11"/>
      <c r="D349" s="11"/>
      <c r="E349" s="11"/>
      <c r="F349" s="11"/>
      <c r="G349" s="11"/>
      <c r="H349" s="11"/>
      <c r="I349" s="46"/>
      <c r="J349" s="11"/>
      <c r="K349" s="11"/>
      <c r="L349" s="11"/>
      <c r="M349" s="11"/>
      <c r="N349" s="11"/>
      <c r="O349" s="11"/>
      <c r="P349" s="11"/>
      <c r="Q349" s="11"/>
      <c r="R349" s="11"/>
      <c r="S349" s="11"/>
      <c r="T349" s="11"/>
      <c r="U349" s="11"/>
      <c r="V349" s="11"/>
      <c r="W349" s="11"/>
      <c r="X349" s="11"/>
      <c r="Y349" s="11"/>
      <c r="Z349" s="11"/>
    </row>
    <row r="350" spans="1:26" ht="14.25" customHeight="1">
      <c r="A350" s="11"/>
      <c r="B350" s="11"/>
      <c r="C350" s="11"/>
      <c r="D350" s="11"/>
      <c r="E350" s="11"/>
      <c r="F350" s="11"/>
      <c r="G350" s="11"/>
      <c r="H350" s="11"/>
      <c r="I350" s="46"/>
      <c r="J350" s="11"/>
      <c r="K350" s="11"/>
      <c r="L350" s="11"/>
      <c r="M350" s="11"/>
      <c r="N350" s="11"/>
      <c r="O350" s="11"/>
      <c r="P350" s="11"/>
      <c r="Q350" s="11"/>
      <c r="R350" s="11"/>
      <c r="S350" s="11"/>
      <c r="T350" s="11"/>
      <c r="U350" s="11"/>
      <c r="V350" s="11"/>
      <c r="W350" s="11"/>
      <c r="X350" s="11"/>
      <c r="Y350" s="11"/>
      <c r="Z350" s="11"/>
    </row>
    <row r="351" spans="1:26" ht="14.25" customHeight="1">
      <c r="A351" s="11"/>
      <c r="B351" s="11"/>
      <c r="C351" s="11"/>
      <c r="D351" s="11"/>
      <c r="E351" s="11"/>
      <c r="F351" s="11"/>
      <c r="G351" s="11"/>
      <c r="H351" s="11"/>
      <c r="I351" s="46"/>
      <c r="J351" s="11"/>
      <c r="K351" s="11"/>
      <c r="L351" s="11"/>
      <c r="M351" s="11"/>
      <c r="N351" s="11"/>
      <c r="O351" s="11"/>
      <c r="P351" s="11"/>
      <c r="Q351" s="11"/>
      <c r="R351" s="11"/>
      <c r="S351" s="11"/>
      <c r="T351" s="11"/>
      <c r="U351" s="11"/>
      <c r="V351" s="11"/>
      <c r="W351" s="11"/>
      <c r="X351" s="11"/>
      <c r="Y351" s="11"/>
      <c r="Z351" s="11"/>
    </row>
    <row r="352" spans="1:26" ht="14.25" customHeight="1">
      <c r="A352" s="11"/>
      <c r="B352" s="11"/>
      <c r="C352" s="11"/>
      <c r="D352" s="11"/>
      <c r="E352" s="11"/>
      <c r="F352" s="11"/>
      <c r="G352" s="11"/>
      <c r="H352" s="11"/>
      <c r="I352" s="46"/>
      <c r="J352" s="11"/>
      <c r="K352" s="11"/>
      <c r="L352" s="11"/>
      <c r="M352" s="11"/>
      <c r="N352" s="11"/>
      <c r="O352" s="11"/>
      <c r="P352" s="11"/>
      <c r="Q352" s="11"/>
      <c r="R352" s="11"/>
      <c r="S352" s="11"/>
      <c r="T352" s="11"/>
      <c r="U352" s="11"/>
      <c r="V352" s="11"/>
      <c r="W352" s="11"/>
      <c r="X352" s="11"/>
      <c r="Y352" s="11"/>
      <c r="Z352" s="11"/>
    </row>
    <row r="353" spans="1:26" ht="14.25" customHeight="1">
      <c r="A353" s="11"/>
      <c r="B353" s="11"/>
      <c r="C353" s="11"/>
      <c r="D353" s="11"/>
      <c r="E353" s="11"/>
      <c r="F353" s="11"/>
      <c r="G353" s="11"/>
      <c r="H353" s="11"/>
      <c r="I353" s="46"/>
      <c r="J353" s="11"/>
      <c r="K353" s="11"/>
      <c r="L353" s="11"/>
      <c r="M353" s="11"/>
      <c r="N353" s="11"/>
      <c r="O353" s="11"/>
      <c r="P353" s="11"/>
      <c r="Q353" s="11"/>
      <c r="R353" s="11"/>
      <c r="S353" s="11"/>
      <c r="T353" s="11"/>
      <c r="U353" s="11"/>
      <c r="V353" s="11"/>
      <c r="W353" s="11"/>
      <c r="X353" s="11"/>
      <c r="Y353" s="11"/>
      <c r="Z353" s="11"/>
    </row>
    <row r="354" spans="1:26" ht="14.25" customHeight="1">
      <c r="A354" s="11"/>
      <c r="B354" s="11"/>
      <c r="C354" s="11"/>
      <c r="D354" s="11"/>
      <c r="E354" s="11"/>
      <c r="F354" s="11"/>
      <c r="G354" s="11"/>
      <c r="H354" s="11"/>
      <c r="I354" s="46"/>
      <c r="J354" s="11"/>
      <c r="K354" s="11"/>
      <c r="L354" s="11"/>
      <c r="M354" s="11"/>
      <c r="N354" s="11"/>
      <c r="O354" s="11"/>
      <c r="P354" s="11"/>
      <c r="Q354" s="11"/>
      <c r="R354" s="11"/>
      <c r="S354" s="11"/>
      <c r="T354" s="11"/>
      <c r="U354" s="11"/>
      <c r="V354" s="11"/>
      <c r="W354" s="11"/>
      <c r="X354" s="11"/>
      <c r="Y354" s="11"/>
      <c r="Z354" s="11"/>
    </row>
    <row r="355" spans="1:26" ht="14.25" customHeight="1">
      <c r="A355" s="11"/>
      <c r="B355" s="11"/>
      <c r="C355" s="11"/>
      <c r="D355" s="11"/>
      <c r="E355" s="11"/>
      <c r="F355" s="11"/>
      <c r="G355" s="11"/>
      <c r="H355" s="11"/>
      <c r="I355" s="46"/>
      <c r="J355" s="11"/>
      <c r="K355" s="11"/>
      <c r="L355" s="11"/>
      <c r="M355" s="11"/>
      <c r="N355" s="11"/>
      <c r="O355" s="11"/>
      <c r="P355" s="11"/>
      <c r="Q355" s="11"/>
      <c r="R355" s="11"/>
      <c r="S355" s="11"/>
      <c r="T355" s="11"/>
      <c r="U355" s="11"/>
      <c r="V355" s="11"/>
      <c r="W355" s="11"/>
      <c r="X355" s="11"/>
      <c r="Y355" s="11"/>
      <c r="Z355" s="11"/>
    </row>
    <row r="356" spans="1:26" ht="14.25" customHeight="1">
      <c r="A356" s="11"/>
      <c r="B356" s="11"/>
      <c r="C356" s="11"/>
      <c r="D356" s="11"/>
      <c r="E356" s="11"/>
      <c r="F356" s="11"/>
      <c r="G356" s="11"/>
      <c r="H356" s="11"/>
      <c r="I356" s="46"/>
      <c r="J356" s="11"/>
      <c r="K356" s="11"/>
      <c r="L356" s="11"/>
      <c r="M356" s="11"/>
      <c r="N356" s="11"/>
      <c r="O356" s="11"/>
      <c r="P356" s="11"/>
      <c r="Q356" s="11"/>
      <c r="R356" s="11"/>
      <c r="S356" s="11"/>
      <c r="T356" s="11"/>
      <c r="U356" s="11"/>
      <c r="V356" s="11"/>
      <c r="W356" s="11"/>
      <c r="X356" s="11"/>
      <c r="Y356" s="11"/>
      <c r="Z356" s="11"/>
    </row>
    <row r="357" spans="1:26" ht="14.25" customHeight="1">
      <c r="A357" s="11"/>
      <c r="B357" s="11"/>
      <c r="C357" s="11"/>
      <c r="D357" s="11"/>
      <c r="E357" s="11"/>
      <c r="F357" s="11"/>
      <c r="G357" s="11"/>
      <c r="H357" s="11"/>
      <c r="I357" s="46"/>
      <c r="J357" s="11"/>
      <c r="K357" s="11"/>
      <c r="L357" s="11"/>
      <c r="M357" s="11"/>
      <c r="N357" s="11"/>
      <c r="O357" s="11"/>
      <c r="P357" s="11"/>
      <c r="Q357" s="11"/>
      <c r="R357" s="11"/>
      <c r="S357" s="11"/>
      <c r="T357" s="11"/>
      <c r="U357" s="11"/>
      <c r="V357" s="11"/>
      <c r="W357" s="11"/>
      <c r="X357" s="11"/>
      <c r="Y357" s="11"/>
      <c r="Z357" s="11"/>
    </row>
    <row r="358" spans="1:26" ht="14.25" customHeight="1">
      <c r="A358" s="11"/>
      <c r="B358" s="11"/>
      <c r="C358" s="11"/>
      <c r="D358" s="11"/>
      <c r="E358" s="11"/>
      <c r="F358" s="11"/>
      <c r="G358" s="11"/>
      <c r="H358" s="11"/>
      <c r="I358" s="46"/>
      <c r="J358" s="11"/>
      <c r="K358" s="11"/>
      <c r="L358" s="11"/>
      <c r="M358" s="11"/>
      <c r="N358" s="11"/>
      <c r="O358" s="11"/>
      <c r="P358" s="11"/>
      <c r="Q358" s="11"/>
      <c r="R358" s="11"/>
      <c r="S358" s="11"/>
      <c r="T358" s="11"/>
      <c r="U358" s="11"/>
      <c r="V358" s="11"/>
      <c r="W358" s="11"/>
      <c r="X358" s="11"/>
      <c r="Y358" s="11"/>
      <c r="Z358" s="11"/>
    </row>
    <row r="359" spans="1:26" ht="14.25" customHeight="1">
      <c r="A359" s="11"/>
      <c r="B359" s="11"/>
      <c r="C359" s="11"/>
      <c r="D359" s="11"/>
      <c r="E359" s="11"/>
      <c r="F359" s="11"/>
      <c r="G359" s="11"/>
      <c r="H359" s="11"/>
      <c r="I359" s="46"/>
      <c r="J359" s="11"/>
      <c r="K359" s="11"/>
      <c r="L359" s="11"/>
      <c r="M359" s="11"/>
      <c r="N359" s="11"/>
      <c r="O359" s="11"/>
      <c r="P359" s="11"/>
      <c r="Q359" s="11"/>
      <c r="R359" s="11"/>
      <c r="S359" s="11"/>
      <c r="T359" s="11"/>
      <c r="U359" s="11"/>
      <c r="V359" s="11"/>
      <c r="W359" s="11"/>
      <c r="X359" s="11"/>
      <c r="Y359" s="11"/>
      <c r="Z359" s="11"/>
    </row>
    <row r="360" spans="1:26" ht="14.25" customHeight="1">
      <c r="A360" s="11"/>
      <c r="B360" s="11"/>
      <c r="C360" s="11"/>
      <c r="D360" s="11"/>
      <c r="E360" s="11"/>
      <c r="F360" s="11"/>
      <c r="G360" s="11"/>
      <c r="H360" s="11"/>
      <c r="I360" s="46"/>
      <c r="J360" s="11"/>
      <c r="K360" s="11"/>
      <c r="L360" s="11"/>
      <c r="M360" s="11"/>
      <c r="N360" s="11"/>
      <c r="O360" s="11"/>
      <c r="P360" s="11"/>
      <c r="Q360" s="11"/>
      <c r="R360" s="11"/>
      <c r="S360" s="11"/>
      <c r="T360" s="11"/>
      <c r="U360" s="11"/>
      <c r="V360" s="11"/>
      <c r="W360" s="11"/>
      <c r="X360" s="11"/>
      <c r="Y360" s="11"/>
      <c r="Z360" s="11"/>
    </row>
    <row r="361" spans="1:26" ht="14.25" customHeight="1">
      <c r="A361" s="11"/>
      <c r="B361" s="11"/>
      <c r="C361" s="11"/>
      <c r="D361" s="11"/>
      <c r="E361" s="11"/>
      <c r="F361" s="11"/>
      <c r="G361" s="11"/>
      <c r="H361" s="11"/>
      <c r="I361" s="46"/>
      <c r="J361" s="11"/>
      <c r="K361" s="11"/>
      <c r="L361" s="11"/>
      <c r="M361" s="11"/>
      <c r="N361" s="11"/>
      <c r="O361" s="11"/>
      <c r="P361" s="11"/>
      <c r="Q361" s="11"/>
      <c r="R361" s="11"/>
      <c r="S361" s="11"/>
      <c r="T361" s="11"/>
      <c r="U361" s="11"/>
      <c r="V361" s="11"/>
      <c r="W361" s="11"/>
      <c r="X361" s="11"/>
      <c r="Y361" s="11"/>
      <c r="Z361" s="11"/>
    </row>
    <row r="362" spans="1:26" ht="14.25" customHeight="1">
      <c r="A362" s="11"/>
      <c r="B362" s="11"/>
      <c r="C362" s="11"/>
      <c r="D362" s="11"/>
      <c r="E362" s="11"/>
      <c r="F362" s="11"/>
      <c r="G362" s="11"/>
      <c r="H362" s="11"/>
      <c r="I362" s="46"/>
      <c r="J362" s="11"/>
      <c r="K362" s="11"/>
      <c r="L362" s="11"/>
      <c r="M362" s="11"/>
      <c r="N362" s="11"/>
      <c r="O362" s="11"/>
      <c r="P362" s="11"/>
      <c r="Q362" s="11"/>
      <c r="R362" s="11"/>
      <c r="S362" s="11"/>
      <c r="T362" s="11"/>
      <c r="U362" s="11"/>
      <c r="V362" s="11"/>
      <c r="W362" s="11"/>
      <c r="X362" s="11"/>
      <c r="Y362" s="11"/>
      <c r="Z362" s="11"/>
    </row>
    <row r="363" spans="1:26" ht="14.25" customHeight="1">
      <c r="A363" s="11"/>
      <c r="B363" s="11"/>
      <c r="C363" s="11"/>
      <c r="D363" s="11"/>
      <c r="E363" s="11"/>
      <c r="F363" s="11"/>
      <c r="G363" s="11"/>
      <c r="H363" s="11"/>
      <c r="I363" s="46"/>
      <c r="J363" s="11"/>
      <c r="K363" s="11"/>
      <c r="L363" s="11"/>
      <c r="M363" s="11"/>
      <c r="N363" s="11"/>
      <c r="O363" s="11"/>
      <c r="P363" s="11"/>
      <c r="Q363" s="11"/>
      <c r="R363" s="11"/>
      <c r="S363" s="11"/>
      <c r="T363" s="11"/>
      <c r="U363" s="11"/>
      <c r="V363" s="11"/>
      <c r="W363" s="11"/>
      <c r="X363" s="11"/>
      <c r="Y363" s="11"/>
      <c r="Z363" s="11"/>
    </row>
    <row r="364" spans="1:26" ht="14.25" customHeight="1">
      <c r="A364" s="11"/>
      <c r="B364" s="11"/>
      <c r="C364" s="11"/>
      <c r="D364" s="11"/>
      <c r="E364" s="11"/>
      <c r="F364" s="11"/>
      <c r="G364" s="11"/>
      <c r="H364" s="11"/>
      <c r="I364" s="46"/>
      <c r="J364" s="11"/>
      <c r="K364" s="11"/>
      <c r="L364" s="11"/>
      <c r="M364" s="11"/>
      <c r="N364" s="11"/>
      <c r="O364" s="11"/>
      <c r="P364" s="11"/>
      <c r="Q364" s="11"/>
      <c r="R364" s="11"/>
      <c r="S364" s="11"/>
      <c r="T364" s="11"/>
      <c r="U364" s="11"/>
      <c r="V364" s="11"/>
      <c r="W364" s="11"/>
      <c r="X364" s="11"/>
      <c r="Y364" s="11"/>
      <c r="Z364" s="11"/>
    </row>
    <row r="365" spans="1:26" ht="14.25" customHeight="1">
      <c r="A365" s="11"/>
      <c r="B365" s="11"/>
      <c r="C365" s="11"/>
      <c r="D365" s="11"/>
      <c r="E365" s="11"/>
      <c r="F365" s="11"/>
      <c r="G365" s="11"/>
      <c r="H365" s="11"/>
      <c r="I365" s="46"/>
      <c r="J365" s="11"/>
      <c r="K365" s="11"/>
      <c r="L365" s="11"/>
      <c r="M365" s="11"/>
      <c r="N365" s="11"/>
      <c r="O365" s="11"/>
      <c r="P365" s="11"/>
      <c r="Q365" s="11"/>
      <c r="R365" s="11"/>
      <c r="S365" s="11"/>
      <c r="T365" s="11"/>
      <c r="U365" s="11"/>
      <c r="V365" s="11"/>
      <c r="W365" s="11"/>
      <c r="X365" s="11"/>
      <c r="Y365" s="11"/>
      <c r="Z365" s="11"/>
    </row>
    <row r="366" spans="1:26" ht="14.25" customHeight="1">
      <c r="A366" s="11"/>
      <c r="B366" s="11"/>
      <c r="C366" s="11"/>
      <c r="D366" s="11"/>
      <c r="E366" s="11"/>
      <c r="F366" s="11"/>
      <c r="G366" s="11"/>
      <c r="H366" s="11"/>
      <c r="I366" s="46"/>
      <c r="J366" s="11"/>
      <c r="K366" s="11"/>
      <c r="L366" s="11"/>
      <c r="M366" s="11"/>
      <c r="N366" s="11"/>
      <c r="O366" s="11"/>
      <c r="P366" s="11"/>
      <c r="Q366" s="11"/>
      <c r="R366" s="11"/>
      <c r="S366" s="11"/>
      <c r="T366" s="11"/>
      <c r="U366" s="11"/>
      <c r="V366" s="11"/>
      <c r="W366" s="11"/>
      <c r="X366" s="11"/>
      <c r="Y366" s="11"/>
      <c r="Z366" s="11"/>
    </row>
    <row r="367" spans="1:26" ht="14.25" customHeight="1">
      <c r="A367" s="11"/>
      <c r="B367" s="11"/>
      <c r="C367" s="11"/>
      <c r="D367" s="11"/>
      <c r="E367" s="11"/>
      <c r="F367" s="11"/>
      <c r="G367" s="11"/>
      <c r="H367" s="11"/>
      <c r="I367" s="46"/>
      <c r="J367" s="11"/>
      <c r="K367" s="11"/>
      <c r="L367" s="11"/>
      <c r="M367" s="11"/>
      <c r="N367" s="11"/>
      <c r="O367" s="11"/>
      <c r="P367" s="11"/>
      <c r="Q367" s="11"/>
      <c r="R367" s="11"/>
      <c r="S367" s="11"/>
      <c r="T367" s="11"/>
      <c r="U367" s="11"/>
      <c r="V367" s="11"/>
      <c r="W367" s="11"/>
      <c r="X367" s="11"/>
      <c r="Y367" s="11"/>
      <c r="Z367" s="11"/>
    </row>
    <row r="368" spans="1:26" ht="14.25" customHeight="1">
      <c r="A368" s="11"/>
      <c r="B368" s="11"/>
      <c r="C368" s="11"/>
      <c r="D368" s="11"/>
      <c r="E368" s="11"/>
      <c r="F368" s="11"/>
      <c r="G368" s="11"/>
      <c r="H368" s="11"/>
      <c r="I368" s="46"/>
      <c r="J368" s="11"/>
      <c r="K368" s="11"/>
      <c r="L368" s="11"/>
      <c r="M368" s="11"/>
      <c r="N368" s="11"/>
      <c r="O368" s="11"/>
      <c r="P368" s="11"/>
      <c r="Q368" s="11"/>
      <c r="R368" s="11"/>
      <c r="S368" s="11"/>
      <c r="T368" s="11"/>
      <c r="U368" s="11"/>
      <c r="V368" s="11"/>
      <c r="W368" s="11"/>
      <c r="X368" s="11"/>
      <c r="Y368" s="11"/>
      <c r="Z368" s="11"/>
    </row>
    <row r="369" spans="1:26" ht="14.25" customHeight="1">
      <c r="A369" s="11"/>
      <c r="B369" s="11"/>
      <c r="C369" s="11"/>
      <c r="D369" s="11"/>
      <c r="E369" s="11"/>
      <c r="F369" s="11"/>
      <c r="G369" s="11"/>
      <c r="H369" s="11"/>
      <c r="I369" s="46"/>
      <c r="J369" s="11"/>
      <c r="K369" s="11"/>
      <c r="L369" s="11"/>
      <c r="M369" s="11"/>
      <c r="N369" s="11"/>
      <c r="O369" s="11"/>
      <c r="P369" s="11"/>
      <c r="Q369" s="11"/>
      <c r="R369" s="11"/>
      <c r="S369" s="11"/>
      <c r="T369" s="11"/>
      <c r="U369" s="11"/>
      <c r="V369" s="11"/>
      <c r="W369" s="11"/>
      <c r="X369" s="11"/>
      <c r="Y369" s="11"/>
      <c r="Z369" s="11"/>
    </row>
    <row r="370" spans="1:26" ht="14.25" customHeight="1">
      <c r="A370" s="11"/>
      <c r="B370" s="11"/>
      <c r="C370" s="11"/>
      <c r="D370" s="11"/>
      <c r="E370" s="11"/>
      <c r="F370" s="11"/>
      <c r="G370" s="11"/>
      <c r="H370" s="11"/>
      <c r="I370" s="46"/>
      <c r="J370" s="11"/>
      <c r="K370" s="11"/>
      <c r="L370" s="11"/>
      <c r="M370" s="11"/>
      <c r="N370" s="11"/>
      <c r="O370" s="11"/>
      <c r="P370" s="11"/>
      <c r="Q370" s="11"/>
      <c r="R370" s="11"/>
      <c r="S370" s="11"/>
      <c r="T370" s="11"/>
      <c r="U370" s="11"/>
      <c r="V370" s="11"/>
      <c r="W370" s="11"/>
      <c r="X370" s="11"/>
      <c r="Y370" s="11"/>
      <c r="Z370" s="11"/>
    </row>
    <row r="371" spans="1:26" ht="14.25" customHeight="1">
      <c r="A371" s="11"/>
      <c r="B371" s="11"/>
      <c r="C371" s="11"/>
      <c r="D371" s="11"/>
      <c r="E371" s="11"/>
      <c r="F371" s="11"/>
      <c r="G371" s="11"/>
      <c r="H371" s="11"/>
      <c r="I371" s="46"/>
      <c r="J371" s="11"/>
      <c r="K371" s="11"/>
      <c r="L371" s="11"/>
      <c r="M371" s="11"/>
      <c r="N371" s="11"/>
      <c r="O371" s="11"/>
      <c r="P371" s="11"/>
      <c r="Q371" s="11"/>
      <c r="R371" s="11"/>
      <c r="S371" s="11"/>
      <c r="T371" s="11"/>
      <c r="U371" s="11"/>
      <c r="V371" s="11"/>
      <c r="W371" s="11"/>
      <c r="X371" s="11"/>
      <c r="Y371" s="11"/>
      <c r="Z371" s="11"/>
    </row>
    <row r="372" spans="1:26" ht="14.25" customHeight="1">
      <c r="A372" s="11"/>
      <c r="B372" s="11"/>
      <c r="C372" s="11"/>
      <c r="D372" s="11"/>
      <c r="E372" s="11"/>
      <c r="F372" s="11"/>
      <c r="G372" s="11"/>
      <c r="H372" s="11"/>
      <c r="I372" s="46"/>
      <c r="J372" s="11"/>
      <c r="K372" s="11"/>
      <c r="L372" s="11"/>
      <c r="M372" s="11"/>
      <c r="N372" s="11"/>
      <c r="O372" s="11"/>
      <c r="P372" s="11"/>
      <c r="Q372" s="11"/>
      <c r="R372" s="11"/>
      <c r="S372" s="11"/>
      <c r="T372" s="11"/>
      <c r="U372" s="11"/>
      <c r="V372" s="11"/>
      <c r="W372" s="11"/>
      <c r="X372" s="11"/>
      <c r="Y372" s="11"/>
      <c r="Z372" s="11"/>
    </row>
    <row r="373" spans="1:26" ht="14.25" customHeight="1">
      <c r="A373" s="11"/>
      <c r="B373" s="11"/>
      <c r="C373" s="11"/>
      <c r="D373" s="11"/>
      <c r="E373" s="11"/>
      <c r="F373" s="11"/>
      <c r="G373" s="11"/>
      <c r="H373" s="11"/>
      <c r="I373" s="46"/>
      <c r="J373" s="11"/>
      <c r="K373" s="11"/>
      <c r="L373" s="11"/>
      <c r="M373" s="11"/>
      <c r="N373" s="11"/>
      <c r="O373" s="11"/>
      <c r="P373" s="11"/>
      <c r="Q373" s="11"/>
      <c r="R373" s="11"/>
      <c r="S373" s="11"/>
      <c r="T373" s="11"/>
      <c r="U373" s="11"/>
      <c r="V373" s="11"/>
      <c r="W373" s="11"/>
      <c r="X373" s="11"/>
      <c r="Y373" s="11"/>
      <c r="Z373" s="11"/>
    </row>
    <row r="374" spans="1:26" ht="14.25" customHeight="1">
      <c r="A374" s="11"/>
      <c r="B374" s="11"/>
      <c r="C374" s="11"/>
      <c r="D374" s="11"/>
      <c r="E374" s="11"/>
      <c r="F374" s="11"/>
      <c r="G374" s="11"/>
      <c r="H374" s="11"/>
      <c r="I374" s="46"/>
      <c r="J374" s="11"/>
      <c r="K374" s="11"/>
      <c r="L374" s="11"/>
      <c r="M374" s="11"/>
      <c r="N374" s="11"/>
      <c r="O374" s="11"/>
      <c r="P374" s="11"/>
      <c r="Q374" s="11"/>
      <c r="R374" s="11"/>
      <c r="S374" s="11"/>
      <c r="T374" s="11"/>
      <c r="U374" s="11"/>
      <c r="V374" s="11"/>
      <c r="W374" s="11"/>
      <c r="X374" s="11"/>
      <c r="Y374" s="11"/>
      <c r="Z374" s="11"/>
    </row>
    <row r="375" spans="1:26" ht="14.25" customHeight="1">
      <c r="A375" s="11"/>
      <c r="B375" s="11"/>
      <c r="C375" s="11"/>
      <c r="D375" s="11"/>
      <c r="E375" s="11"/>
      <c r="F375" s="11"/>
      <c r="G375" s="11"/>
      <c r="H375" s="11"/>
      <c r="I375" s="46"/>
      <c r="J375" s="11"/>
      <c r="K375" s="11"/>
      <c r="L375" s="11"/>
      <c r="M375" s="11"/>
      <c r="N375" s="11"/>
      <c r="O375" s="11"/>
      <c r="P375" s="11"/>
      <c r="Q375" s="11"/>
      <c r="R375" s="11"/>
      <c r="S375" s="11"/>
      <c r="T375" s="11"/>
      <c r="U375" s="11"/>
      <c r="V375" s="11"/>
      <c r="W375" s="11"/>
      <c r="X375" s="11"/>
      <c r="Y375" s="11"/>
      <c r="Z375" s="11"/>
    </row>
    <row r="376" spans="1:26" ht="14.25" customHeight="1">
      <c r="A376" s="11"/>
      <c r="B376" s="11"/>
      <c r="C376" s="11"/>
      <c r="D376" s="11"/>
      <c r="E376" s="11"/>
      <c r="F376" s="11"/>
      <c r="G376" s="11"/>
      <c r="H376" s="11"/>
      <c r="I376" s="46"/>
      <c r="J376" s="11"/>
      <c r="K376" s="11"/>
      <c r="L376" s="11"/>
      <c r="M376" s="11"/>
      <c r="N376" s="11"/>
      <c r="O376" s="11"/>
      <c r="P376" s="11"/>
      <c r="Q376" s="11"/>
      <c r="R376" s="11"/>
      <c r="S376" s="11"/>
      <c r="T376" s="11"/>
      <c r="U376" s="11"/>
      <c r="V376" s="11"/>
      <c r="W376" s="11"/>
      <c r="X376" s="11"/>
      <c r="Y376" s="11"/>
      <c r="Z376" s="11"/>
    </row>
    <row r="377" spans="1:26" ht="14.25" customHeight="1">
      <c r="A377" s="11"/>
      <c r="B377" s="11"/>
      <c r="C377" s="11"/>
      <c r="D377" s="11"/>
      <c r="E377" s="11"/>
      <c r="F377" s="11"/>
      <c r="G377" s="11"/>
      <c r="H377" s="11"/>
      <c r="I377" s="46"/>
      <c r="J377" s="11"/>
      <c r="K377" s="11"/>
      <c r="L377" s="11"/>
      <c r="M377" s="11"/>
      <c r="N377" s="11"/>
      <c r="O377" s="11"/>
      <c r="P377" s="11"/>
      <c r="Q377" s="11"/>
      <c r="R377" s="11"/>
      <c r="S377" s="11"/>
      <c r="T377" s="11"/>
      <c r="U377" s="11"/>
      <c r="V377" s="11"/>
      <c r="W377" s="11"/>
      <c r="X377" s="11"/>
      <c r="Y377" s="11"/>
      <c r="Z377" s="11"/>
    </row>
    <row r="378" spans="1:26" ht="14.25" customHeight="1">
      <c r="A378" s="11"/>
      <c r="B378" s="11"/>
      <c r="C378" s="11"/>
      <c r="D378" s="11"/>
      <c r="E378" s="11"/>
      <c r="F378" s="11"/>
      <c r="G378" s="11"/>
      <c r="H378" s="11"/>
      <c r="I378" s="46"/>
      <c r="J378" s="11"/>
      <c r="K378" s="11"/>
      <c r="L378" s="11"/>
      <c r="M378" s="11"/>
      <c r="N378" s="11"/>
      <c r="O378" s="11"/>
      <c r="P378" s="11"/>
      <c r="Q378" s="11"/>
      <c r="R378" s="11"/>
      <c r="S378" s="11"/>
      <c r="T378" s="11"/>
      <c r="U378" s="11"/>
      <c r="V378" s="11"/>
      <c r="W378" s="11"/>
      <c r="X378" s="11"/>
      <c r="Y378" s="11"/>
      <c r="Z378" s="11"/>
    </row>
    <row r="379" spans="1:26" ht="14.25" customHeight="1">
      <c r="A379" s="11"/>
      <c r="B379" s="11"/>
      <c r="C379" s="11"/>
      <c r="D379" s="11"/>
      <c r="E379" s="11"/>
      <c r="F379" s="11"/>
      <c r="G379" s="11"/>
      <c r="H379" s="11"/>
      <c r="I379" s="46"/>
      <c r="J379" s="11"/>
      <c r="K379" s="11"/>
      <c r="L379" s="11"/>
      <c r="M379" s="11"/>
      <c r="N379" s="11"/>
      <c r="O379" s="11"/>
      <c r="P379" s="11"/>
      <c r="Q379" s="11"/>
      <c r="R379" s="11"/>
      <c r="S379" s="11"/>
      <c r="T379" s="11"/>
      <c r="U379" s="11"/>
      <c r="V379" s="11"/>
      <c r="W379" s="11"/>
      <c r="X379" s="11"/>
      <c r="Y379" s="11"/>
      <c r="Z379" s="11"/>
    </row>
    <row r="380" spans="1:26" ht="14.25" customHeight="1">
      <c r="A380" s="11"/>
      <c r="B380" s="11"/>
      <c r="C380" s="11"/>
      <c r="D380" s="11"/>
      <c r="E380" s="11"/>
      <c r="F380" s="11"/>
      <c r="G380" s="11"/>
      <c r="H380" s="11"/>
      <c r="I380" s="46"/>
      <c r="J380" s="11"/>
      <c r="K380" s="11"/>
      <c r="L380" s="11"/>
      <c r="M380" s="11"/>
      <c r="N380" s="11"/>
      <c r="O380" s="11"/>
      <c r="P380" s="11"/>
      <c r="Q380" s="11"/>
      <c r="R380" s="11"/>
      <c r="S380" s="11"/>
      <c r="T380" s="11"/>
      <c r="U380" s="11"/>
      <c r="V380" s="11"/>
      <c r="W380" s="11"/>
      <c r="X380" s="11"/>
      <c r="Y380" s="11"/>
      <c r="Z380" s="11"/>
    </row>
    <row r="381" spans="1:26" ht="14.25" customHeight="1">
      <c r="A381" s="11"/>
      <c r="B381" s="11"/>
      <c r="C381" s="11"/>
      <c r="D381" s="11"/>
      <c r="E381" s="11"/>
      <c r="F381" s="11"/>
      <c r="G381" s="11"/>
      <c r="H381" s="11"/>
      <c r="I381" s="46"/>
      <c r="J381" s="11"/>
      <c r="K381" s="11"/>
      <c r="L381" s="11"/>
      <c r="M381" s="11"/>
      <c r="N381" s="11"/>
      <c r="O381" s="11"/>
      <c r="P381" s="11"/>
      <c r="Q381" s="11"/>
      <c r="R381" s="11"/>
      <c r="S381" s="11"/>
      <c r="T381" s="11"/>
      <c r="U381" s="11"/>
      <c r="V381" s="11"/>
      <c r="W381" s="11"/>
      <c r="X381" s="11"/>
      <c r="Y381" s="11"/>
      <c r="Z381" s="11"/>
    </row>
    <row r="382" spans="1:26" ht="14.25" customHeight="1">
      <c r="A382" s="11"/>
      <c r="B382" s="11"/>
      <c r="C382" s="11"/>
      <c r="D382" s="11"/>
      <c r="E382" s="11"/>
      <c r="F382" s="11"/>
      <c r="G382" s="11"/>
      <c r="H382" s="11"/>
      <c r="I382" s="46"/>
      <c r="J382" s="11"/>
      <c r="K382" s="11"/>
      <c r="L382" s="11"/>
      <c r="M382" s="11"/>
      <c r="N382" s="11"/>
      <c r="O382" s="11"/>
      <c r="P382" s="11"/>
      <c r="Q382" s="11"/>
      <c r="R382" s="11"/>
      <c r="S382" s="11"/>
      <c r="T382" s="11"/>
      <c r="U382" s="11"/>
      <c r="V382" s="11"/>
      <c r="W382" s="11"/>
      <c r="X382" s="11"/>
      <c r="Y382" s="11"/>
      <c r="Z382" s="11"/>
    </row>
    <row r="383" spans="1:26" ht="14.25" customHeight="1">
      <c r="A383" s="11"/>
      <c r="B383" s="11"/>
      <c r="C383" s="11"/>
      <c r="D383" s="11"/>
      <c r="E383" s="11"/>
      <c r="F383" s="11"/>
      <c r="G383" s="11"/>
      <c r="H383" s="11"/>
      <c r="I383" s="46"/>
      <c r="J383" s="11"/>
      <c r="K383" s="11"/>
      <c r="L383" s="11"/>
      <c r="M383" s="11"/>
      <c r="N383" s="11"/>
      <c r="O383" s="11"/>
      <c r="P383" s="11"/>
      <c r="Q383" s="11"/>
      <c r="R383" s="11"/>
      <c r="S383" s="11"/>
      <c r="T383" s="11"/>
      <c r="U383" s="11"/>
      <c r="V383" s="11"/>
      <c r="W383" s="11"/>
      <c r="X383" s="11"/>
      <c r="Y383" s="11"/>
      <c r="Z383" s="11"/>
    </row>
    <row r="384" spans="1:26" ht="14.25" customHeight="1">
      <c r="A384" s="11"/>
      <c r="B384" s="11"/>
      <c r="C384" s="11"/>
      <c r="D384" s="11"/>
      <c r="E384" s="11"/>
      <c r="F384" s="11"/>
      <c r="G384" s="11"/>
      <c r="H384" s="11"/>
      <c r="I384" s="46"/>
      <c r="J384" s="11"/>
      <c r="K384" s="11"/>
      <c r="L384" s="11"/>
      <c r="M384" s="11"/>
      <c r="N384" s="11"/>
      <c r="O384" s="11"/>
      <c r="P384" s="11"/>
      <c r="Q384" s="11"/>
      <c r="R384" s="11"/>
      <c r="S384" s="11"/>
      <c r="T384" s="11"/>
      <c r="U384" s="11"/>
      <c r="V384" s="11"/>
      <c r="W384" s="11"/>
      <c r="X384" s="11"/>
      <c r="Y384" s="11"/>
      <c r="Z384" s="11"/>
    </row>
    <row r="385" spans="1:26" ht="14.25" customHeight="1">
      <c r="A385" s="11"/>
      <c r="B385" s="11"/>
      <c r="C385" s="11"/>
      <c r="D385" s="11"/>
      <c r="E385" s="11"/>
      <c r="F385" s="11"/>
      <c r="G385" s="11"/>
      <c r="H385" s="11"/>
      <c r="I385" s="46"/>
      <c r="J385" s="11"/>
      <c r="K385" s="11"/>
      <c r="L385" s="11"/>
      <c r="M385" s="11"/>
      <c r="N385" s="11"/>
      <c r="O385" s="11"/>
      <c r="P385" s="11"/>
      <c r="Q385" s="11"/>
      <c r="R385" s="11"/>
      <c r="S385" s="11"/>
      <c r="T385" s="11"/>
      <c r="U385" s="11"/>
      <c r="V385" s="11"/>
      <c r="W385" s="11"/>
      <c r="X385" s="11"/>
      <c r="Y385" s="11"/>
      <c r="Z385" s="11"/>
    </row>
    <row r="386" spans="1:26" ht="14.25" customHeight="1">
      <c r="A386" s="11"/>
      <c r="B386" s="11"/>
      <c r="C386" s="11"/>
      <c r="D386" s="11"/>
      <c r="E386" s="11"/>
      <c r="F386" s="11"/>
      <c r="G386" s="11"/>
      <c r="H386" s="11"/>
      <c r="I386" s="46"/>
      <c r="J386" s="11"/>
      <c r="K386" s="11"/>
      <c r="L386" s="11"/>
      <c r="M386" s="11"/>
      <c r="N386" s="11"/>
      <c r="O386" s="11"/>
      <c r="P386" s="11"/>
      <c r="Q386" s="11"/>
      <c r="R386" s="11"/>
      <c r="S386" s="11"/>
      <c r="T386" s="11"/>
      <c r="U386" s="11"/>
      <c r="V386" s="11"/>
      <c r="W386" s="11"/>
      <c r="X386" s="11"/>
      <c r="Y386" s="11"/>
      <c r="Z386" s="11"/>
    </row>
    <row r="387" spans="1:26" ht="14.25" customHeight="1">
      <c r="A387" s="11"/>
      <c r="B387" s="11"/>
      <c r="C387" s="11"/>
      <c r="D387" s="11"/>
      <c r="E387" s="11"/>
      <c r="F387" s="11"/>
      <c r="G387" s="11"/>
      <c r="H387" s="11"/>
      <c r="I387" s="46"/>
      <c r="J387" s="11"/>
      <c r="K387" s="11"/>
      <c r="L387" s="11"/>
      <c r="M387" s="11"/>
      <c r="N387" s="11"/>
      <c r="O387" s="11"/>
      <c r="P387" s="11"/>
      <c r="Q387" s="11"/>
      <c r="R387" s="11"/>
      <c r="S387" s="11"/>
      <c r="T387" s="11"/>
      <c r="U387" s="11"/>
      <c r="V387" s="11"/>
      <c r="W387" s="11"/>
      <c r="X387" s="11"/>
      <c r="Y387" s="11"/>
      <c r="Z387" s="11"/>
    </row>
    <row r="388" spans="1:26" ht="14.25" customHeight="1">
      <c r="A388" s="11"/>
      <c r="B388" s="11"/>
      <c r="C388" s="11"/>
      <c r="D388" s="11"/>
      <c r="E388" s="11"/>
      <c r="F388" s="11"/>
      <c r="G388" s="11"/>
      <c r="H388" s="11"/>
      <c r="I388" s="46"/>
      <c r="J388" s="11"/>
      <c r="K388" s="11"/>
      <c r="L388" s="11"/>
      <c r="M388" s="11"/>
      <c r="N388" s="11"/>
      <c r="O388" s="11"/>
      <c r="P388" s="11"/>
      <c r="Q388" s="11"/>
      <c r="R388" s="11"/>
      <c r="S388" s="11"/>
      <c r="T388" s="11"/>
      <c r="U388" s="11"/>
      <c r="V388" s="11"/>
      <c r="W388" s="11"/>
      <c r="X388" s="11"/>
      <c r="Y388" s="11"/>
      <c r="Z388" s="11"/>
    </row>
    <row r="389" spans="1:26" ht="14.25" customHeight="1">
      <c r="A389" s="11"/>
      <c r="B389" s="11"/>
      <c r="C389" s="11"/>
      <c r="D389" s="11"/>
      <c r="E389" s="11"/>
      <c r="F389" s="11"/>
      <c r="G389" s="11"/>
      <c r="H389" s="11"/>
      <c r="I389" s="46"/>
      <c r="J389" s="11"/>
      <c r="K389" s="11"/>
      <c r="L389" s="11"/>
      <c r="M389" s="11"/>
      <c r="N389" s="11"/>
      <c r="O389" s="11"/>
      <c r="P389" s="11"/>
      <c r="Q389" s="11"/>
      <c r="R389" s="11"/>
      <c r="S389" s="11"/>
      <c r="T389" s="11"/>
      <c r="U389" s="11"/>
      <c r="V389" s="11"/>
      <c r="W389" s="11"/>
      <c r="X389" s="11"/>
      <c r="Y389" s="11"/>
      <c r="Z389" s="11"/>
    </row>
    <row r="390" spans="1:26" ht="14.25" customHeight="1">
      <c r="A390" s="11"/>
      <c r="B390" s="11"/>
      <c r="C390" s="11"/>
      <c r="D390" s="11"/>
      <c r="E390" s="11"/>
      <c r="F390" s="11"/>
      <c r="G390" s="11"/>
      <c r="H390" s="11"/>
      <c r="I390" s="46"/>
      <c r="J390" s="11"/>
      <c r="K390" s="11"/>
      <c r="L390" s="11"/>
      <c r="M390" s="11"/>
      <c r="N390" s="11"/>
      <c r="O390" s="11"/>
      <c r="P390" s="11"/>
      <c r="Q390" s="11"/>
      <c r="R390" s="11"/>
      <c r="S390" s="11"/>
      <c r="T390" s="11"/>
      <c r="U390" s="11"/>
      <c r="V390" s="11"/>
      <c r="W390" s="11"/>
      <c r="X390" s="11"/>
      <c r="Y390" s="11"/>
      <c r="Z390" s="11"/>
    </row>
    <row r="391" spans="1:26" ht="14.25" customHeight="1">
      <c r="A391" s="11"/>
      <c r="B391" s="11"/>
      <c r="C391" s="11"/>
      <c r="D391" s="11"/>
      <c r="E391" s="11"/>
      <c r="F391" s="11"/>
      <c r="G391" s="11"/>
      <c r="H391" s="11"/>
      <c r="I391" s="46"/>
      <c r="J391" s="11"/>
      <c r="K391" s="11"/>
      <c r="L391" s="11"/>
      <c r="M391" s="11"/>
      <c r="N391" s="11"/>
      <c r="O391" s="11"/>
      <c r="P391" s="11"/>
      <c r="Q391" s="11"/>
      <c r="R391" s="11"/>
      <c r="S391" s="11"/>
      <c r="T391" s="11"/>
      <c r="U391" s="11"/>
      <c r="V391" s="11"/>
      <c r="W391" s="11"/>
      <c r="X391" s="11"/>
      <c r="Y391" s="11"/>
      <c r="Z391" s="11"/>
    </row>
    <row r="392" spans="1:26" ht="14.25" customHeight="1">
      <c r="A392" s="11"/>
      <c r="B392" s="11"/>
      <c r="C392" s="11"/>
      <c r="D392" s="11"/>
      <c r="E392" s="11"/>
      <c r="F392" s="11"/>
      <c r="G392" s="11"/>
      <c r="H392" s="11"/>
      <c r="I392" s="46"/>
      <c r="J392" s="11"/>
      <c r="K392" s="11"/>
      <c r="L392" s="11"/>
      <c r="M392" s="11"/>
      <c r="N392" s="11"/>
      <c r="O392" s="11"/>
      <c r="P392" s="11"/>
      <c r="Q392" s="11"/>
      <c r="R392" s="11"/>
      <c r="S392" s="11"/>
      <c r="T392" s="11"/>
      <c r="U392" s="11"/>
      <c r="V392" s="11"/>
      <c r="W392" s="11"/>
      <c r="X392" s="11"/>
      <c r="Y392" s="11"/>
      <c r="Z392" s="11"/>
    </row>
    <row r="393" spans="1:26" ht="14.25" customHeight="1">
      <c r="A393" s="11"/>
      <c r="B393" s="11"/>
      <c r="C393" s="11"/>
      <c r="D393" s="11"/>
      <c r="E393" s="11"/>
      <c r="F393" s="11"/>
      <c r="G393" s="11"/>
      <c r="H393" s="11"/>
      <c r="I393" s="46"/>
      <c r="J393" s="11"/>
      <c r="K393" s="11"/>
      <c r="L393" s="11"/>
      <c r="M393" s="11"/>
      <c r="N393" s="11"/>
      <c r="O393" s="11"/>
      <c r="P393" s="11"/>
      <c r="Q393" s="11"/>
      <c r="R393" s="11"/>
      <c r="S393" s="11"/>
      <c r="T393" s="11"/>
      <c r="U393" s="11"/>
      <c r="V393" s="11"/>
      <c r="W393" s="11"/>
      <c r="X393" s="11"/>
      <c r="Y393" s="11"/>
      <c r="Z393" s="11"/>
    </row>
    <row r="394" spans="1:26" ht="14.25" customHeight="1">
      <c r="A394" s="11"/>
      <c r="B394" s="11"/>
      <c r="C394" s="11"/>
      <c r="D394" s="11"/>
      <c r="E394" s="11"/>
      <c r="F394" s="11"/>
      <c r="G394" s="11"/>
      <c r="H394" s="11"/>
      <c r="I394" s="46"/>
      <c r="J394" s="11"/>
      <c r="K394" s="11"/>
      <c r="L394" s="11"/>
      <c r="M394" s="11"/>
      <c r="N394" s="11"/>
      <c r="O394" s="11"/>
      <c r="P394" s="11"/>
      <c r="Q394" s="11"/>
      <c r="R394" s="11"/>
      <c r="S394" s="11"/>
      <c r="T394" s="11"/>
      <c r="U394" s="11"/>
      <c r="V394" s="11"/>
      <c r="W394" s="11"/>
      <c r="X394" s="11"/>
      <c r="Y394" s="11"/>
      <c r="Z394" s="11"/>
    </row>
    <row r="395" spans="1:26" ht="14.25" customHeight="1">
      <c r="A395" s="11"/>
      <c r="B395" s="11"/>
      <c r="C395" s="11"/>
      <c r="D395" s="11"/>
      <c r="E395" s="11"/>
      <c r="F395" s="11"/>
      <c r="G395" s="11"/>
      <c r="H395" s="11"/>
      <c r="I395" s="46"/>
      <c r="J395" s="11"/>
      <c r="K395" s="11"/>
      <c r="L395" s="11"/>
      <c r="M395" s="11"/>
      <c r="N395" s="11"/>
      <c r="O395" s="11"/>
      <c r="P395" s="11"/>
      <c r="Q395" s="11"/>
      <c r="R395" s="11"/>
      <c r="S395" s="11"/>
      <c r="T395" s="11"/>
      <c r="U395" s="11"/>
      <c r="V395" s="11"/>
      <c r="W395" s="11"/>
      <c r="X395" s="11"/>
      <c r="Y395" s="11"/>
      <c r="Z395" s="11"/>
    </row>
    <row r="396" spans="1:26" ht="14.25" customHeight="1">
      <c r="A396" s="11"/>
      <c r="B396" s="11"/>
      <c r="C396" s="11"/>
      <c r="D396" s="11"/>
      <c r="E396" s="11"/>
      <c r="F396" s="11"/>
      <c r="G396" s="11"/>
      <c r="H396" s="11"/>
      <c r="I396" s="46"/>
      <c r="J396" s="11"/>
      <c r="K396" s="11"/>
      <c r="L396" s="11"/>
      <c r="M396" s="11"/>
      <c r="N396" s="11"/>
      <c r="O396" s="11"/>
      <c r="P396" s="11"/>
      <c r="Q396" s="11"/>
      <c r="R396" s="11"/>
      <c r="S396" s="11"/>
      <c r="T396" s="11"/>
      <c r="U396" s="11"/>
      <c r="V396" s="11"/>
      <c r="W396" s="11"/>
      <c r="X396" s="11"/>
      <c r="Y396" s="11"/>
      <c r="Z396" s="11"/>
    </row>
    <row r="397" spans="1:26" ht="14.25" customHeight="1">
      <c r="A397" s="11"/>
      <c r="B397" s="11"/>
      <c r="C397" s="11"/>
      <c r="D397" s="11"/>
      <c r="E397" s="11"/>
      <c r="F397" s="11"/>
      <c r="G397" s="11"/>
      <c r="H397" s="11"/>
      <c r="I397" s="46"/>
      <c r="J397" s="11"/>
      <c r="K397" s="11"/>
      <c r="L397" s="11"/>
      <c r="M397" s="11"/>
      <c r="N397" s="11"/>
      <c r="O397" s="11"/>
      <c r="P397" s="11"/>
      <c r="Q397" s="11"/>
      <c r="R397" s="11"/>
      <c r="S397" s="11"/>
      <c r="T397" s="11"/>
      <c r="U397" s="11"/>
      <c r="V397" s="11"/>
      <c r="W397" s="11"/>
      <c r="X397" s="11"/>
      <c r="Y397" s="11"/>
      <c r="Z397" s="11"/>
    </row>
    <row r="398" spans="1:26" ht="14.25" customHeight="1">
      <c r="A398" s="11"/>
      <c r="B398" s="11"/>
      <c r="C398" s="11"/>
      <c r="D398" s="11"/>
      <c r="E398" s="11"/>
      <c r="F398" s="11"/>
      <c r="G398" s="11"/>
      <c r="H398" s="11"/>
      <c r="I398" s="46"/>
      <c r="J398" s="11"/>
      <c r="K398" s="11"/>
      <c r="L398" s="11"/>
      <c r="M398" s="11"/>
      <c r="N398" s="11"/>
      <c r="O398" s="11"/>
      <c r="P398" s="11"/>
      <c r="Q398" s="11"/>
      <c r="R398" s="11"/>
      <c r="S398" s="11"/>
      <c r="T398" s="11"/>
      <c r="U398" s="11"/>
      <c r="V398" s="11"/>
      <c r="W398" s="11"/>
      <c r="X398" s="11"/>
      <c r="Y398" s="11"/>
      <c r="Z398" s="11"/>
    </row>
    <row r="399" spans="1:26" ht="14.25" customHeight="1">
      <c r="A399" s="11"/>
      <c r="B399" s="11"/>
      <c r="C399" s="11"/>
      <c r="D399" s="11"/>
      <c r="E399" s="11"/>
      <c r="F399" s="11"/>
      <c r="G399" s="11"/>
      <c r="H399" s="11"/>
      <c r="I399" s="46"/>
      <c r="J399" s="11"/>
      <c r="K399" s="11"/>
      <c r="L399" s="11"/>
      <c r="M399" s="11"/>
      <c r="N399" s="11"/>
      <c r="O399" s="11"/>
      <c r="P399" s="11"/>
      <c r="Q399" s="11"/>
      <c r="R399" s="11"/>
      <c r="S399" s="11"/>
      <c r="T399" s="11"/>
      <c r="U399" s="11"/>
      <c r="V399" s="11"/>
      <c r="W399" s="11"/>
      <c r="X399" s="11"/>
      <c r="Y399" s="11"/>
      <c r="Z399" s="11"/>
    </row>
    <row r="400" spans="1:26" ht="14.25" customHeight="1">
      <c r="A400" s="11"/>
      <c r="B400" s="11"/>
      <c r="C400" s="11"/>
      <c r="D400" s="11"/>
      <c r="E400" s="11"/>
      <c r="F400" s="11"/>
      <c r="G400" s="11"/>
      <c r="H400" s="11"/>
      <c r="I400" s="46"/>
      <c r="J400" s="11"/>
      <c r="K400" s="11"/>
      <c r="L400" s="11"/>
      <c r="M400" s="11"/>
      <c r="N400" s="11"/>
      <c r="O400" s="11"/>
      <c r="P400" s="11"/>
      <c r="Q400" s="11"/>
      <c r="R400" s="11"/>
      <c r="S400" s="11"/>
      <c r="T400" s="11"/>
      <c r="U400" s="11"/>
      <c r="V400" s="11"/>
      <c r="W400" s="11"/>
      <c r="X400" s="11"/>
      <c r="Y400" s="11"/>
      <c r="Z400" s="11"/>
    </row>
    <row r="401" spans="1:26" ht="14.25" customHeight="1">
      <c r="A401" s="11"/>
      <c r="B401" s="11"/>
      <c r="C401" s="11"/>
      <c r="D401" s="11"/>
      <c r="E401" s="11"/>
      <c r="F401" s="11"/>
      <c r="G401" s="11"/>
      <c r="H401" s="11"/>
      <c r="I401" s="46"/>
      <c r="J401" s="11"/>
      <c r="K401" s="11"/>
      <c r="L401" s="11"/>
      <c r="M401" s="11"/>
      <c r="N401" s="11"/>
      <c r="O401" s="11"/>
      <c r="P401" s="11"/>
      <c r="Q401" s="11"/>
      <c r="R401" s="11"/>
      <c r="S401" s="11"/>
      <c r="T401" s="11"/>
      <c r="U401" s="11"/>
      <c r="V401" s="11"/>
      <c r="W401" s="11"/>
      <c r="X401" s="11"/>
      <c r="Y401" s="11"/>
      <c r="Z401" s="11"/>
    </row>
    <row r="402" spans="1:26" ht="14.25" customHeight="1">
      <c r="A402" s="11"/>
      <c r="B402" s="11"/>
      <c r="C402" s="11"/>
      <c r="D402" s="11"/>
      <c r="E402" s="11"/>
      <c r="F402" s="11"/>
      <c r="G402" s="11"/>
      <c r="H402" s="11"/>
      <c r="I402" s="46"/>
      <c r="J402" s="11"/>
      <c r="K402" s="11"/>
      <c r="L402" s="11"/>
      <c r="M402" s="11"/>
      <c r="N402" s="11"/>
      <c r="O402" s="11"/>
      <c r="P402" s="11"/>
      <c r="Q402" s="11"/>
      <c r="R402" s="11"/>
      <c r="S402" s="11"/>
      <c r="T402" s="11"/>
      <c r="U402" s="11"/>
      <c r="V402" s="11"/>
      <c r="W402" s="11"/>
      <c r="X402" s="11"/>
      <c r="Y402" s="11"/>
      <c r="Z402" s="11"/>
    </row>
    <row r="403" spans="1:26" ht="14.25" customHeight="1">
      <c r="A403" s="11"/>
      <c r="B403" s="11"/>
      <c r="C403" s="11"/>
      <c r="D403" s="11"/>
      <c r="E403" s="11"/>
      <c r="F403" s="11"/>
      <c r="G403" s="11"/>
      <c r="H403" s="11"/>
      <c r="I403" s="46"/>
      <c r="J403" s="11"/>
      <c r="K403" s="11"/>
      <c r="L403" s="11"/>
      <c r="M403" s="11"/>
      <c r="N403" s="11"/>
      <c r="O403" s="11"/>
      <c r="P403" s="11"/>
      <c r="Q403" s="11"/>
      <c r="R403" s="11"/>
      <c r="S403" s="11"/>
      <c r="T403" s="11"/>
      <c r="U403" s="11"/>
      <c r="V403" s="11"/>
      <c r="W403" s="11"/>
      <c r="X403" s="11"/>
      <c r="Y403" s="11"/>
      <c r="Z403" s="11"/>
    </row>
    <row r="404" spans="1:26" ht="14.25" customHeight="1">
      <c r="A404" s="11"/>
      <c r="B404" s="11"/>
      <c r="C404" s="11"/>
      <c r="D404" s="11"/>
      <c r="E404" s="11"/>
      <c r="F404" s="11"/>
      <c r="G404" s="11"/>
      <c r="H404" s="11"/>
      <c r="I404" s="46"/>
      <c r="J404" s="11"/>
      <c r="K404" s="11"/>
      <c r="L404" s="11"/>
      <c r="M404" s="11"/>
      <c r="N404" s="11"/>
      <c r="O404" s="11"/>
      <c r="P404" s="11"/>
      <c r="Q404" s="11"/>
      <c r="R404" s="11"/>
      <c r="S404" s="11"/>
      <c r="T404" s="11"/>
      <c r="U404" s="11"/>
      <c r="V404" s="11"/>
      <c r="W404" s="11"/>
      <c r="X404" s="11"/>
      <c r="Y404" s="11"/>
      <c r="Z404" s="11"/>
    </row>
    <row r="405" spans="1:26" ht="14.25" customHeight="1">
      <c r="A405" s="11"/>
      <c r="B405" s="11"/>
      <c r="C405" s="11"/>
      <c r="D405" s="11"/>
      <c r="E405" s="11"/>
      <c r="F405" s="11"/>
      <c r="G405" s="11"/>
      <c r="H405" s="11"/>
      <c r="I405" s="46"/>
      <c r="J405" s="11"/>
      <c r="K405" s="11"/>
      <c r="L405" s="11"/>
      <c r="M405" s="11"/>
      <c r="N405" s="11"/>
      <c r="O405" s="11"/>
      <c r="P405" s="11"/>
      <c r="Q405" s="11"/>
      <c r="R405" s="11"/>
      <c r="S405" s="11"/>
      <c r="T405" s="11"/>
      <c r="U405" s="11"/>
      <c r="V405" s="11"/>
      <c r="W405" s="11"/>
      <c r="X405" s="11"/>
      <c r="Y405" s="11"/>
      <c r="Z405" s="11"/>
    </row>
    <row r="406" spans="1:26" ht="14.25" customHeight="1">
      <c r="A406" s="11"/>
      <c r="B406" s="11"/>
      <c r="C406" s="11"/>
      <c r="D406" s="11"/>
      <c r="E406" s="11"/>
      <c r="F406" s="11"/>
      <c r="G406" s="11"/>
      <c r="H406" s="11"/>
      <c r="I406" s="46"/>
      <c r="J406" s="11"/>
      <c r="K406" s="11"/>
      <c r="L406" s="11"/>
      <c r="M406" s="11"/>
      <c r="N406" s="11"/>
      <c r="O406" s="11"/>
      <c r="P406" s="11"/>
      <c r="Q406" s="11"/>
      <c r="R406" s="11"/>
      <c r="S406" s="11"/>
      <c r="T406" s="11"/>
      <c r="U406" s="11"/>
      <c r="V406" s="11"/>
      <c r="W406" s="11"/>
      <c r="X406" s="11"/>
      <c r="Y406" s="11"/>
      <c r="Z406" s="11"/>
    </row>
    <row r="407" spans="1:26" ht="14.25" customHeight="1">
      <c r="A407" s="11"/>
      <c r="B407" s="11"/>
      <c r="C407" s="11"/>
      <c r="D407" s="11"/>
      <c r="E407" s="11"/>
      <c r="F407" s="11"/>
      <c r="G407" s="11"/>
      <c r="H407" s="11"/>
      <c r="I407" s="46"/>
      <c r="J407" s="11"/>
      <c r="K407" s="11"/>
      <c r="L407" s="11"/>
      <c r="M407" s="11"/>
      <c r="N407" s="11"/>
      <c r="O407" s="11"/>
      <c r="P407" s="11"/>
      <c r="Q407" s="11"/>
      <c r="R407" s="11"/>
      <c r="S407" s="11"/>
      <c r="T407" s="11"/>
      <c r="U407" s="11"/>
      <c r="V407" s="11"/>
      <c r="W407" s="11"/>
      <c r="X407" s="11"/>
      <c r="Y407" s="11"/>
      <c r="Z407" s="11"/>
    </row>
    <row r="408" spans="1:26" ht="14.25" customHeight="1">
      <c r="A408" s="11"/>
      <c r="B408" s="11"/>
      <c r="C408" s="11"/>
      <c r="D408" s="11"/>
      <c r="E408" s="11"/>
      <c r="F408" s="11"/>
      <c r="G408" s="11"/>
      <c r="H408" s="11"/>
      <c r="I408" s="46"/>
      <c r="J408" s="11"/>
      <c r="K408" s="11"/>
      <c r="L408" s="11"/>
      <c r="M408" s="11"/>
      <c r="N408" s="11"/>
      <c r="O408" s="11"/>
      <c r="P408" s="11"/>
      <c r="Q408" s="11"/>
      <c r="R408" s="11"/>
      <c r="S408" s="11"/>
      <c r="T408" s="11"/>
      <c r="U408" s="11"/>
      <c r="V408" s="11"/>
      <c r="W408" s="11"/>
      <c r="X408" s="11"/>
      <c r="Y408" s="11"/>
      <c r="Z408" s="11"/>
    </row>
    <row r="409" spans="1:26" ht="14.25" customHeight="1">
      <c r="A409" s="11"/>
      <c r="B409" s="11"/>
      <c r="C409" s="11"/>
      <c r="D409" s="11"/>
      <c r="E409" s="11"/>
      <c r="F409" s="11"/>
      <c r="G409" s="11"/>
      <c r="H409" s="11"/>
      <c r="I409" s="46"/>
      <c r="J409" s="11"/>
      <c r="K409" s="11"/>
      <c r="L409" s="11"/>
      <c r="M409" s="11"/>
      <c r="N409" s="11"/>
      <c r="O409" s="11"/>
      <c r="P409" s="11"/>
      <c r="Q409" s="11"/>
      <c r="R409" s="11"/>
      <c r="S409" s="11"/>
      <c r="T409" s="11"/>
      <c r="U409" s="11"/>
      <c r="V409" s="11"/>
      <c r="W409" s="11"/>
      <c r="X409" s="11"/>
      <c r="Y409" s="11"/>
      <c r="Z409" s="11"/>
    </row>
    <row r="410" spans="1:26" ht="14.25" customHeight="1">
      <c r="A410" s="11"/>
      <c r="B410" s="11"/>
      <c r="C410" s="11"/>
      <c r="D410" s="11"/>
      <c r="E410" s="11"/>
      <c r="F410" s="11"/>
      <c r="G410" s="11"/>
      <c r="H410" s="11"/>
      <c r="I410" s="46"/>
      <c r="J410" s="11"/>
      <c r="K410" s="11"/>
      <c r="L410" s="11"/>
      <c r="M410" s="11"/>
      <c r="N410" s="11"/>
      <c r="O410" s="11"/>
      <c r="P410" s="11"/>
      <c r="Q410" s="11"/>
      <c r="R410" s="11"/>
      <c r="S410" s="11"/>
      <c r="T410" s="11"/>
      <c r="U410" s="11"/>
      <c r="V410" s="11"/>
      <c r="W410" s="11"/>
      <c r="X410" s="11"/>
      <c r="Y410" s="11"/>
      <c r="Z410" s="11"/>
    </row>
    <row r="411" spans="1:26" ht="14.25" customHeight="1">
      <c r="A411" s="11"/>
      <c r="B411" s="11"/>
      <c r="C411" s="11"/>
      <c r="D411" s="11"/>
      <c r="E411" s="11"/>
      <c r="F411" s="11"/>
      <c r="G411" s="11"/>
      <c r="H411" s="11"/>
      <c r="I411" s="46"/>
      <c r="J411" s="11"/>
      <c r="K411" s="11"/>
      <c r="L411" s="11"/>
      <c r="M411" s="11"/>
      <c r="N411" s="11"/>
      <c r="O411" s="11"/>
      <c r="P411" s="11"/>
      <c r="Q411" s="11"/>
      <c r="R411" s="11"/>
      <c r="S411" s="11"/>
      <c r="T411" s="11"/>
      <c r="U411" s="11"/>
      <c r="V411" s="11"/>
      <c r="W411" s="11"/>
      <c r="X411" s="11"/>
      <c r="Y411" s="11"/>
      <c r="Z411" s="11"/>
    </row>
    <row r="412" spans="1:26" ht="14.25" customHeight="1">
      <c r="A412" s="11"/>
      <c r="B412" s="11"/>
      <c r="C412" s="11"/>
      <c r="D412" s="11"/>
      <c r="E412" s="11"/>
      <c r="F412" s="11"/>
      <c r="G412" s="11"/>
      <c r="H412" s="11"/>
      <c r="I412" s="46"/>
      <c r="J412" s="11"/>
      <c r="K412" s="11"/>
      <c r="L412" s="11"/>
      <c r="M412" s="11"/>
      <c r="N412" s="11"/>
      <c r="O412" s="11"/>
      <c r="P412" s="11"/>
      <c r="Q412" s="11"/>
      <c r="R412" s="11"/>
      <c r="S412" s="11"/>
      <c r="T412" s="11"/>
      <c r="U412" s="11"/>
      <c r="V412" s="11"/>
      <c r="W412" s="11"/>
      <c r="X412" s="11"/>
      <c r="Y412" s="11"/>
      <c r="Z412" s="11"/>
    </row>
    <row r="413" spans="1:26" ht="14.25" customHeight="1">
      <c r="A413" s="11"/>
      <c r="B413" s="11"/>
      <c r="C413" s="11"/>
      <c r="D413" s="11"/>
      <c r="E413" s="11"/>
      <c r="F413" s="11"/>
      <c r="G413" s="11"/>
      <c r="H413" s="11"/>
      <c r="I413" s="46"/>
      <c r="J413" s="11"/>
      <c r="K413" s="11"/>
      <c r="L413" s="11"/>
      <c r="M413" s="11"/>
      <c r="N413" s="11"/>
      <c r="O413" s="11"/>
      <c r="P413" s="11"/>
      <c r="Q413" s="11"/>
      <c r="R413" s="11"/>
      <c r="S413" s="11"/>
      <c r="T413" s="11"/>
      <c r="U413" s="11"/>
      <c r="V413" s="11"/>
      <c r="W413" s="11"/>
      <c r="X413" s="11"/>
      <c r="Y413" s="11"/>
      <c r="Z413" s="11"/>
    </row>
    <row r="414" spans="1:26" ht="14.25" customHeight="1">
      <c r="A414" s="11"/>
      <c r="B414" s="11"/>
      <c r="C414" s="11"/>
      <c r="D414" s="11"/>
      <c r="E414" s="11"/>
      <c r="F414" s="11"/>
      <c r="G414" s="11"/>
      <c r="H414" s="11"/>
      <c r="I414" s="46"/>
      <c r="J414" s="11"/>
      <c r="K414" s="11"/>
      <c r="L414" s="11"/>
      <c r="M414" s="11"/>
      <c r="N414" s="11"/>
      <c r="O414" s="11"/>
      <c r="P414" s="11"/>
      <c r="Q414" s="11"/>
      <c r="R414" s="11"/>
      <c r="S414" s="11"/>
      <c r="T414" s="11"/>
      <c r="U414" s="11"/>
      <c r="V414" s="11"/>
      <c r="W414" s="11"/>
      <c r="X414" s="11"/>
      <c r="Y414" s="11"/>
      <c r="Z414" s="11"/>
    </row>
    <row r="415" spans="1:26" ht="14.25" customHeight="1">
      <c r="A415" s="11"/>
      <c r="B415" s="11"/>
      <c r="C415" s="11"/>
      <c r="D415" s="11"/>
      <c r="E415" s="11"/>
      <c r="F415" s="11"/>
      <c r="G415" s="11"/>
      <c r="H415" s="11"/>
      <c r="I415" s="46"/>
      <c r="J415" s="11"/>
      <c r="K415" s="11"/>
      <c r="L415" s="11"/>
      <c r="M415" s="11"/>
      <c r="N415" s="11"/>
      <c r="O415" s="11"/>
      <c r="P415" s="11"/>
      <c r="Q415" s="11"/>
      <c r="R415" s="11"/>
      <c r="S415" s="11"/>
      <c r="T415" s="11"/>
      <c r="U415" s="11"/>
      <c r="V415" s="11"/>
      <c r="W415" s="11"/>
      <c r="X415" s="11"/>
      <c r="Y415" s="11"/>
      <c r="Z415" s="11"/>
    </row>
    <row r="416" spans="1:26" ht="14.25" customHeight="1">
      <c r="A416" s="11"/>
      <c r="B416" s="11"/>
      <c r="C416" s="11"/>
      <c r="D416" s="11"/>
      <c r="E416" s="11"/>
      <c r="F416" s="11"/>
      <c r="G416" s="11"/>
      <c r="H416" s="11"/>
      <c r="I416" s="46"/>
      <c r="J416" s="11"/>
      <c r="K416" s="11"/>
      <c r="L416" s="11"/>
      <c r="M416" s="11"/>
      <c r="N416" s="11"/>
      <c r="O416" s="11"/>
      <c r="P416" s="11"/>
      <c r="Q416" s="11"/>
      <c r="R416" s="11"/>
      <c r="S416" s="11"/>
      <c r="T416" s="11"/>
      <c r="U416" s="11"/>
      <c r="V416" s="11"/>
      <c r="W416" s="11"/>
      <c r="X416" s="11"/>
      <c r="Y416" s="11"/>
      <c r="Z416" s="11"/>
    </row>
    <row r="417" spans="1:26" ht="14.25" customHeight="1">
      <c r="A417" s="11"/>
      <c r="B417" s="11"/>
      <c r="C417" s="11"/>
      <c r="D417" s="11"/>
      <c r="E417" s="11"/>
      <c r="F417" s="11"/>
      <c r="G417" s="11"/>
      <c r="H417" s="11"/>
      <c r="I417" s="46"/>
      <c r="J417" s="11"/>
      <c r="K417" s="11"/>
      <c r="L417" s="11"/>
      <c r="M417" s="11"/>
      <c r="N417" s="11"/>
      <c r="O417" s="11"/>
      <c r="P417" s="11"/>
      <c r="Q417" s="11"/>
      <c r="R417" s="11"/>
      <c r="S417" s="11"/>
      <c r="T417" s="11"/>
      <c r="U417" s="11"/>
      <c r="V417" s="11"/>
      <c r="W417" s="11"/>
      <c r="X417" s="11"/>
      <c r="Y417" s="11"/>
      <c r="Z417" s="11"/>
    </row>
    <row r="418" spans="1:26" ht="14.25" customHeight="1">
      <c r="A418" s="11"/>
      <c r="B418" s="11"/>
      <c r="C418" s="11"/>
      <c r="D418" s="11"/>
      <c r="E418" s="11"/>
      <c r="F418" s="11"/>
      <c r="G418" s="11"/>
      <c r="H418" s="11"/>
      <c r="I418" s="46"/>
      <c r="J418" s="11"/>
      <c r="K418" s="11"/>
      <c r="L418" s="11"/>
      <c r="M418" s="11"/>
      <c r="N418" s="11"/>
      <c r="O418" s="11"/>
      <c r="P418" s="11"/>
      <c r="Q418" s="11"/>
      <c r="R418" s="11"/>
      <c r="S418" s="11"/>
      <c r="T418" s="11"/>
      <c r="U418" s="11"/>
      <c r="V418" s="11"/>
      <c r="W418" s="11"/>
      <c r="X418" s="11"/>
      <c r="Y418" s="11"/>
      <c r="Z418" s="11"/>
    </row>
    <row r="419" spans="1:26" ht="14.25" customHeight="1">
      <c r="A419" s="11"/>
      <c r="B419" s="11"/>
      <c r="C419" s="11"/>
      <c r="D419" s="11"/>
      <c r="E419" s="11"/>
      <c r="F419" s="11"/>
      <c r="G419" s="11"/>
      <c r="H419" s="11"/>
      <c r="I419" s="46"/>
      <c r="J419" s="11"/>
      <c r="K419" s="11"/>
      <c r="L419" s="11"/>
      <c r="M419" s="11"/>
      <c r="N419" s="11"/>
      <c r="O419" s="11"/>
      <c r="P419" s="11"/>
      <c r="Q419" s="11"/>
      <c r="R419" s="11"/>
      <c r="S419" s="11"/>
      <c r="T419" s="11"/>
      <c r="U419" s="11"/>
      <c r="V419" s="11"/>
      <c r="W419" s="11"/>
      <c r="X419" s="11"/>
      <c r="Y419" s="11"/>
      <c r="Z419" s="11"/>
    </row>
    <row r="420" spans="1:26" ht="14.25" customHeight="1">
      <c r="A420" s="11"/>
      <c r="B420" s="11"/>
      <c r="C420" s="11"/>
      <c r="D420" s="11"/>
      <c r="E420" s="11"/>
      <c r="F420" s="11"/>
      <c r="G420" s="11"/>
      <c r="H420" s="11"/>
      <c r="I420" s="46"/>
      <c r="J420" s="11"/>
      <c r="K420" s="11"/>
      <c r="L420" s="11"/>
      <c r="M420" s="11"/>
      <c r="N420" s="11"/>
      <c r="O420" s="11"/>
      <c r="P420" s="11"/>
      <c r="Q420" s="11"/>
      <c r="R420" s="11"/>
      <c r="S420" s="11"/>
      <c r="T420" s="11"/>
      <c r="U420" s="11"/>
      <c r="V420" s="11"/>
      <c r="W420" s="11"/>
      <c r="X420" s="11"/>
      <c r="Y420" s="11"/>
      <c r="Z420" s="11"/>
    </row>
    <row r="421" spans="1:26" ht="14.25" customHeight="1">
      <c r="A421" s="11"/>
      <c r="B421" s="11"/>
      <c r="C421" s="11"/>
      <c r="D421" s="11"/>
      <c r="E421" s="11"/>
      <c r="F421" s="11"/>
      <c r="G421" s="11"/>
      <c r="H421" s="11"/>
      <c r="I421" s="46"/>
      <c r="J421" s="11"/>
      <c r="K421" s="11"/>
      <c r="L421" s="11"/>
      <c r="M421" s="11"/>
      <c r="N421" s="11"/>
      <c r="O421" s="11"/>
      <c r="P421" s="11"/>
      <c r="Q421" s="11"/>
      <c r="R421" s="11"/>
      <c r="S421" s="11"/>
      <c r="T421" s="11"/>
      <c r="U421" s="11"/>
      <c r="V421" s="11"/>
      <c r="W421" s="11"/>
      <c r="X421" s="11"/>
      <c r="Y421" s="11"/>
      <c r="Z421" s="11"/>
    </row>
    <row r="422" spans="1:26" ht="14.25" customHeight="1">
      <c r="A422" s="11"/>
      <c r="B422" s="11"/>
      <c r="C422" s="11"/>
      <c r="D422" s="11"/>
      <c r="E422" s="11"/>
      <c r="F422" s="11"/>
      <c r="G422" s="11"/>
      <c r="H422" s="11"/>
      <c r="I422" s="46"/>
      <c r="J422" s="11"/>
      <c r="K422" s="11"/>
      <c r="L422" s="11"/>
      <c r="M422" s="11"/>
      <c r="N422" s="11"/>
      <c r="O422" s="11"/>
      <c r="P422" s="11"/>
      <c r="Q422" s="11"/>
      <c r="R422" s="11"/>
      <c r="S422" s="11"/>
      <c r="T422" s="11"/>
      <c r="U422" s="11"/>
      <c r="V422" s="11"/>
      <c r="W422" s="11"/>
      <c r="X422" s="11"/>
      <c r="Y422" s="11"/>
      <c r="Z422" s="11"/>
    </row>
    <row r="423" spans="1:26" ht="14.25" customHeight="1">
      <c r="A423" s="11"/>
      <c r="B423" s="11"/>
      <c r="C423" s="11"/>
      <c r="D423" s="11"/>
      <c r="E423" s="11"/>
      <c r="F423" s="11"/>
      <c r="G423" s="11"/>
      <c r="H423" s="11"/>
      <c r="I423" s="46"/>
      <c r="J423" s="11"/>
      <c r="K423" s="11"/>
      <c r="L423" s="11"/>
      <c r="M423" s="11"/>
      <c r="N423" s="11"/>
      <c r="O423" s="11"/>
      <c r="P423" s="11"/>
      <c r="Q423" s="11"/>
      <c r="R423" s="11"/>
      <c r="S423" s="11"/>
      <c r="T423" s="11"/>
      <c r="U423" s="11"/>
      <c r="V423" s="11"/>
      <c r="W423" s="11"/>
      <c r="X423" s="11"/>
      <c r="Y423" s="11"/>
      <c r="Z423" s="11"/>
    </row>
    <row r="424" spans="1:26" ht="14.25" customHeight="1">
      <c r="A424" s="11"/>
      <c r="B424" s="11"/>
      <c r="C424" s="11"/>
      <c r="D424" s="11"/>
      <c r="E424" s="11"/>
      <c r="F424" s="11"/>
      <c r="G424" s="11"/>
      <c r="H424" s="11"/>
      <c r="I424" s="46"/>
      <c r="J424" s="11"/>
      <c r="K424" s="11"/>
      <c r="L424" s="11"/>
      <c r="M424" s="11"/>
      <c r="N424" s="11"/>
      <c r="O424" s="11"/>
      <c r="P424" s="11"/>
      <c r="Q424" s="11"/>
      <c r="R424" s="11"/>
      <c r="S424" s="11"/>
      <c r="T424" s="11"/>
      <c r="U424" s="11"/>
      <c r="V424" s="11"/>
      <c r="W424" s="11"/>
      <c r="X424" s="11"/>
      <c r="Y424" s="11"/>
      <c r="Z424" s="11"/>
    </row>
    <row r="425" spans="1:26" ht="14.25" customHeight="1">
      <c r="A425" s="11"/>
      <c r="B425" s="11"/>
      <c r="C425" s="11"/>
      <c r="D425" s="11"/>
      <c r="E425" s="11"/>
      <c r="F425" s="11"/>
      <c r="G425" s="11"/>
      <c r="H425" s="11"/>
      <c r="I425" s="46"/>
      <c r="J425" s="11"/>
      <c r="K425" s="11"/>
      <c r="L425" s="11"/>
      <c r="M425" s="11"/>
      <c r="N425" s="11"/>
      <c r="O425" s="11"/>
      <c r="P425" s="11"/>
      <c r="Q425" s="11"/>
      <c r="R425" s="11"/>
      <c r="S425" s="11"/>
      <c r="T425" s="11"/>
      <c r="U425" s="11"/>
      <c r="V425" s="11"/>
      <c r="W425" s="11"/>
      <c r="X425" s="11"/>
      <c r="Y425" s="11"/>
      <c r="Z425" s="11"/>
    </row>
    <row r="426" spans="1:26" ht="14.25" customHeight="1">
      <c r="A426" s="11"/>
      <c r="B426" s="11"/>
      <c r="C426" s="11"/>
      <c r="D426" s="11"/>
      <c r="E426" s="11"/>
      <c r="F426" s="11"/>
      <c r="G426" s="11"/>
      <c r="H426" s="11"/>
      <c r="I426" s="46"/>
      <c r="J426" s="11"/>
      <c r="K426" s="11"/>
      <c r="L426" s="11"/>
      <c r="M426" s="11"/>
      <c r="N426" s="11"/>
      <c r="O426" s="11"/>
      <c r="P426" s="11"/>
      <c r="Q426" s="11"/>
      <c r="R426" s="11"/>
      <c r="S426" s="11"/>
      <c r="T426" s="11"/>
      <c r="U426" s="11"/>
      <c r="V426" s="11"/>
      <c r="W426" s="11"/>
      <c r="X426" s="11"/>
      <c r="Y426" s="11"/>
      <c r="Z426" s="11"/>
    </row>
    <row r="427" spans="1:26" ht="14.25" customHeight="1">
      <c r="A427" s="11"/>
      <c r="B427" s="11"/>
      <c r="C427" s="11"/>
      <c r="D427" s="11"/>
      <c r="E427" s="11"/>
      <c r="F427" s="11"/>
      <c r="G427" s="11"/>
      <c r="H427" s="11"/>
      <c r="I427" s="46"/>
      <c r="J427" s="11"/>
      <c r="K427" s="11"/>
      <c r="L427" s="11"/>
      <c r="M427" s="11"/>
      <c r="N427" s="11"/>
      <c r="O427" s="11"/>
      <c r="P427" s="11"/>
      <c r="Q427" s="11"/>
      <c r="R427" s="11"/>
      <c r="S427" s="11"/>
      <c r="T427" s="11"/>
      <c r="U427" s="11"/>
      <c r="V427" s="11"/>
      <c r="W427" s="11"/>
      <c r="X427" s="11"/>
      <c r="Y427" s="11"/>
      <c r="Z427" s="11"/>
    </row>
    <row r="428" spans="1:26" ht="14.25" customHeight="1">
      <c r="A428" s="11"/>
      <c r="B428" s="11"/>
      <c r="C428" s="11"/>
      <c r="D428" s="11"/>
      <c r="E428" s="11"/>
      <c r="F428" s="11"/>
      <c r="G428" s="11"/>
      <c r="H428" s="11"/>
      <c r="I428" s="46"/>
      <c r="J428" s="11"/>
      <c r="K428" s="11"/>
      <c r="L428" s="11"/>
      <c r="M428" s="11"/>
      <c r="N428" s="11"/>
      <c r="O428" s="11"/>
      <c r="P428" s="11"/>
      <c r="Q428" s="11"/>
      <c r="R428" s="11"/>
      <c r="S428" s="11"/>
      <c r="T428" s="11"/>
      <c r="U428" s="11"/>
      <c r="V428" s="11"/>
      <c r="W428" s="11"/>
      <c r="X428" s="11"/>
      <c r="Y428" s="11"/>
      <c r="Z428" s="11"/>
    </row>
    <row r="429" spans="1:26" ht="14.25" customHeight="1">
      <c r="A429" s="11"/>
      <c r="B429" s="11"/>
      <c r="C429" s="11"/>
      <c r="D429" s="11"/>
      <c r="E429" s="11"/>
      <c r="F429" s="11"/>
      <c r="G429" s="11"/>
      <c r="H429" s="11"/>
      <c r="I429" s="46"/>
      <c r="J429" s="11"/>
      <c r="K429" s="11"/>
      <c r="L429" s="11"/>
      <c r="M429" s="11"/>
      <c r="N429" s="11"/>
      <c r="O429" s="11"/>
      <c r="P429" s="11"/>
      <c r="Q429" s="11"/>
      <c r="R429" s="11"/>
      <c r="S429" s="11"/>
      <c r="T429" s="11"/>
      <c r="U429" s="11"/>
      <c r="V429" s="11"/>
      <c r="W429" s="11"/>
      <c r="X429" s="11"/>
      <c r="Y429" s="11"/>
      <c r="Z429" s="11"/>
    </row>
    <row r="430" spans="1:26" ht="14.25" customHeight="1">
      <c r="A430" s="11"/>
      <c r="B430" s="11"/>
      <c r="C430" s="11"/>
      <c r="D430" s="11"/>
      <c r="E430" s="11"/>
      <c r="F430" s="11"/>
      <c r="G430" s="11"/>
      <c r="H430" s="11"/>
      <c r="I430" s="46"/>
      <c r="J430" s="11"/>
      <c r="K430" s="11"/>
      <c r="L430" s="11"/>
      <c r="M430" s="11"/>
      <c r="N430" s="11"/>
      <c r="O430" s="11"/>
      <c r="P430" s="11"/>
      <c r="Q430" s="11"/>
      <c r="R430" s="11"/>
      <c r="S430" s="11"/>
      <c r="T430" s="11"/>
      <c r="U430" s="11"/>
      <c r="V430" s="11"/>
      <c r="W430" s="11"/>
      <c r="X430" s="11"/>
      <c r="Y430" s="11"/>
      <c r="Z430" s="11"/>
    </row>
    <row r="431" spans="1:26" ht="14.25" customHeight="1">
      <c r="A431" s="11"/>
      <c r="B431" s="11"/>
      <c r="C431" s="11"/>
      <c r="D431" s="11"/>
      <c r="E431" s="11"/>
      <c r="F431" s="11"/>
      <c r="G431" s="11"/>
      <c r="H431" s="11"/>
      <c r="I431" s="46"/>
      <c r="J431" s="11"/>
      <c r="K431" s="11"/>
      <c r="L431" s="11"/>
      <c r="M431" s="11"/>
      <c r="N431" s="11"/>
      <c r="O431" s="11"/>
      <c r="P431" s="11"/>
      <c r="Q431" s="11"/>
      <c r="R431" s="11"/>
      <c r="S431" s="11"/>
      <c r="T431" s="11"/>
      <c r="U431" s="11"/>
      <c r="V431" s="11"/>
      <c r="W431" s="11"/>
      <c r="X431" s="11"/>
      <c r="Y431" s="11"/>
      <c r="Z431" s="11"/>
    </row>
    <row r="432" spans="1:26" ht="14.25" customHeight="1">
      <c r="A432" s="11"/>
      <c r="B432" s="11"/>
      <c r="C432" s="11"/>
      <c r="D432" s="11"/>
      <c r="E432" s="11"/>
      <c r="F432" s="11"/>
      <c r="G432" s="11"/>
      <c r="H432" s="11"/>
      <c r="I432" s="46"/>
      <c r="J432" s="11"/>
      <c r="K432" s="11"/>
      <c r="L432" s="11"/>
      <c r="M432" s="11"/>
      <c r="N432" s="11"/>
      <c r="O432" s="11"/>
      <c r="P432" s="11"/>
      <c r="Q432" s="11"/>
      <c r="R432" s="11"/>
      <c r="S432" s="11"/>
      <c r="T432" s="11"/>
      <c r="U432" s="11"/>
      <c r="V432" s="11"/>
      <c r="W432" s="11"/>
      <c r="X432" s="11"/>
      <c r="Y432" s="11"/>
      <c r="Z432" s="11"/>
    </row>
    <row r="433" spans="1:26" ht="14.25" customHeight="1">
      <c r="A433" s="11"/>
      <c r="B433" s="11"/>
      <c r="C433" s="11"/>
      <c r="D433" s="11"/>
      <c r="E433" s="11"/>
      <c r="F433" s="11"/>
      <c r="G433" s="11"/>
      <c r="H433" s="11"/>
      <c r="I433" s="46"/>
      <c r="J433" s="11"/>
      <c r="K433" s="11"/>
      <c r="L433" s="11"/>
      <c r="M433" s="11"/>
      <c r="N433" s="11"/>
      <c r="O433" s="11"/>
      <c r="P433" s="11"/>
      <c r="Q433" s="11"/>
      <c r="R433" s="11"/>
      <c r="S433" s="11"/>
      <c r="T433" s="11"/>
      <c r="U433" s="11"/>
      <c r="V433" s="11"/>
      <c r="W433" s="11"/>
      <c r="X433" s="11"/>
      <c r="Y433" s="11"/>
      <c r="Z433" s="11"/>
    </row>
    <row r="434" spans="1:26" ht="14.25" customHeight="1">
      <c r="A434" s="11"/>
      <c r="B434" s="11"/>
      <c r="C434" s="11"/>
      <c r="D434" s="11"/>
      <c r="E434" s="11"/>
      <c r="F434" s="11"/>
      <c r="G434" s="11"/>
      <c r="H434" s="11"/>
      <c r="I434" s="46"/>
      <c r="J434" s="11"/>
      <c r="K434" s="11"/>
      <c r="L434" s="11"/>
      <c r="M434" s="11"/>
      <c r="N434" s="11"/>
      <c r="O434" s="11"/>
      <c r="P434" s="11"/>
      <c r="Q434" s="11"/>
      <c r="R434" s="11"/>
      <c r="S434" s="11"/>
      <c r="T434" s="11"/>
      <c r="U434" s="11"/>
      <c r="V434" s="11"/>
      <c r="W434" s="11"/>
      <c r="X434" s="11"/>
      <c r="Y434" s="11"/>
      <c r="Z434" s="11"/>
    </row>
    <row r="435" spans="1:26" ht="14.25" customHeight="1">
      <c r="A435" s="11"/>
      <c r="B435" s="11"/>
      <c r="C435" s="11"/>
      <c r="D435" s="11"/>
      <c r="E435" s="11"/>
      <c r="F435" s="11"/>
      <c r="G435" s="11"/>
      <c r="H435" s="11"/>
      <c r="I435" s="46"/>
      <c r="J435" s="11"/>
      <c r="K435" s="11"/>
      <c r="L435" s="11"/>
      <c r="M435" s="11"/>
      <c r="N435" s="11"/>
      <c r="O435" s="11"/>
      <c r="P435" s="11"/>
      <c r="Q435" s="11"/>
      <c r="R435" s="11"/>
      <c r="S435" s="11"/>
      <c r="T435" s="11"/>
      <c r="U435" s="11"/>
      <c r="V435" s="11"/>
      <c r="W435" s="11"/>
      <c r="X435" s="11"/>
      <c r="Y435" s="11"/>
      <c r="Z435" s="11"/>
    </row>
    <row r="436" spans="1:26" ht="14.25" customHeight="1">
      <c r="A436" s="11"/>
      <c r="B436" s="11"/>
      <c r="C436" s="11"/>
      <c r="D436" s="11"/>
      <c r="E436" s="11"/>
      <c r="F436" s="11"/>
      <c r="G436" s="11"/>
      <c r="H436" s="11"/>
      <c r="I436" s="46"/>
      <c r="J436" s="11"/>
      <c r="K436" s="11"/>
      <c r="L436" s="11"/>
      <c r="M436" s="11"/>
      <c r="N436" s="11"/>
      <c r="O436" s="11"/>
      <c r="P436" s="11"/>
      <c r="Q436" s="11"/>
      <c r="R436" s="11"/>
      <c r="S436" s="11"/>
      <c r="T436" s="11"/>
      <c r="U436" s="11"/>
      <c r="V436" s="11"/>
      <c r="W436" s="11"/>
      <c r="X436" s="11"/>
      <c r="Y436" s="11"/>
      <c r="Z436" s="11"/>
    </row>
    <row r="437" spans="1:26" ht="14.25" customHeight="1">
      <c r="A437" s="11"/>
      <c r="B437" s="11"/>
      <c r="C437" s="11"/>
      <c r="D437" s="11"/>
      <c r="E437" s="11"/>
      <c r="F437" s="11"/>
      <c r="G437" s="11"/>
      <c r="H437" s="11"/>
      <c r="I437" s="46"/>
      <c r="J437" s="11"/>
      <c r="K437" s="11"/>
      <c r="L437" s="11"/>
      <c r="M437" s="11"/>
      <c r="N437" s="11"/>
      <c r="O437" s="11"/>
      <c r="P437" s="11"/>
      <c r="Q437" s="11"/>
      <c r="R437" s="11"/>
      <c r="S437" s="11"/>
      <c r="T437" s="11"/>
      <c r="U437" s="11"/>
      <c r="V437" s="11"/>
      <c r="W437" s="11"/>
      <c r="X437" s="11"/>
      <c r="Y437" s="11"/>
      <c r="Z437" s="11"/>
    </row>
    <row r="438" spans="1:26" ht="14.25" customHeight="1">
      <c r="A438" s="11"/>
      <c r="B438" s="11"/>
      <c r="C438" s="11"/>
      <c r="D438" s="11"/>
      <c r="E438" s="11"/>
      <c r="F438" s="11"/>
      <c r="G438" s="11"/>
      <c r="H438" s="11"/>
      <c r="I438" s="46"/>
      <c r="J438" s="11"/>
      <c r="K438" s="11"/>
      <c r="L438" s="11"/>
      <c r="M438" s="11"/>
      <c r="N438" s="11"/>
      <c r="O438" s="11"/>
      <c r="P438" s="11"/>
      <c r="Q438" s="11"/>
      <c r="R438" s="11"/>
      <c r="S438" s="11"/>
      <c r="T438" s="11"/>
      <c r="U438" s="11"/>
      <c r="V438" s="11"/>
      <c r="W438" s="11"/>
      <c r="X438" s="11"/>
      <c r="Y438" s="11"/>
      <c r="Z438" s="11"/>
    </row>
    <row r="439" spans="1:26" ht="14.25" customHeight="1">
      <c r="A439" s="11"/>
      <c r="B439" s="11"/>
      <c r="C439" s="11"/>
      <c r="D439" s="11"/>
      <c r="E439" s="11"/>
      <c r="F439" s="11"/>
      <c r="G439" s="11"/>
      <c r="H439" s="11"/>
      <c r="I439" s="46"/>
      <c r="J439" s="11"/>
      <c r="K439" s="11"/>
      <c r="L439" s="11"/>
      <c r="M439" s="11"/>
      <c r="N439" s="11"/>
      <c r="O439" s="11"/>
      <c r="P439" s="11"/>
      <c r="Q439" s="11"/>
      <c r="R439" s="11"/>
      <c r="S439" s="11"/>
      <c r="T439" s="11"/>
      <c r="U439" s="11"/>
      <c r="V439" s="11"/>
      <c r="W439" s="11"/>
      <c r="X439" s="11"/>
      <c r="Y439" s="11"/>
      <c r="Z439" s="11"/>
    </row>
    <row r="440" spans="1:26" ht="14.25" customHeight="1">
      <c r="A440" s="11"/>
      <c r="B440" s="11"/>
      <c r="C440" s="11"/>
      <c r="D440" s="11"/>
      <c r="E440" s="11"/>
      <c r="F440" s="11"/>
      <c r="G440" s="11"/>
      <c r="H440" s="11"/>
      <c r="I440" s="46"/>
      <c r="J440" s="11"/>
      <c r="K440" s="11"/>
      <c r="L440" s="11"/>
      <c r="M440" s="11"/>
      <c r="N440" s="11"/>
      <c r="O440" s="11"/>
      <c r="P440" s="11"/>
      <c r="Q440" s="11"/>
      <c r="R440" s="11"/>
      <c r="S440" s="11"/>
      <c r="T440" s="11"/>
      <c r="U440" s="11"/>
      <c r="V440" s="11"/>
      <c r="W440" s="11"/>
      <c r="X440" s="11"/>
      <c r="Y440" s="11"/>
      <c r="Z440" s="11"/>
    </row>
    <row r="441" spans="1:26" ht="14.25" customHeight="1">
      <c r="A441" s="11"/>
      <c r="B441" s="11"/>
      <c r="C441" s="11"/>
      <c r="D441" s="11"/>
      <c r="E441" s="11"/>
      <c r="F441" s="11"/>
      <c r="G441" s="11"/>
      <c r="H441" s="11"/>
      <c r="I441" s="46"/>
      <c r="J441" s="11"/>
      <c r="K441" s="11"/>
      <c r="L441" s="11"/>
      <c r="M441" s="11"/>
      <c r="N441" s="11"/>
      <c r="O441" s="11"/>
      <c r="P441" s="11"/>
      <c r="Q441" s="11"/>
      <c r="R441" s="11"/>
      <c r="S441" s="11"/>
      <c r="T441" s="11"/>
      <c r="U441" s="11"/>
      <c r="V441" s="11"/>
      <c r="W441" s="11"/>
      <c r="X441" s="11"/>
      <c r="Y441" s="11"/>
      <c r="Z441" s="11"/>
    </row>
    <row r="442" spans="1:26" ht="14.25" customHeight="1">
      <c r="A442" s="11"/>
      <c r="B442" s="11"/>
      <c r="C442" s="11"/>
      <c r="D442" s="11"/>
      <c r="E442" s="11"/>
      <c r="F442" s="11"/>
      <c r="G442" s="11"/>
      <c r="H442" s="11"/>
      <c r="I442" s="46"/>
      <c r="J442" s="11"/>
      <c r="K442" s="11"/>
      <c r="L442" s="11"/>
      <c r="M442" s="11"/>
      <c r="N442" s="11"/>
      <c r="O442" s="11"/>
      <c r="P442" s="11"/>
      <c r="Q442" s="11"/>
      <c r="R442" s="11"/>
      <c r="S442" s="11"/>
      <c r="T442" s="11"/>
      <c r="U442" s="11"/>
      <c r="V442" s="11"/>
      <c r="W442" s="11"/>
      <c r="X442" s="11"/>
      <c r="Y442" s="11"/>
      <c r="Z442" s="11"/>
    </row>
    <row r="443" spans="1:26" ht="14.25" customHeight="1">
      <c r="A443" s="11"/>
      <c r="B443" s="11"/>
      <c r="C443" s="11"/>
      <c r="D443" s="11"/>
      <c r="E443" s="11"/>
      <c r="F443" s="11"/>
      <c r="G443" s="11"/>
      <c r="H443" s="11"/>
      <c r="I443" s="46"/>
      <c r="J443" s="11"/>
      <c r="K443" s="11"/>
      <c r="L443" s="11"/>
      <c r="M443" s="11"/>
      <c r="N443" s="11"/>
      <c r="O443" s="11"/>
      <c r="P443" s="11"/>
      <c r="Q443" s="11"/>
      <c r="R443" s="11"/>
      <c r="S443" s="11"/>
      <c r="T443" s="11"/>
      <c r="U443" s="11"/>
      <c r="V443" s="11"/>
      <c r="W443" s="11"/>
      <c r="X443" s="11"/>
      <c r="Y443" s="11"/>
      <c r="Z443" s="11"/>
    </row>
    <row r="444" spans="1:26" ht="14.25" customHeight="1">
      <c r="A444" s="11"/>
      <c r="B444" s="11"/>
      <c r="C444" s="11"/>
      <c r="D444" s="11"/>
      <c r="E444" s="11"/>
      <c r="F444" s="11"/>
      <c r="G444" s="11"/>
      <c r="H444" s="11"/>
      <c r="I444" s="46"/>
      <c r="J444" s="11"/>
      <c r="K444" s="11"/>
      <c r="L444" s="11"/>
      <c r="M444" s="11"/>
      <c r="N444" s="11"/>
      <c r="O444" s="11"/>
      <c r="P444" s="11"/>
      <c r="Q444" s="11"/>
      <c r="R444" s="11"/>
      <c r="S444" s="11"/>
      <c r="T444" s="11"/>
      <c r="U444" s="11"/>
      <c r="V444" s="11"/>
      <c r="W444" s="11"/>
      <c r="X444" s="11"/>
      <c r="Y444" s="11"/>
      <c r="Z444" s="11"/>
    </row>
    <row r="445" spans="1:26" ht="14.25" customHeight="1">
      <c r="A445" s="11"/>
      <c r="B445" s="11"/>
      <c r="C445" s="11"/>
      <c r="D445" s="11"/>
      <c r="E445" s="11"/>
      <c r="F445" s="11"/>
      <c r="G445" s="11"/>
      <c r="H445" s="11"/>
      <c r="I445" s="46"/>
      <c r="J445" s="11"/>
      <c r="K445" s="11"/>
      <c r="L445" s="11"/>
      <c r="M445" s="11"/>
      <c r="N445" s="11"/>
      <c r="O445" s="11"/>
      <c r="P445" s="11"/>
      <c r="Q445" s="11"/>
      <c r="R445" s="11"/>
      <c r="S445" s="11"/>
      <c r="T445" s="11"/>
      <c r="U445" s="11"/>
      <c r="V445" s="11"/>
      <c r="W445" s="11"/>
      <c r="X445" s="11"/>
      <c r="Y445" s="11"/>
      <c r="Z445" s="11"/>
    </row>
    <row r="446" spans="1:26" ht="14.25" customHeight="1">
      <c r="A446" s="11"/>
      <c r="B446" s="11"/>
      <c r="C446" s="11"/>
      <c r="D446" s="11"/>
      <c r="E446" s="11"/>
      <c r="F446" s="11"/>
      <c r="G446" s="11"/>
      <c r="H446" s="11"/>
      <c r="I446" s="46"/>
      <c r="J446" s="11"/>
      <c r="K446" s="11"/>
      <c r="L446" s="11"/>
      <c r="M446" s="11"/>
      <c r="N446" s="11"/>
      <c r="O446" s="11"/>
      <c r="P446" s="11"/>
      <c r="Q446" s="11"/>
      <c r="R446" s="11"/>
      <c r="S446" s="11"/>
      <c r="T446" s="11"/>
      <c r="U446" s="11"/>
      <c r="V446" s="11"/>
      <c r="W446" s="11"/>
      <c r="X446" s="11"/>
      <c r="Y446" s="11"/>
      <c r="Z446" s="11"/>
    </row>
    <row r="447" spans="1:26" ht="14.25" customHeight="1">
      <c r="A447" s="11"/>
      <c r="B447" s="11"/>
      <c r="C447" s="11"/>
      <c r="D447" s="11"/>
      <c r="E447" s="11"/>
      <c r="F447" s="11"/>
      <c r="G447" s="11"/>
      <c r="H447" s="11"/>
      <c r="I447" s="46"/>
      <c r="J447" s="11"/>
      <c r="K447" s="11"/>
      <c r="L447" s="11"/>
      <c r="M447" s="11"/>
      <c r="N447" s="11"/>
      <c r="O447" s="11"/>
      <c r="P447" s="11"/>
      <c r="Q447" s="11"/>
      <c r="R447" s="11"/>
      <c r="S447" s="11"/>
      <c r="T447" s="11"/>
      <c r="U447" s="11"/>
      <c r="V447" s="11"/>
      <c r="W447" s="11"/>
      <c r="X447" s="11"/>
      <c r="Y447" s="11"/>
      <c r="Z447" s="11"/>
    </row>
    <row r="448" spans="1:26" ht="14.25" customHeight="1">
      <c r="A448" s="11"/>
      <c r="B448" s="11"/>
      <c r="C448" s="11"/>
      <c r="D448" s="11"/>
      <c r="E448" s="11"/>
      <c r="F448" s="11"/>
      <c r="G448" s="11"/>
      <c r="H448" s="11"/>
      <c r="I448" s="46"/>
      <c r="J448" s="11"/>
      <c r="K448" s="11"/>
      <c r="L448" s="11"/>
      <c r="M448" s="11"/>
      <c r="N448" s="11"/>
      <c r="O448" s="11"/>
      <c r="P448" s="11"/>
      <c r="Q448" s="11"/>
      <c r="R448" s="11"/>
      <c r="S448" s="11"/>
      <c r="T448" s="11"/>
      <c r="U448" s="11"/>
      <c r="V448" s="11"/>
      <c r="W448" s="11"/>
      <c r="X448" s="11"/>
      <c r="Y448" s="11"/>
      <c r="Z448" s="11"/>
    </row>
    <row r="449" spans="1:26" ht="14.25" customHeight="1">
      <c r="A449" s="11"/>
      <c r="B449" s="11"/>
      <c r="C449" s="11"/>
      <c r="D449" s="11"/>
      <c r="E449" s="11"/>
      <c r="F449" s="11"/>
      <c r="G449" s="11"/>
      <c r="H449" s="11"/>
      <c r="I449" s="46"/>
      <c r="J449" s="11"/>
      <c r="K449" s="11"/>
      <c r="L449" s="11"/>
      <c r="M449" s="11"/>
      <c r="N449" s="11"/>
      <c r="O449" s="11"/>
      <c r="P449" s="11"/>
      <c r="Q449" s="11"/>
      <c r="R449" s="11"/>
      <c r="S449" s="11"/>
      <c r="T449" s="11"/>
      <c r="U449" s="11"/>
      <c r="V449" s="11"/>
      <c r="W449" s="11"/>
      <c r="X449" s="11"/>
      <c r="Y449" s="11"/>
      <c r="Z449" s="11"/>
    </row>
    <row r="450" spans="1:26" ht="14.25" customHeight="1">
      <c r="A450" s="11"/>
      <c r="B450" s="11"/>
      <c r="C450" s="11"/>
      <c r="D450" s="11"/>
      <c r="E450" s="11"/>
      <c r="F450" s="11"/>
      <c r="G450" s="11"/>
      <c r="H450" s="11"/>
      <c r="I450" s="46"/>
      <c r="J450" s="11"/>
      <c r="K450" s="11"/>
      <c r="L450" s="11"/>
      <c r="M450" s="11"/>
      <c r="N450" s="11"/>
      <c r="O450" s="11"/>
      <c r="P450" s="11"/>
      <c r="Q450" s="11"/>
      <c r="R450" s="11"/>
      <c r="S450" s="11"/>
      <c r="T450" s="11"/>
      <c r="U450" s="11"/>
      <c r="V450" s="11"/>
      <c r="W450" s="11"/>
      <c r="X450" s="11"/>
      <c r="Y450" s="11"/>
      <c r="Z450" s="11"/>
    </row>
    <row r="451" spans="1:26" ht="14.25" customHeight="1">
      <c r="A451" s="11"/>
      <c r="B451" s="11"/>
      <c r="C451" s="11"/>
      <c r="D451" s="11"/>
      <c r="E451" s="11"/>
      <c r="F451" s="11"/>
      <c r="G451" s="11"/>
      <c r="H451" s="11"/>
      <c r="I451" s="46"/>
      <c r="J451" s="11"/>
      <c r="K451" s="11"/>
      <c r="L451" s="11"/>
      <c r="M451" s="11"/>
      <c r="N451" s="11"/>
      <c r="O451" s="11"/>
      <c r="P451" s="11"/>
      <c r="Q451" s="11"/>
      <c r="R451" s="11"/>
      <c r="S451" s="11"/>
      <c r="T451" s="11"/>
      <c r="U451" s="11"/>
      <c r="V451" s="11"/>
      <c r="W451" s="11"/>
      <c r="X451" s="11"/>
      <c r="Y451" s="11"/>
      <c r="Z451" s="11"/>
    </row>
    <row r="452" spans="1:26" ht="14.25" customHeight="1">
      <c r="A452" s="11"/>
      <c r="B452" s="11"/>
      <c r="C452" s="11"/>
      <c r="D452" s="11"/>
      <c r="E452" s="11"/>
      <c r="F452" s="11"/>
      <c r="G452" s="11"/>
      <c r="H452" s="11"/>
      <c r="I452" s="46"/>
      <c r="J452" s="11"/>
      <c r="K452" s="11"/>
      <c r="L452" s="11"/>
      <c r="M452" s="11"/>
      <c r="N452" s="11"/>
      <c r="O452" s="11"/>
      <c r="P452" s="11"/>
      <c r="Q452" s="11"/>
      <c r="R452" s="11"/>
      <c r="S452" s="11"/>
      <c r="T452" s="11"/>
      <c r="U452" s="11"/>
      <c r="V452" s="11"/>
      <c r="W452" s="11"/>
      <c r="X452" s="11"/>
      <c r="Y452" s="11"/>
      <c r="Z452" s="11"/>
    </row>
    <row r="453" spans="1:26" ht="14.25" customHeight="1">
      <c r="A453" s="11"/>
      <c r="B453" s="11"/>
      <c r="C453" s="11"/>
      <c r="D453" s="11"/>
      <c r="E453" s="11"/>
      <c r="F453" s="11"/>
      <c r="G453" s="11"/>
      <c r="H453" s="11"/>
      <c r="I453" s="46"/>
      <c r="J453" s="11"/>
      <c r="K453" s="11"/>
      <c r="L453" s="11"/>
      <c r="M453" s="11"/>
      <c r="N453" s="11"/>
      <c r="O453" s="11"/>
      <c r="P453" s="11"/>
      <c r="Q453" s="11"/>
      <c r="R453" s="11"/>
      <c r="S453" s="11"/>
      <c r="T453" s="11"/>
      <c r="U453" s="11"/>
      <c r="V453" s="11"/>
      <c r="W453" s="11"/>
      <c r="X453" s="11"/>
      <c r="Y453" s="11"/>
      <c r="Z453" s="11"/>
    </row>
    <row r="454" spans="1:26" ht="14.25" customHeight="1">
      <c r="A454" s="11"/>
      <c r="B454" s="11"/>
      <c r="C454" s="11"/>
      <c r="D454" s="11"/>
      <c r="E454" s="11"/>
      <c r="F454" s="11"/>
      <c r="G454" s="11"/>
      <c r="H454" s="11"/>
      <c r="I454" s="46"/>
      <c r="J454" s="11"/>
      <c r="K454" s="11"/>
      <c r="L454" s="11"/>
      <c r="M454" s="11"/>
      <c r="N454" s="11"/>
      <c r="O454" s="11"/>
      <c r="P454" s="11"/>
      <c r="Q454" s="11"/>
      <c r="R454" s="11"/>
      <c r="S454" s="11"/>
      <c r="T454" s="11"/>
      <c r="U454" s="11"/>
      <c r="V454" s="11"/>
      <c r="W454" s="11"/>
      <c r="X454" s="11"/>
      <c r="Y454" s="11"/>
      <c r="Z454" s="11"/>
    </row>
    <row r="455" spans="1:26" ht="14.25" customHeight="1">
      <c r="A455" s="11"/>
      <c r="B455" s="11"/>
      <c r="C455" s="11"/>
      <c r="D455" s="11"/>
      <c r="E455" s="11"/>
      <c r="F455" s="11"/>
      <c r="G455" s="11"/>
      <c r="H455" s="11"/>
      <c r="I455" s="46"/>
      <c r="J455" s="11"/>
      <c r="K455" s="11"/>
      <c r="L455" s="11"/>
      <c r="M455" s="11"/>
      <c r="N455" s="11"/>
      <c r="O455" s="11"/>
      <c r="P455" s="11"/>
      <c r="Q455" s="11"/>
      <c r="R455" s="11"/>
      <c r="S455" s="11"/>
      <c r="T455" s="11"/>
      <c r="U455" s="11"/>
      <c r="V455" s="11"/>
      <c r="W455" s="11"/>
      <c r="X455" s="11"/>
      <c r="Y455" s="11"/>
      <c r="Z455" s="11"/>
    </row>
    <row r="456" spans="1:26" ht="14.25" customHeight="1">
      <c r="A456" s="11"/>
      <c r="B456" s="11"/>
      <c r="C456" s="11"/>
      <c r="D456" s="11"/>
      <c r="E456" s="11"/>
      <c r="F456" s="11"/>
      <c r="G456" s="11"/>
      <c r="H456" s="11"/>
      <c r="I456" s="46"/>
      <c r="J456" s="11"/>
      <c r="K456" s="11"/>
      <c r="L456" s="11"/>
      <c r="M456" s="11"/>
      <c r="N456" s="11"/>
      <c r="O456" s="11"/>
      <c r="P456" s="11"/>
      <c r="Q456" s="11"/>
      <c r="R456" s="11"/>
      <c r="S456" s="11"/>
      <c r="T456" s="11"/>
      <c r="U456" s="11"/>
      <c r="V456" s="11"/>
      <c r="W456" s="11"/>
      <c r="X456" s="11"/>
      <c r="Y456" s="11"/>
      <c r="Z456" s="11"/>
    </row>
    <row r="457" spans="1:26" ht="14.25" customHeight="1">
      <c r="A457" s="11"/>
      <c r="B457" s="11"/>
      <c r="C457" s="11"/>
      <c r="D457" s="11"/>
      <c r="E457" s="11"/>
      <c r="F457" s="11"/>
      <c r="G457" s="11"/>
      <c r="H457" s="11"/>
      <c r="I457" s="46"/>
      <c r="J457" s="11"/>
      <c r="K457" s="11"/>
      <c r="L457" s="11"/>
      <c r="M457" s="11"/>
      <c r="N457" s="11"/>
      <c r="O457" s="11"/>
      <c r="P457" s="11"/>
      <c r="Q457" s="11"/>
      <c r="R457" s="11"/>
      <c r="S457" s="11"/>
      <c r="T457" s="11"/>
      <c r="U457" s="11"/>
      <c r="V457" s="11"/>
      <c r="W457" s="11"/>
      <c r="X457" s="11"/>
      <c r="Y457" s="11"/>
      <c r="Z457" s="11"/>
    </row>
    <row r="458" spans="1:26" ht="14.25" customHeight="1">
      <c r="A458" s="11"/>
      <c r="B458" s="11"/>
      <c r="C458" s="11"/>
      <c r="D458" s="11"/>
      <c r="E458" s="11"/>
      <c r="F458" s="11"/>
      <c r="G458" s="11"/>
      <c r="H458" s="11"/>
      <c r="I458" s="46"/>
      <c r="J458" s="11"/>
      <c r="K458" s="11"/>
      <c r="L458" s="11"/>
      <c r="M458" s="11"/>
      <c r="N458" s="11"/>
      <c r="O458" s="11"/>
      <c r="P458" s="11"/>
      <c r="Q458" s="11"/>
      <c r="R458" s="11"/>
      <c r="S458" s="11"/>
      <c r="T458" s="11"/>
      <c r="U458" s="11"/>
      <c r="V458" s="11"/>
      <c r="W458" s="11"/>
      <c r="X458" s="11"/>
      <c r="Y458" s="11"/>
      <c r="Z458" s="11"/>
    </row>
    <row r="459" spans="1:26" ht="14.25" customHeight="1">
      <c r="A459" s="11"/>
      <c r="B459" s="11"/>
      <c r="C459" s="11"/>
      <c r="D459" s="11"/>
      <c r="E459" s="11"/>
      <c r="F459" s="11"/>
      <c r="G459" s="11"/>
      <c r="H459" s="11"/>
      <c r="I459" s="46"/>
      <c r="J459" s="11"/>
      <c r="K459" s="11"/>
      <c r="L459" s="11"/>
      <c r="M459" s="11"/>
      <c r="N459" s="11"/>
      <c r="O459" s="11"/>
      <c r="P459" s="11"/>
      <c r="Q459" s="11"/>
      <c r="R459" s="11"/>
      <c r="S459" s="11"/>
      <c r="T459" s="11"/>
      <c r="U459" s="11"/>
      <c r="V459" s="11"/>
      <c r="W459" s="11"/>
      <c r="X459" s="11"/>
      <c r="Y459" s="11"/>
      <c r="Z459" s="11"/>
    </row>
    <row r="460" spans="1:26" ht="14.25" customHeight="1">
      <c r="A460" s="11"/>
      <c r="B460" s="11"/>
      <c r="C460" s="11"/>
      <c r="D460" s="11"/>
      <c r="E460" s="11"/>
      <c r="F460" s="11"/>
      <c r="G460" s="11"/>
      <c r="H460" s="11"/>
      <c r="I460" s="46"/>
      <c r="J460" s="11"/>
      <c r="K460" s="11"/>
      <c r="L460" s="11"/>
      <c r="M460" s="11"/>
      <c r="N460" s="11"/>
      <c r="O460" s="11"/>
      <c r="P460" s="11"/>
      <c r="Q460" s="11"/>
      <c r="R460" s="11"/>
      <c r="S460" s="11"/>
      <c r="T460" s="11"/>
      <c r="U460" s="11"/>
      <c r="V460" s="11"/>
      <c r="W460" s="11"/>
      <c r="X460" s="11"/>
      <c r="Y460" s="11"/>
      <c r="Z460" s="11"/>
    </row>
    <row r="461" spans="1:26" ht="14.25" customHeight="1">
      <c r="A461" s="11"/>
      <c r="B461" s="11"/>
      <c r="C461" s="11"/>
      <c r="D461" s="11"/>
      <c r="E461" s="11"/>
      <c r="F461" s="11"/>
      <c r="G461" s="11"/>
      <c r="H461" s="11"/>
      <c r="I461" s="46"/>
      <c r="J461" s="11"/>
      <c r="K461" s="11"/>
      <c r="L461" s="11"/>
      <c r="M461" s="11"/>
      <c r="N461" s="11"/>
      <c r="O461" s="11"/>
      <c r="P461" s="11"/>
      <c r="Q461" s="11"/>
      <c r="R461" s="11"/>
      <c r="S461" s="11"/>
      <c r="T461" s="11"/>
      <c r="U461" s="11"/>
      <c r="V461" s="11"/>
      <c r="W461" s="11"/>
      <c r="X461" s="11"/>
      <c r="Y461" s="11"/>
      <c r="Z461" s="11"/>
    </row>
    <row r="462" spans="1:26" ht="14.25" customHeight="1">
      <c r="A462" s="11"/>
      <c r="B462" s="11"/>
      <c r="C462" s="11"/>
      <c r="D462" s="11"/>
      <c r="E462" s="11"/>
      <c r="F462" s="11"/>
      <c r="G462" s="11"/>
      <c r="H462" s="11"/>
      <c r="I462" s="46"/>
      <c r="J462" s="11"/>
      <c r="K462" s="11"/>
      <c r="L462" s="11"/>
      <c r="M462" s="11"/>
      <c r="N462" s="11"/>
      <c r="O462" s="11"/>
      <c r="P462" s="11"/>
      <c r="Q462" s="11"/>
      <c r="R462" s="11"/>
      <c r="S462" s="11"/>
      <c r="T462" s="11"/>
      <c r="U462" s="11"/>
      <c r="V462" s="11"/>
      <c r="W462" s="11"/>
      <c r="X462" s="11"/>
      <c r="Y462" s="11"/>
      <c r="Z462" s="11"/>
    </row>
    <row r="463" spans="1:26" ht="14.25" customHeight="1">
      <c r="A463" s="11"/>
      <c r="B463" s="11"/>
      <c r="C463" s="11"/>
      <c r="D463" s="11"/>
      <c r="E463" s="11"/>
      <c r="F463" s="11"/>
      <c r="G463" s="11"/>
      <c r="H463" s="11"/>
      <c r="I463" s="46"/>
      <c r="J463" s="11"/>
      <c r="K463" s="11"/>
      <c r="L463" s="11"/>
      <c r="M463" s="11"/>
      <c r="N463" s="11"/>
      <c r="O463" s="11"/>
      <c r="P463" s="11"/>
      <c r="Q463" s="11"/>
      <c r="R463" s="11"/>
      <c r="S463" s="11"/>
      <c r="T463" s="11"/>
      <c r="U463" s="11"/>
      <c r="V463" s="11"/>
      <c r="W463" s="11"/>
      <c r="X463" s="11"/>
      <c r="Y463" s="11"/>
      <c r="Z463" s="11"/>
    </row>
    <row r="464" spans="1:26" ht="14.25" customHeight="1">
      <c r="A464" s="11"/>
      <c r="B464" s="11"/>
      <c r="C464" s="11"/>
      <c r="D464" s="11"/>
      <c r="E464" s="11"/>
      <c r="F464" s="11"/>
      <c r="G464" s="11"/>
      <c r="H464" s="11"/>
      <c r="I464" s="46"/>
      <c r="J464" s="11"/>
      <c r="K464" s="11"/>
      <c r="L464" s="11"/>
      <c r="M464" s="11"/>
      <c r="N464" s="11"/>
      <c r="O464" s="11"/>
      <c r="P464" s="11"/>
      <c r="Q464" s="11"/>
      <c r="R464" s="11"/>
      <c r="S464" s="11"/>
      <c r="T464" s="11"/>
      <c r="U464" s="11"/>
      <c r="V464" s="11"/>
      <c r="W464" s="11"/>
      <c r="X464" s="11"/>
      <c r="Y464" s="11"/>
      <c r="Z464" s="11"/>
    </row>
    <row r="465" spans="1:26" ht="14.25" customHeight="1">
      <c r="A465" s="11"/>
      <c r="B465" s="11"/>
      <c r="C465" s="11"/>
      <c r="D465" s="11"/>
      <c r="E465" s="11"/>
      <c r="F465" s="11"/>
      <c r="G465" s="11"/>
      <c r="H465" s="11"/>
      <c r="I465" s="46"/>
      <c r="J465" s="11"/>
      <c r="K465" s="11"/>
      <c r="L465" s="11"/>
      <c r="M465" s="11"/>
      <c r="N465" s="11"/>
      <c r="O465" s="11"/>
      <c r="P465" s="11"/>
      <c r="Q465" s="11"/>
      <c r="R465" s="11"/>
      <c r="S465" s="11"/>
      <c r="T465" s="11"/>
      <c r="U465" s="11"/>
      <c r="V465" s="11"/>
      <c r="W465" s="11"/>
      <c r="X465" s="11"/>
      <c r="Y465" s="11"/>
      <c r="Z465" s="11"/>
    </row>
    <row r="466" spans="1:26" ht="14.25" customHeight="1">
      <c r="A466" s="11"/>
      <c r="B466" s="11"/>
      <c r="C466" s="11"/>
      <c r="D466" s="11"/>
      <c r="E466" s="11"/>
      <c r="F466" s="11"/>
      <c r="G466" s="11"/>
      <c r="H466" s="11"/>
      <c r="I466" s="46"/>
      <c r="J466" s="11"/>
      <c r="K466" s="11"/>
      <c r="L466" s="11"/>
      <c r="M466" s="11"/>
      <c r="N466" s="11"/>
      <c r="O466" s="11"/>
      <c r="P466" s="11"/>
      <c r="Q466" s="11"/>
      <c r="R466" s="11"/>
      <c r="S466" s="11"/>
      <c r="T466" s="11"/>
      <c r="U466" s="11"/>
      <c r="V466" s="11"/>
      <c r="W466" s="11"/>
      <c r="X466" s="11"/>
      <c r="Y466" s="11"/>
      <c r="Z466" s="11"/>
    </row>
    <row r="467" spans="1:26" ht="14.25" customHeight="1">
      <c r="A467" s="11"/>
      <c r="B467" s="11"/>
      <c r="C467" s="11"/>
      <c r="D467" s="11"/>
      <c r="E467" s="11"/>
      <c r="F467" s="11"/>
      <c r="G467" s="11"/>
      <c r="H467" s="11"/>
      <c r="I467" s="46"/>
      <c r="J467" s="11"/>
      <c r="K467" s="11"/>
      <c r="L467" s="11"/>
      <c r="M467" s="11"/>
      <c r="N467" s="11"/>
      <c r="O467" s="11"/>
      <c r="P467" s="11"/>
      <c r="Q467" s="11"/>
      <c r="R467" s="11"/>
      <c r="S467" s="11"/>
      <c r="T467" s="11"/>
      <c r="U467" s="11"/>
      <c r="V467" s="11"/>
      <c r="W467" s="11"/>
      <c r="X467" s="11"/>
      <c r="Y467" s="11"/>
      <c r="Z467" s="11"/>
    </row>
    <row r="468" spans="1:26" ht="14.25" customHeight="1">
      <c r="A468" s="11"/>
      <c r="B468" s="11"/>
      <c r="C468" s="11"/>
      <c r="D468" s="11"/>
      <c r="E468" s="11"/>
      <c r="F468" s="11"/>
      <c r="G468" s="11"/>
      <c r="H468" s="11"/>
      <c r="I468" s="46"/>
      <c r="J468" s="11"/>
      <c r="K468" s="11"/>
      <c r="L468" s="11"/>
      <c r="M468" s="11"/>
      <c r="N468" s="11"/>
      <c r="O468" s="11"/>
      <c r="P468" s="11"/>
      <c r="Q468" s="11"/>
      <c r="R468" s="11"/>
      <c r="S468" s="11"/>
      <c r="T468" s="11"/>
      <c r="U468" s="11"/>
      <c r="V468" s="11"/>
      <c r="W468" s="11"/>
      <c r="X468" s="11"/>
      <c r="Y468" s="11"/>
      <c r="Z468" s="11"/>
    </row>
    <row r="469" spans="1:26" ht="14.25" customHeight="1">
      <c r="A469" s="11"/>
      <c r="B469" s="11"/>
      <c r="C469" s="11"/>
      <c r="D469" s="11"/>
      <c r="E469" s="11"/>
      <c r="F469" s="11"/>
      <c r="G469" s="11"/>
      <c r="H469" s="11"/>
      <c r="I469" s="46"/>
      <c r="J469" s="11"/>
      <c r="K469" s="11"/>
      <c r="L469" s="11"/>
      <c r="M469" s="11"/>
      <c r="N469" s="11"/>
      <c r="O469" s="11"/>
      <c r="P469" s="11"/>
      <c r="Q469" s="11"/>
      <c r="R469" s="11"/>
      <c r="S469" s="11"/>
      <c r="T469" s="11"/>
      <c r="U469" s="11"/>
      <c r="V469" s="11"/>
      <c r="W469" s="11"/>
      <c r="X469" s="11"/>
      <c r="Y469" s="11"/>
      <c r="Z469" s="11"/>
    </row>
    <row r="470" spans="1:26" ht="14.25" customHeight="1">
      <c r="A470" s="11"/>
      <c r="B470" s="11"/>
      <c r="C470" s="11"/>
      <c r="D470" s="11"/>
      <c r="E470" s="11"/>
      <c r="F470" s="11"/>
      <c r="G470" s="11"/>
      <c r="H470" s="11"/>
      <c r="I470" s="46"/>
      <c r="J470" s="11"/>
      <c r="K470" s="11"/>
      <c r="L470" s="11"/>
      <c r="M470" s="11"/>
      <c r="N470" s="11"/>
      <c r="O470" s="11"/>
      <c r="P470" s="11"/>
      <c r="Q470" s="11"/>
      <c r="R470" s="11"/>
      <c r="S470" s="11"/>
      <c r="T470" s="11"/>
      <c r="U470" s="11"/>
      <c r="V470" s="11"/>
      <c r="W470" s="11"/>
      <c r="X470" s="11"/>
      <c r="Y470" s="11"/>
      <c r="Z470" s="11"/>
    </row>
    <row r="471" spans="1:26" ht="14.25" customHeight="1">
      <c r="A471" s="11"/>
      <c r="B471" s="11"/>
      <c r="C471" s="11"/>
      <c r="D471" s="11"/>
      <c r="E471" s="11"/>
      <c r="F471" s="11"/>
      <c r="G471" s="11"/>
      <c r="H471" s="11"/>
      <c r="I471" s="46"/>
      <c r="J471" s="11"/>
      <c r="K471" s="11"/>
      <c r="L471" s="11"/>
      <c r="M471" s="11"/>
      <c r="N471" s="11"/>
      <c r="O471" s="11"/>
      <c r="P471" s="11"/>
      <c r="Q471" s="11"/>
      <c r="R471" s="11"/>
      <c r="S471" s="11"/>
      <c r="T471" s="11"/>
      <c r="U471" s="11"/>
      <c r="V471" s="11"/>
      <c r="W471" s="11"/>
      <c r="X471" s="11"/>
      <c r="Y471" s="11"/>
      <c r="Z471" s="11"/>
    </row>
    <row r="472" spans="1:26" ht="14.25" customHeight="1">
      <c r="A472" s="11"/>
      <c r="B472" s="11"/>
      <c r="C472" s="11"/>
      <c r="D472" s="11"/>
      <c r="E472" s="11"/>
      <c r="F472" s="11"/>
      <c r="G472" s="11"/>
      <c r="H472" s="11"/>
      <c r="I472" s="46"/>
      <c r="J472" s="11"/>
      <c r="K472" s="11"/>
      <c r="L472" s="11"/>
      <c r="M472" s="11"/>
      <c r="N472" s="11"/>
      <c r="O472" s="11"/>
      <c r="P472" s="11"/>
      <c r="Q472" s="11"/>
      <c r="R472" s="11"/>
      <c r="S472" s="11"/>
      <c r="T472" s="11"/>
      <c r="U472" s="11"/>
      <c r="V472" s="11"/>
      <c r="W472" s="11"/>
      <c r="X472" s="11"/>
      <c r="Y472" s="11"/>
      <c r="Z472" s="11"/>
    </row>
    <row r="473" spans="1:26" ht="14.25" customHeight="1">
      <c r="A473" s="11"/>
      <c r="B473" s="11"/>
      <c r="C473" s="11"/>
      <c r="D473" s="11"/>
      <c r="E473" s="11"/>
      <c r="F473" s="11"/>
      <c r="G473" s="11"/>
      <c r="H473" s="11"/>
      <c r="I473" s="46"/>
      <c r="J473" s="11"/>
      <c r="K473" s="11"/>
      <c r="L473" s="11"/>
      <c r="M473" s="11"/>
      <c r="N473" s="11"/>
      <c r="O473" s="11"/>
      <c r="P473" s="11"/>
      <c r="Q473" s="11"/>
      <c r="R473" s="11"/>
      <c r="S473" s="11"/>
      <c r="T473" s="11"/>
      <c r="U473" s="11"/>
      <c r="V473" s="11"/>
      <c r="W473" s="11"/>
      <c r="X473" s="11"/>
      <c r="Y473" s="11"/>
      <c r="Z473" s="11"/>
    </row>
    <row r="474" spans="1:26" ht="14.25" customHeight="1">
      <c r="A474" s="11"/>
      <c r="B474" s="11"/>
      <c r="C474" s="11"/>
      <c r="D474" s="11"/>
      <c r="E474" s="11"/>
      <c r="F474" s="11"/>
      <c r="G474" s="11"/>
      <c r="H474" s="11"/>
      <c r="I474" s="46"/>
      <c r="J474" s="11"/>
      <c r="K474" s="11"/>
      <c r="L474" s="11"/>
      <c r="M474" s="11"/>
      <c r="N474" s="11"/>
      <c r="O474" s="11"/>
      <c r="P474" s="11"/>
      <c r="Q474" s="11"/>
      <c r="R474" s="11"/>
      <c r="S474" s="11"/>
      <c r="T474" s="11"/>
      <c r="U474" s="11"/>
      <c r="V474" s="11"/>
      <c r="W474" s="11"/>
      <c r="X474" s="11"/>
      <c r="Y474" s="11"/>
      <c r="Z474" s="11"/>
    </row>
    <row r="475" spans="1:26" ht="14.25" customHeight="1">
      <c r="A475" s="11"/>
      <c r="B475" s="11"/>
      <c r="C475" s="11"/>
      <c r="D475" s="11"/>
      <c r="E475" s="11"/>
      <c r="F475" s="11"/>
      <c r="G475" s="11"/>
      <c r="H475" s="11"/>
      <c r="I475" s="46"/>
      <c r="J475" s="11"/>
      <c r="K475" s="11"/>
      <c r="L475" s="11"/>
      <c r="M475" s="11"/>
      <c r="N475" s="11"/>
      <c r="O475" s="11"/>
      <c r="P475" s="11"/>
      <c r="Q475" s="11"/>
      <c r="R475" s="11"/>
      <c r="S475" s="11"/>
      <c r="T475" s="11"/>
      <c r="U475" s="11"/>
      <c r="V475" s="11"/>
      <c r="W475" s="11"/>
      <c r="X475" s="11"/>
      <c r="Y475" s="11"/>
      <c r="Z475" s="11"/>
    </row>
    <row r="476" spans="1:26" ht="14.25" customHeight="1">
      <c r="A476" s="11"/>
      <c r="B476" s="11"/>
      <c r="C476" s="11"/>
      <c r="D476" s="11"/>
      <c r="E476" s="11"/>
      <c r="F476" s="11"/>
      <c r="G476" s="11"/>
      <c r="H476" s="11"/>
      <c r="I476" s="46"/>
      <c r="J476" s="11"/>
      <c r="K476" s="11"/>
      <c r="L476" s="11"/>
      <c r="M476" s="11"/>
      <c r="N476" s="11"/>
      <c r="O476" s="11"/>
      <c r="P476" s="11"/>
      <c r="Q476" s="11"/>
      <c r="R476" s="11"/>
      <c r="S476" s="11"/>
      <c r="T476" s="11"/>
      <c r="U476" s="11"/>
      <c r="V476" s="11"/>
      <c r="W476" s="11"/>
      <c r="X476" s="11"/>
      <c r="Y476" s="11"/>
      <c r="Z476" s="11"/>
    </row>
    <row r="477" spans="1:26" ht="14.25" customHeight="1">
      <c r="A477" s="11"/>
      <c r="B477" s="11"/>
      <c r="C477" s="11"/>
      <c r="D477" s="11"/>
      <c r="E477" s="11"/>
      <c r="F477" s="11"/>
      <c r="G477" s="11"/>
      <c r="H477" s="11"/>
      <c r="I477" s="46"/>
      <c r="J477" s="11"/>
      <c r="K477" s="11"/>
      <c r="L477" s="11"/>
      <c r="M477" s="11"/>
      <c r="N477" s="11"/>
      <c r="O477" s="11"/>
      <c r="P477" s="11"/>
      <c r="Q477" s="11"/>
      <c r="R477" s="11"/>
      <c r="S477" s="11"/>
      <c r="T477" s="11"/>
      <c r="U477" s="11"/>
      <c r="V477" s="11"/>
      <c r="W477" s="11"/>
      <c r="X477" s="11"/>
      <c r="Y477" s="11"/>
      <c r="Z477" s="11"/>
    </row>
    <row r="478" spans="1:26" ht="14.25" customHeight="1">
      <c r="A478" s="11"/>
      <c r="B478" s="11"/>
      <c r="C478" s="11"/>
      <c r="D478" s="11"/>
      <c r="E478" s="11"/>
      <c r="F478" s="11"/>
      <c r="G478" s="11"/>
      <c r="H478" s="11"/>
      <c r="I478" s="46"/>
      <c r="J478" s="11"/>
      <c r="K478" s="11"/>
      <c r="L478" s="11"/>
      <c r="M478" s="11"/>
      <c r="N478" s="11"/>
      <c r="O478" s="11"/>
      <c r="P478" s="11"/>
      <c r="Q478" s="11"/>
      <c r="R478" s="11"/>
      <c r="S478" s="11"/>
      <c r="T478" s="11"/>
      <c r="U478" s="11"/>
      <c r="V478" s="11"/>
      <c r="W478" s="11"/>
      <c r="X478" s="11"/>
      <c r="Y478" s="11"/>
      <c r="Z478" s="11"/>
    </row>
    <row r="479" spans="1:26" ht="14.25" customHeight="1">
      <c r="A479" s="11"/>
      <c r="B479" s="11"/>
      <c r="C479" s="11"/>
      <c r="D479" s="11"/>
      <c r="E479" s="11"/>
      <c r="F479" s="11"/>
      <c r="G479" s="11"/>
      <c r="H479" s="11"/>
      <c r="I479" s="46"/>
      <c r="J479" s="11"/>
      <c r="K479" s="11"/>
      <c r="L479" s="11"/>
      <c r="M479" s="11"/>
      <c r="N479" s="11"/>
      <c r="O479" s="11"/>
      <c r="P479" s="11"/>
      <c r="Q479" s="11"/>
      <c r="R479" s="11"/>
      <c r="S479" s="11"/>
      <c r="T479" s="11"/>
      <c r="U479" s="11"/>
      <c r="V479" s="11"/>
      <c r="W479" s="11"/>
      <c r="X479" s="11"/>
      <c r="Y479" s="11"/>
      <c r="Z479" s="11"/>
    </row>
    <row r="480" spans="1:26" ht="14.25" customHeight="1">
      <c r="A480" s="11"/>
      <c r="B480" s="11"/>
      <c r="C480" s="11"/>
      <c r="D480" s="11"/>
      <c r="E480" s="11"/>
      <c r="F480" s="11"/>
      <c r="G480" s="11"/>
      <c r="H480" s="11"/>
      <c r="I480" s="46"/>
      <c r="J480" s="11"/>
      <c r="K480" s="11"/>
      <c r="L480" s="11"/>
      <c r="M480" s="11"/>
      <c r="N480" s="11"/>
      <c r="O480" s="11"/>
      <c r="P480" s="11"/>
      <c r="Q480" s="11"/>
      <c r="R480" s="11"/>
      <c r="S480" s="11"/>
      <c r="T480" s="11"/>
      <c r="U480" s="11"/>
      <c r="V480" s="11"/>
      <c r="W480" s="11"/>
      <c r="X480" s="11"/>
      <c r="Y480" s="11"/>
      <c r="Z480" s="11"/>
    </row>
    <row r="481" spans="1:26" ht="14.25" customHeight="1">
      <c r="A481" s="11"/>
      <c r="B481" s="11"/>
      <c r="C481" s="11"/>
      <c r="D481" s="11"/>
      <c r="E481" s="11"/>
      <c r="F481" s="11"/>
      <c r="G481" s="11"/>
      <c r="H481" s="11"/>
      <c r="I481" s="46"/>
      <c r="J481" s="11"/>
      <c r="K481" s="11"/>
      <c r="L481" s="11"/>
      <c r="M481" s="11"/>
      <c r="N481" s="11"/>
      <c r="O481" s="11"/>
      <c r="P481" s="11"/>
      <c r="Q481" s="11"/>
      <c r="R481" s="11"/>
      <c r="S481" s="11"/>
      <c r="T481" s="11"/>
      <c r="U481" s="11"/>
      <c r="V481" s="11"/>
      <c r="W481" s="11"/>
      <c r="X481" s="11"/>
      <c r="Y481" s="11"/>
      <c r="Z481" s="11"/>
    </row>
    <row r="482" spans="1:26" ht="14.25" customHeight="1">
      <c r="A482" s="11"/>
      <c r="B482" s="11"/>
      <c r="C482" s="11"/>
      <c r="D482" s="11"/>
      <c r="E482" s="11"/>
      <c r="F482" s="11"/>
      <c r="G482" s="11"/>
      <c r="H482" s="11"/>
      <c r="I482" s="46"/>
      <c r="J482" s="11"/>
      <c r="K482" s="11"/>
      <c r="L482" s="11"/>
      <c r="M482" s="11"/>
      <c r="N482" s="11"/>
      <c r="O482" s="11"/>
      <c r="P482" s="11"/>
      <c r="Q482" s="11"/>
      <c r="R482" s="11"/>
      <c r="S482" s="11"/>
      <c r="T482" s="11"/>
      <c r="U482" s="11"/>
      <c r="V482" s="11"/>
      <c r="W482" s="11"/>
      <c r="X482" s="11"/>
      <c r="Y482" s="11"/>
      <c r="Z482" s="11"/>
    </row>
    <row r="483" spans="1:26" ht="14.25" customHeight="1">
      <c r="A483" s="11"/>
      <c r="B483" s="11"/>
      <c r="C483" s="11"/>
      <c r="D483" s="11"/>
      <c r="E483" s="11"/>
      <c r="F483" s="11"/>
      <c r="G483" s="11"/>
      <c r="H483" s="11"/>
      <c r="I483" s="46"/>
      <c r="J483" s="11"/>
      <c r="K483" s="11"/>
      <c r="L483" s="11"/>
      <c r="M483" s="11"/>
      <c r="N483" s="11"/>
      <c r="O483" s="11"/>
      <c r="P483" s="11"/>
      <c r="Q483" s="11"/>
      <c r="R483" s="11"/>
      <c r="S483" s="11"/>
      <c r="T483" s="11"/>
      <c r="U483" s="11"/>
      <c r="V483" s="11"/>
      <c r="W483" s="11"/>
      <c r="X483" s="11"/>
      <c r="Y483" s="11"/>
      <c r="Z483" s="11"/>
    </row>
    <row r="484" spans="1:26" ht="14.25" customHeight="1">
      <c r="A484" s="11"/>
      <c r="B484" s="11"/>
      <c r="C484" s="11"/>
      <c r="D484" s="11"/>
      <c r="E484" s="11"/>
      <c r="F484" s="11"/>
      <c r="G484" s="11"/>
      <c r="H484" s="11"/>
      <c r="I484" s="46"/>
      <c r="J484" s="11"/>
      <c r="K484" s="11"/>
      <c r="L484" s="11"/>
      <c r="M484" s="11"/>
      <c r="N484" s="11"/>
      <c r="O484" s="11"/>
      <c r="P484" s="11"/>
      <c r="Q484" s="11"/>
      <c r="R484" s="11"/>
      <c r="S484" s="11"/>
      <c r="T484" s="11"/>
      <c r="U484" s="11"/>
      <c r="V484" s="11"/>
      <c r="W484" s="11"/>
      <c r="X484" s="11"/>
      <c r="Y484" s="11"/>
      <c r="Z484" s="11"/>
    </row>
    <row r="485" spans="1:26" ht="14.25" customHeight="1">
      <c r="A485" s="11"/>
      <c r="B485" s="11"/>
      <c r="C485" s="11"/>
      <c r="D485" s="11"/>
      <c r="E485" s="11"/>
      <c r="F485" s="11"/>
      <c r="G485" s="11"/>
      <c r="H485" s="11"/>
      <c r="I485" s="46"/>
      <c r="J485" s="11"/>
      <c r="K485" s="11"/>
      <c r="L485" s="11"/>
      <c r="M485" s="11"/>
      <c r="N485" s="11"/>
      <c r="O485" s="11"/>
      <c r="P485" s="11"/>
      <c r="Q485" s="11"/>
      <c r="R485" s="11"/>
      <c r="S485" s="11"/>
      <c r="T485" s="11"/>
      <c r="U485" s="11"/>
      <c r="V485" s="11"/>
      <c r="W485" s="11"/>
      <c r="X485" s="11"/>
      <c r="Y485" s="11"/>
      <c r="Z485" s="11"/>
    </row>
    <row r="486" spans="1:26" ht="14.25" customHeight="1">
      <c r="A486" s="11"/>
      <c r="B486" s="11"/>
      <c r="C486" s="11"/>
      <c r="D486" s="11"/>
      <c r="E486" s="11"/>
      <c r="F486" s="11"/>
      <c r="G486" s="11"/>
      <c r="H486" s="11"/>
      <c r="I486" s="46"/>
      <c r="J486" s="11"/>
      <c r="K486" s="11"/>
      <c r="L486" s="11"/>
      <c r="M486" s="11"/>
      <c r="N486" s="11"/>
      <c r="O486" s="11"/>
      <c r="P486" s="11"/>
      <c r="Q486" s="11"/>
      <c r="R486" s="11"/>
      <c r="S486" s="11"/>
      <c r="T486" s="11"/>
      <c r="U486" s="11"/>
      <c r="V486" s="11"/>
      <c r="W486" s="11"/>
      <c r="X486" s="11"/>
      <c r="Y486" s="11"/>
      <c r="Z486" s="11"/>
    </row>
    <row r="487" spans="1:26" ht="14.25" customHeight="1">
      <c r="A487" s="11"/>
      <c r="B487" s="11"/>
      <c r="C487" s="11"/>
      <c r="D487" s="11"/>
      <c r="E487" s="11"/>
      <c r="F487" s="11"/>
      <c r="G487" s="11"/>
      <c r="H487" s="11"/>
      <c r="I487" s="46"/>
      <c r="J487" s="11"/>
      <c r="K487" s="11"/>
      <c r="L487" s="11"/>
      <c r="M487" s="11"/>
      <c r="N487" s="11"/>
      <c r="O487" s="11"/>
      <c r="P487" s="11"/>
      <c r="Q487" s="11"/>
      <c r="R487" s="11"/>
      <c r="S487" s="11"/>
      <c r="T487" s="11"/>
      <c r="U487" s="11"/>
      <c r="V487" s="11"/>
      <c r="W487" s="11"/>
      <c r="X487" s="11"/>
      <c r="Y487" s="11"/>
      <c r="Z487" s="11"/>
    </row>
    <row r="488" spans="1:26" ht="14.25" customHeight="1">
      <c r="A488" s="11"/>
      <c r="B488" s="11"/>
      <c r="C488" s="11"/>
      <c r="D488" s="11"/>
      <c r="E488" s="11"/>
      <c r="F488" s="11"/>
      <c r="G488" s="11"/>
      <c r="H488" s="11"/>
      <c r="I488" s="46"/>
      <c r="J488" s="11"/>
      <c r="K488" s="11"/>
      <c r="L488" s="11"/>
      <c r="M488" s="11"/>
      <c r="N488" s="11"/>
      <c r="O488" s="11"/>
      <c r="P488" s="11"/>
      <c r="Q488" s="11"/>
      <c r="R488" s="11"/>
      <c r="S488" s="11"/>
      <c r="T488" s="11"/>
      <c r="U488" s="11"/>
      <c r="V488" s="11"/>
      <c r="W488" s="11"/>
      <c r="X488" s="11"/>
      <c r="Y488" s="11"/>
      <c r="Z488" s="11"/>
    </row>
    <row r="489" spans="1:26" ht="14.25" customHeight="1">
      <c r="A489" s="11"/>
      <c r="B489" s="11"/>
      <c r="C489" s="11"/>
      <c r="D489" s="11"/>
      <c r="E489" s="11"/>
      <c r="F489" s="11"/>
      <c r="G489" s="11"/>
      <c r="H489" s="11"/>
      <c r="I489" s="46"/>
      <c r="J489" s="11"/>
      <c r="K489" s="11"/>
      <c r="L489" s="11"/>
      <c r="M489" s="11"/>
      <c r="N489" s="11"/>
      <c r="O489" s="11"/>
      <c r="P489" s="11"/>
      <c r="Q489" s="11"/>
      <c r="R489" s="11"/>
      <c r="S489" s="11"/>
      <c r="T489" s="11"/>
      <c r="U489" s="11"/>
      <c r="V489" s="11"/>
      <c r="W489" s="11"/>
      <c r="X489" s="11"/>
      <c r="Y489" s="11"/>
      <c r="Z489" s="11"/>
    </row>
    <row r="490" spans="1:26" ht="14.25" customHeight="1">
      <c r="A490" s="11"/>
      <c r="B490" s="11"/>
      <c r="C490" s="11"/>
      <c r="D490" s="11"/>
      <c r="E490" s="11"/>
      <c r="F490" s="11"/>
      <c r="G490" s="11"/>
      <c r="H490" s="11"/>
      <c r="I490" s="46"/>
      <c r="J490" s="11"/>
      <c r="K490" s="11"/>
      <c r="L490" s="11"/>
      <c r="M490" s="11"/>
      <c r="N490" s="11"/>
      <c r="O490" s="11"/>
      <c r="P490" s="11"/>
      <c r="Q490" s="11"/>
      <c r="R490" s="11"/>
      <c r="S490" s="11"/>
      <c r="T490" s="11"/>
      <c r="U490" s="11"/>
      <c r="V490" s="11"/>
      <c r="W490" s="11"/>
      <c r="X490" s="11"/>
      <c r="Y490" s="11"/>
      <c r="Z490" s="11"/>
    </row>
    <row r="491" spans="1:26" ht="14.25" customHeight="1">
      <c r="A491" s="11"/>
      <c r="B491" s="11"/>
      <c r="C491" s="11"/>
      <c r="D491" s="11"/>
      <c r="E491" s="11"/>
      <c r="F491" s="11"/>
      <c r="G491" s="11"/>
      <c r="H491" s="11"/>
      <c r="I491" s="46"/>
      <c r="J491" s="11"/>
      <c r="K491" s="11"/>
      <c r="L491" s="11"/>
      <c r="M491" s="11"/>
      <c r="N491" s="11"/>
      <c r="O491" s="11"/>
      <c r="P491" s="11"/>
      <c r="Q491" s="11"/>
      <c r="R491" s="11"/>
      <c r="S491" s="11"/>
      <c r="T491" s="11"/>
      <c r="U491" s="11"/>
      <c r="V491" s="11"/>
      <c r="W491" s="11"/>
      <c r="X491" s="11"/>
      <c r="Y491" s="11"/>
      <c r="Z491" s="11"/>
    </row>
    <row r="492" spans="1:26" ht="14.25" customHeight="1">
      <c r="A492" s="11"/>
      <c r="B492" s="11"/>
      <c r="C492" s="11"/>
      <c r="D492" s="11"/>
      <c r="E492" s="11"/>
      <c r="F492" s="11"/>
      <c r="G492" s="11"/>
      <c r="H492" s="11"/>
      <c r="I492" s="46"/>
      <c r="J492" s="11"/>
      <c r="K492" s="11"/>
      <c r="L492" s="11"/>
      <c r="M492" s="11"/>
      <c r="N492" s="11"/>
      <c r="O492" s="11"/>
      <c r="P492" s="11"/>
      <c r="Q492" s="11"/>
      <c r="R492" s="11"/>
      <c r="S492" s="11"/>
      <c r="T492" s="11"/>
      <c r="U492" s="11"/>
      <c r="V492" s="11"/>
      <c r="W492" s="11"/>
      <c r="X492" s="11"/>
      <c r="Y492" s="11"/>
      <c r="Z492" s="11"/>
    </row>
    <row r="493" spans="1:26" ht="14.25" customHeight="1">
      <c r="A493" s="11"/>
      <c r="B493" s="11"/>
      <c r="C493" s="11"/>
      <c r="D493" s="11"/>
      <c r="E493" s="11"/>
      <c r="F493" s="11"/>
      <c r="G493" s="11"/>
      <c r="H493" s="11"/>
      <c r="I493" s="46"/>
      <c r="J493" s="11"/>
      <c r="K493" s="11"/>
      <c r="L493" s="11"/>
      <c r="M493" s="11"/>
      <c r="N493" s="11"/>
      <c r="O493" s="11"/>
      <c r="P493" s="11"/>
      <c r="Q493" s="11"/>
      <c r="R493" s="11"/>
      <c r="S493" s="11"/>
      <c r="T493" s="11"/>
      <c r="U493" s="11"/>
      <c r="V493" s="11"/>
      <c r="W493" s="11"/>
      <c r="X493" s="11"/>
      <c r="Y493" s="11"/>
      <c r="Z493" s="11"/>
    </row>
    <row r="494" spans="1:26" ht="14.25" customHeight="1">
      <c r="A494" s="11"/>
      <c r="B494" s="11"/>
      <c r="C494" s="11"/>
      <c r="D494" s="11"/>
      <c r="E494" s="11"/>
      <c r="F494" s="11"/>
      <c r="G494" s="11"/>
      <c r="H494" s="11"/>
      <c r="I494" s="46"/>
      <c r="J494" s="11"/>
      <c r="K494" s="11"/>
      <c r="L494" s="11"/>
      <c r="M494" s="11"/>
      <c r="N494" s="11"/>
      <c r="O494" s="11"/>
      <c r="P494" s="11"/>
      <c r="Q494" s="11"/>
      <c r="R494" s="11"/>
      <c r="S494" s="11"/>
      <c r="T494" s="11"/>
      <c r="U494" s="11"/>
      <c r="V494" s="11"/>
      <c r="W494" s="11"/>
      <c r="X494" s="11"/>
      <c r="Y494" s="11"/>
      <c r="Z494" s="11"/>
    </row>
    <row r="495" spans="1:26" ht="14.25" customHeight="1">
      <c r="A495" s="11"/>
      <c r="B495" s="11"/>
      <c r="C495" s="11"/>
      <c r="D495" s="11"/>
      <c r="E495" s="11"/>
      <c r="F495" s="11"/>
      <c r="G495" s="11"/>
      <c r="H495" s="11"/>
      <c r="I495" s="46"/>
      <c r="J495" s="11"/>
      <c r="K495" s="11"/>
      <c r="L495" s="11"/>
      <c r="M495" s="11"/>
      <c r="N495" s="11"/>
      <c r="O495" s="11"/>
      <c r="P495" s="11"/>
      <c r="Q495" s="11"/>
      <c r="R495" s="11"/>
      <c r="S495" s="11"/>
      <c r="T495" s="11"/>
      <c r="U495" s="11"/>
      <c r="V495" s="11"/>
      <c r="W495" s="11"/>
      <c r="X495" s="11"/>
      <c r="Y495" s="11"/>
      <c r="Z495" s="11"/>
    </row>
    <row r="496" spans="1:26" ht="14.25" customHeight="1">
      <c r="A496" s="11"/>
      <c r="B496" s="11"/>
      <c r="C496" s="11"/>
      <c r="D496" s="11"/>
      <c r="E496" s="11"/>
      <c r="F496" s="11"/>
      <c r="G496" s="11"/>
      <c r="H496" s="11"/>
      <c r="I496" s="46"/>
      <c r="J496" s="11"/>
      <c r="K496" s="11"/>
      <c r="L496" s="11"/>
      <c r="M496" s="11"/>
      <c r="N496" s="11"/>
      <c r="O496" s="11"/>
      <c r="P496" s="11"/>
      <c r="Q496" s="11"/>
      <c r="R496" s="11"/>
      <c r="S496" s="11"/>
      <c r="T496" s="11"/>
      <c r="U496" s="11"/>
      <c r="V496" s="11"/>
      <c r="W496" s="11"/>
      <c r="X496" s="11"/>
      <c r="Y496" s="11"/>
      <c r="Z496" s="11"/>
    </row>
    <row r="497" spans="1:26" ht="14.25" customHeight="1">
      <c r="A497" s="11"/>
      <c r="B497" s="11"/>
      <c r="C497" s="11"/>
      <c r="D497" s="11"/>
      <c r="E497" s="11"/>
      <c r="F497" s="11"/>
      <c r="G497" s="11"/>
      <c r="H497" s="11"/>
      <c r="I497" s="46"/>
      <c r="J497" s="11"/>
      <c r="K497" s="11"/>
      <c r="L497" s="11"/>
      <c r="M497" s="11"/>
      <c r="N497" s="11"/>
      <c r="O497" s="11"/>
      <c r="P497" s="11"/>
      <c r="Q497" s="11"/>
      <c r="R497" s="11"/>
      <c r="S497" s="11"/>
      <c r="T497" s="11"/>
      <c r="U497" s="11"/>
      <c r="V497" s="11"/>
      <c r="W497" s="11"/>
      <c r="X497" s="11"/>
      <c r="Y497" s="11"/>
      <c r="Z497" s="11"/>
    </row>
    <row r="498" spans="1:26" ht="14.25" customHeight="1">
      <c r="A498" s="11"/>
      <c r="B498" s="11"/>
      <c r="C498" s="11"/>
      <c r="D498" s="11"/>
      <c r="E498" s="11"/>
      <c r="F498" s="11"/>
      <c r="G498" s="11"/>
      <c r="H498" s="11"/>
      <c r="I498" s="46"/>
      <c r="J498" s="11"/>
      <c r="K498" s="11"/>
      <c r="L498" s="11"/>
      <c r="M498" s="11"/>
      <c r="N498" s="11"/>
      <c r="O498" s="11"/>
      <c r="P498" s="11"/>
      <c r="Q498" s="11"/>
      <c r="R498" s="11"/>
      <c r="S498" s="11"/>
      <c r="T498" s="11"/>
      <c r="U498" s="11"/>
      <c r="V498" s="11"/>
      <c r="W498" s="11"/>
      <c r="X498" s="11"/>
      <c r="Y498" s="11"/>
      <c r="Z498" s="11"/>
    </row>
    <row r="499" spans="1:26" ht="14.25" customHeight="1">
      <c r="A499" s="11"/>
      <c r="B499" s="11"/>
      <c r="C499" s="11"/>
      <c r="D499" s="11"/>
      <c r="E499" s="11"/>
      <c r="F499" s="11"/>
      <c r="G499" s="11"/>
      <c r="H499" s="11"/>
      <c r="I499" s="46"/>
      <c r="J499" s="11"/>
      <c r="K499" s="11"/>
      <c r="L499" s="11"/>
      <c r="M499" s="11"/>
      <c r="N499" s="11"/>
      <c r="O499" s="11"/>
      <c r="P499" s="11"/>
      <c r="Q499" s="11"/>
      <c r="R499" s="11"/>
      <c r="S499" s="11"/>
      <c r="T499" s="11"/>
      <c r="U499" s="11"/>
      <c r="V499" s="11"/>
      <c r="W499" s="11"/>
      <c r="X499" s="11"/>
      <c r="Y499" s="11"/>
      <c r="Z499" s="11"/>
    </row>
    <row r="500" spans="1:26" ht="14.25" customHeight="1">
      <c r="A500" s="11"/>
      <c r="B500" s="11"/>
      <c r="C500" s="11"/>
      <c r="D500" s="11"/>
      <c r="E500" s="11"/>
      <c r="F500" s="11"/>
      <c r="G500" s="11"/>
      <c r="H500" s="11"/>
      <c r="I500" s="46"/>
      <c r="J500" s="11"/>
      <c r="K500" s="11"/>
      <c r="L500" s="11"/>
      <c r="M500" s="11"/>
      <c r="N500" s="11"/>
      <c r="O500" s="11"/>
      <c r="P500" s="11"/>
      <c r="Q500" s="11"/>
      <c r="R500" s="11"/>
      <c r="S500" s="11"/>
      <c r="T500" s="11"/>
      <c r="U500" s="11"/>
      <c r="V500" s="11"/>
      <c r="W500" s="11"/>
      <c r="X500" s="11"/>
      <c r="Y500" s="11"/>
      <c r="Z500" s="11"/>
    </row>
    <row r="501" spans="1:26" ht="14.25" customHeight="1">
      <c r="A501" s="11"/>
      <c r="B501" s="11"/>
      <c r="C501" s="11"/>
      <c r="D501" s="11"/>
      <c r="E501" s="11"/>
      <c r="F501" s="11"/>
      <c r="G501" s="11"/>
      <c r="H501" s="11"/>
      <c r="I501" s="46"/>
      <c r="J501" s="11"/>
      <c r="K501" s="11"/>
      <c r="L501" s="11"/>
      <c r="M501" s="11"/>
      <c r="N501" s="11"/>
      <c r="O501" s="11"/>
      <c r="P501" s="11"/>
      <c r="Q501" s="11"/>
      <c r="R501" s="11"/>
      <c r="S501" s="11"/>
      <c r="T501" s="11"/>
      <c r="U501" s="11"/>
      <c r="V501" s="11"/>
      <c r="W501" s="11"/>
      <c r="X501" s="11"/>
      <c r="Y501" s="11"/>
      <c r="Z501" s="11"/>
    </row>
    <row r="502" spans="1:26" ht="14.25" customHeight="1">
      <c r="A502" s="11"/>
      <c r="B502" s="11"/>
      <c r="C502" s="11"/>
      <c r="D502" s="11"/>
      <c r="E502" s="11"/>
      <c r="F502" s="11"/>
      <c r="G502" s="11"/>
      <c r="H502" s="11"/>
      <c r="I502" s="46"/>
      <c r="J502" s="11"/>
      <c r="K502" s="11"/>
      <c r="L502" s="11"/>
      <c r="M502" s="11"/>
      <c r="N502" s="11"/>
      <c r="O502" s="11"/>
      <c r="P502" s="11"/>
      <c r="Q502" s="11"/>
      <c r="R502" s="11"/>
      <c r="S502" s="11"/>
      <c r="T502" s="11"/>
      <c r="U502" s="11"/>
      <c r="V502" s="11"/>
      <c r="W502" s="11"/>
      <c r="X502" s="11"/>
      <c r="Y502" s="11"/>
      <c r="Z502" s="11"/>
    </row>
    <row r="503" spans="1:26" ht="14.25" customHeight="1">
      <c r="A503" s="11"/>
      <c r="B503" s="11"/>
      <c r="C503" s="11"/>
      <c r="D503" s="11"/>
      <c r="E503" s="11"/>
      <c r="F503" s="11"/>
      <c r="G503" s="11"/>
      <c r="H503" s="11"/>
      <c r="I503" s="46"/>
      <c r="J503" s="11"/>
      <c r="K503" s="11"/>
      <c r="L503" s="11"/>
      <c r="M503" s="11"/>
      <c r="N503" s="11"/>
      <c r="O503" s="11"/>
      <c r="P503" s="11"/>
      <c r="Q503" s="11"/>
      <c r="R503" s="11"/>
      <c r="S503" s="11"/>
      <c r="T503" s="11"/>
      <c r="U503" s="11"/>
      <c r="V503" s="11"/>
      <c r="W503" s="11"/>
      <c r="X503" s="11"/>
      <c r="Y503" s="11"/>
      <c r="Z503" s="11"/>
    </row>
    <row r="504" spans="1:26" ht="14.25" customHeight="1">
      <c r="A504" s="11"/>
      <c r="B504" s="11"/>
      <c r="C504" s="11"/>
      <c r="D504" s="11"/>
      <c r="E504" s="11"/>
      <c r="F504" s="11"/>
      <c r="G504" s="11"/>
      <c r="H504" s="11"/>
      <c r="I504" s="46"/>
      <c r="J504" s="11"/>
      <c r="K504" s="11"/>
      <c r="L504" s="11"/>
      <c r="M504" s="11"/>
      <c r="N504" s="11"/>
      <c r="O504" s="11"/>
      <c r="P504" s="11"/>
      <c r="Q504" s="11"/>
      <c r="R504" s="11"/>
      <c r="S504" s="11"/>
      <c r="T504" s="11"/>
      <c r="U504" s="11"/>
      <c r="V504" s="11"/>
      <c r="W504" s="11"/>
      <c r="X504" s="11"/>
      <c r="Y504" s="11"/>
      <c r="Z504" s="11"/>
    </row>
    <row r="505" spans="1:26" ht="14.25" customHeight="1">
      <c r="A505" s="11"/>
      <c r="B505" s="11"/>
      <c r="C505" s="11"/>
      <c r="D505" s="11"/>
      <c r="E505" s="11"/>
      <c r="F505" s="11"/>
      <c r="G505" s="11"/>
      <c r="H505" s="11"/>
      <c r="I505" s="46"/>
      <c r="J505" s="11"/>
      <c r="K505" s="11"/>
      <c r="L505" s="11"/>
      <c r="M505" s="11"/>
      <c r="N505" s="11"/>
      <c r="O505" s="11"/>
      <c r="P505" s="11"/>
      <c r="Q505" s="11"/>
      <c r="R505" s="11"/>
      <c r="S505" s="11"/>
      <c r="T505" s="11"/>
      <c r="U505" s="11"/>
      <c r="V505" s="11"/>
      <c r="W505" s="11"/>
      <c r="X505" s="11"/>
      <c r="Y505" s="11"/>
      <c r="Z505" s="11"/>
    </row>
    <row r="506" spans="1:26" ht="14.25" customHeight="1">
      <c r="A506" s="11"/>
      <c r="B506" s="11"/>
      <c r="C506" s="11"/>
      <c r="D506" s="11"/>
      <c r="E506" s="11"/>
      <c r="F506" s="11"/>
      <c r="G506" s="11"/>
      <c r="H506" s="11"/>
      <c r="I506" s="46"/>
      <c r="J506" s="11"/>
      <c r="K506" s="11"/>
      <c r="L506" s="11"/>
      <c r="M506" s="11"/>
      <c r="N506" s="11"/>
      <c r="O506" s="11"/>
      <c r="P506" s="11"/>
      <c r="Q506" s="11"/>
      <c r="R506" s="11"/>
      <c r="S506" s="11"/>
      <c r="T506" s="11"/>
      <c r="U506" s="11"/>
      <c r="V506" s="11"/>
      <c r="W506" s="11"/>
      <c r="X506" s="11"/>
      <c r="Y506" s="11"/>
      <c r="Z506" s="11"/>
    </row>
    <row r="507" spans="1:26" ht="14.25" customHeight="1">
      <c r="A507" s="11"/>
      <c r="B507" s="11"/>
      <c r="C507" s="11"/>
      <c r="D507" s="11"/>
      <c r="E507" s="11"/>
      <c r="F507" s="11"/>
      <c r="G507" s="11"/>
      <c r="H507" s="11"/>
      <c r="I507" s="46"/>
      <c r="J507" s="11"/>
      <c r="K507" s="11"/>
      <c r="L507" s="11"/>
      <c r="M507" s="11"/>
      <c r="N507" s="11"/>
      <c r="O507" s="11"/>
      <c r="P507" s="11"/>
      <c r="Q507" s="11"/>
      <c r="R507" s="11"/>
      <c r="S507" s="11"/>
      <c r="T507" s="11"/>
      <c r="U507" s="11"/>
      <c r="V507" s="11"/>
      <c r="W507" s="11"/>
      <c r="X507" s="11"/>
      <c r="Y507" s="11"/>
      <c r="Z507" s="11"/>
    </row>
    <row r="508" spans="1:26" ht="14.25" customHeight="1">
      <c r="A508" s="11"/>
      <c r="B508" s="11"/>
      <c r="C508" s="11"/>
      <c r="D508" s="11"/>
      <c r="E508" s="11"/>
      <c r="F508" s="11"/>
      <c r="G508" s="11"/>
      <c r="H508" s="11"/>
      <c r="I508" s="46"/>
      <c r="J508" s="11"/>
      <c r="K508" s="11"/>
      <c r="L508" s="11"/>
      <c r="M508" s="11"/>
      <c r="N508" s="11"/>
      <c r="O508" s="11"/>
      <c r="P508" s="11"/>
      <c r="Q508" s="11"/>
      <c r="R508" s="11"/>
      <c r="S508" s="11"/>
      <c r="T508" s="11"/>
      <c r="U508" s="11"/>
      <c r="V508" s="11"/>
      <c r="W508" s="11"/>
      <c r="X508" s="11"/>
      <c r="Y508" s="11"/>
      <c r="Z508" s="11"/>
    </row>
    <row r="509" spans="1:26" ht="14.25" customHeight="1">
      <c r="A509" s="11"/>
      <c r="B509" s="11"/>
      <c r="C509" s="11"/>
      <c r="D509" s="11"/>
      <c r="E509" s="11"/>
      <c r="F509" s="11"/>
      <c r="G509" s="11"/>
      <c r="H509" s="11"/>
      <c r="I509" s="46"/>
      <c r="J509" s="11"/>
      <c r="K509" s="11"/>
      <c r="L509" s="11"/>
      <c r="M509" s="11"/>
      <c r="N509" s="11"/>
      <c r="O509" s="11"/>
      <c r="P509" s="11"/>
      <c r="Q509" s="11"/>
      <c r="R509" s="11"/>
      <c r="S509" s="11"/>
      <c r="T509" s="11"/>
      <c r="U509" s="11"/>
      <c r="V509" s="11"/>
      <c r="W509" s="11"/>
      <c r="X509" s="11"/>
      <c r="Y509" s="11"/>
      <c r="Z509" s="11"/>
    </row>
    <row r="510" spans="1:26" ht="14.25" customHeight="1">
      <c r="A510" s="11"/>
      <c r="B510" s="11"/>
      <c r="C510" s="11"/>
      <c r="D510" s="11"/>
      <c r="E510" s="11"/>
      <c r="F510" s="11"/>
      <c r="G510" s="11"/>
      <c r="H510" s="11"/>
      <c r="I510" s="46"/>
      <c r="J510" s="11"/>
      <c r="K510" s="11"/>
      <c r="L510" s="11"/>
      <c r="M510" s="11"/>
      <c r="N510" s="11"/>
      <c r="O510" s="11"/>
      <c r="P510" s="11"/>
      <c r="Q510" s="11"/>
      <c r="R510" s="11"/>
      <c r="S510" s="11"/>
      <c r="T510" s="11"/>
      <c r="U510" s="11"/>
      <c r="V510" s="11"/>
      <c r="W510" s="11"/>
      <c r="X510" s="11"/>
      <c r="Y510" s="11"/>
      <c r="Z510" s="11"/>
    </row>
    <row r="511" spans="1:26" ht="14.25" customHeight="1">
      <c r="A511" s="11"/>
      <c r="B511" s="11"/>
      <c r="C511" s="11"/>
      <c r="D511" s="11"/>
      <c r="E511" s="11"/>
      <c r="F511" s="11"/>
      <c r="G511" s="11"/>
      <c r="H511" s="11"/>
      <c r="I511" s="46"/>
      <c r="J511" s="11"/>
      <c r="K511" s="11"/>
      <c r="L511" s="11"/>
      <c r="M511" s="11"/>
      <c r="N511" s="11"/>
      <c r="O511" s="11"/>
      <c r="P511" s="11"/>
      <c r="Q511" s="11"/>
      <c r="R511" s="11"/>
      <c r="S511" s="11"/>
      <c r="T511" s="11"/>
      <c r="U511" s="11"/>
      <c r="V511" s="11"/>
      <c r="W511" s="11"/>
      <c r="X511" s="11"/>
      <c r="Y511" s="11"/>
      <c r="Z511" s="11"/>
    </row>
    <row r="512" spans="1:26" ht="14.25" customHeight="1">
      <c r="A512" s="11"/>
      <c r="B512" s="11"/>
      <c r="C512" s="11"/>
      <c r="D512" s="11"/>
      <c r="E512" s="11"/>
      <c r="F512" s="11"/>
      <c r="G512" s="11"/>
      <c r="H512" s="11"/>
      <c r="I512" s="46"/>
      <c r="J512" s="11"/>
      <c r="K512" s="11"/>
      <c r="L512" s="11"/>
      <c r="M512" s="11"/>
      <c r="N512" s="11"/>
      <c r="O512" s="11"/>
      <c r="P512" s="11"/>
      <c r="Q512" s="11"/>
      <c r="R512" s="11"/>
      <c r="S512" s="11"/>
      <c r="T512" s="11"/>
      <c r="U512" s="11"/>
      <c r="V512" s="11"/>
      <c r="W512" s="11"/>
      <c r="X512" s="11"/>
      <c r="Y512" s="11"/>
      <c r="Z512" s="11"/>
    </row>
    <row r="513" spans="1:26" ht="14.25" customHeight="1">
      <c r="A513" s="11"/>
      <c r="B513" s="11"/>
      <c r="C513" s="11"/>
      <c r="D513" s="11"/>
      <c r="E513" s="11"/>
      <c r="F513" s="11"/>
      <c r="G513" s="11"/>
      <c r="H513" s="11"/>
      <c r="I513" s="46"/>
      <c r="J513" s="11"/>
      <c r="K513" s="11"/>
      <c r="L513" s="11"/>
      <c r="M513" s="11"/>
      <c r="N513" s="11"/>
      <c r="O513" s="11"/>
      <c r="P513" s="11"/>
      <c r="Q513" s="11"/>
      <c r="R513" s="11"/>
      <c r="S513" s="11"/>
      <c r="T513" s="11"/>
      <c r="U513" s="11"/>
      <c r="V513" s="11"/>
      <c r="W513" s="11"/>
      <c r="X513" s="11"/>
      <c r="Y513" s="11"/>
      <c r="Z513" s="11"/>
    </row>
    <row r="514" spans="1:26" ht="14.25" customHeight="1">
      <c r="A514" s="11"/>
      <c r="B514" s="11"/>
      <c r="C514" s="11"/>
      <c r="D514" s="11"/>
      <c r="E514" s="11"/>
      <c r="F514" s="11"/>
      <c r="G514" s="11"/>
      <c r="H514" s="11"/>
      <c r="I514" s="46"/>
      <c r="J514" s="11"/>
      <c r="K514" s="11"/>
      <c r="L514" s="11"/>
      <c r="M514" s="11"/>
      <c r="N514" s="11"/>
      <c r="O514" s="11"/>
      <c r="P514" s="11"/>
      <c r="Q514" s="11"/>
      <c r="R514" s="11"/>
      <c r="S514" s="11"/>
      <c r="T514" s="11"/>
      <c r="U514" s="11"/>
      <c r="V514" s="11"/>
      <c r="W514" s="11"/>
      <c r="X514" s="11"/>
      <c r="Y514" s="11"/>
      <c r="Z514" s="11"/>
    </row>
    <row r="515" spans="1:26" ht="14.25" customHeight="1">
      <c r="A515" s="11"/>
      <c r="B515" s="11"/>
      <c r="C515" s="11"/>
      <c r="D515" s="11"/>
      <c r="E515" s="11"/>
      <c r="F515" s="11"/>
      <c r="G515" s="11"/>
      <c r="H515" s="11"/>
      <c r="I515" s="46"/>
      <c r="J515" s="11"/>
      <c r="K515" s="11"/>
      <c r="L515" s="11"/>
      <c r="M515" s="11"/>
      <c r="N515" s="11"/>
      <c r="O515" s="11"/>
      <c r="P515" s="11"/>
      <c r="Q515" s="11"/>
      <c r="R515" s="11"/>
      <c r="S515" s="11"/>
      <c r="T515" s="11"/>
      <c r="U515" s="11"/>
      <c r="V515" s="11"/>
      <c r="W515" s="11"/>
      <c r="X515" s="11"/>
      <c r="Y515" s="11"/>
      <c r="Z515" s="11"/>
    </row>
    <row r="516" spans="1:26" ht="14.25" customHeight="1">
      <c r="A516" s="11"/>
      <c r="B516" s="11"/>
      <c r="C516" s="11"/>
      <c r="D516" s="11"/>
      <c r="E516" s="11"/>
      <c r="F516" s="11"/>
      <c r="G516" s="11"/>
      <c r="H516" s="11"/>
      <c r="I516" s="46"/>
      <c r="J516" s="11"/>
      <c r="K516" s="11"/>
      <c r="L516" s="11"/>
      <c r="M516" s="11"/>
      <c r="N516" s="11"/>
      <c r="O516" s="11"/>
      <c r="P516" s="11"/>
      <c r="Q516" s="11"/>
      <c r="R516" s="11"/>
      <c r="S516" s="11"/>
      <c r="T516" s="11"/>
      <c r="U516" s="11"/>
      <c r="V516" s="11"/>
      <c r="W516" s="11"/>
      <c r="X516" s="11"/>
      <c r="Y516" s="11"/>
      <c r="Z516" s="11"/>
    </row>
    <row r="517" spans="1:26" ht="14.25" customHeight="1">
      <c r="A517" s="11"/>
      <c r="B517" s="11"/>
      <c r="C517" s="11"/>
      <c r="D517" s="11"/>
      <c r="E517" s="11"/>
      <c r="F517" s="11"/>
      <c r="G517" s="11"/>
      <c r="H517" s="11"/>
      <c r="I517" s="46"/>
      <c r="J517" s="11"/>
      <c r="K517" s="11"/>
      <c r="L517" s="11"/>
      <c r="M517" s="11"/>
      <c r="N517" s="11"/>
      <c r="O517" s="11"/>
      <c r="P517" s="11"/>
      <c r="Q517" s="11"/>
      <c r="R517" s="11"/>
      <c r="S517" s="11"/>
      <c r="T517" s="11"/>
      <c r="U517" s="11"/>
      <c r="V517" s="11"/>
      <c r="W517" s="11"/>
      <c r="X517" s="11"/>
      <c r="Y517" s="11"/>
      <c r="Z517" s="11"/>
    </row>
    <row r="518" spans="1:26" ht="14.25" customHeight="1">
      <c r="A518" s="11"/>
      <c r="B518" s="11"/>
      <c r="C518" s="11"/>
      <c r="D518" s="11"/>
      <c r="E518" s="11"/>
      <c r="F518" s="11"/>
      <c r="G518" s="11"/>
      <c r="H518" s="11"/>
      <c r="I518" s="46"/>
      <c r="J518" s="11"/>
      <c r="K518" s="11"/>
      <c r="L518" s="11"/>
      <c r="M518" s="11"/>
      <c r="N518" s="11"/>
      <c r="O518" s="11"/>
      <c r="P518" s="11"/>
      <c r="Q518" s="11"/>
      <c r="R518" s="11"/>
      <c r="S518" s="11"/>
      <c r="T518" s="11"/>
      <c r="U518" s="11"/>
      <c r="V518" s="11"/>
      <c r="W518" s="11"/>
      <c r="X518" s="11"/>
      <c r="Y518" s="11"/>
      <c r="Z518" s="11"/>
    </row>
    <row r="519" spans="1:26" ht="14.25" customHeight="1">
      <c r="A519" s="11"/>
      <c r="B519" s="11"/>
      <c r="C519" s="11"/>
      <c r="D519" s="11"/>
      <c r="E519" s="11"/>
      <c r="F519" s="11"/>
      <c r="G519" s="11"/>
      <c r="H519" s="11"/>
      <c r="I519" s="46"/>
      <c r="J519" s="11"/>
      <c r="K519" s="11"/>
      <c r="L519" s="11"/>
      <c r="M519" s="11"/>
      <c r="N519" s="11"/>
      <c r="O519" s="11"/>
      <c r="P519" s="11"/>
      <c r="Q519" s="11"/>
      <c r="R519" s="11"/>
      <c r="S519" s="11"/>
      <c r="T519" s="11"/>
      <c r="U519" s="11"/>
      <c r="V519" s="11"/>
      <c r="W519" s="11"/>
      <c r="X519" s="11"/>
      <c r="Y519" s="11"/>
      <c r="Z519" s="11"/>
    </row>
    <row r="520" spans="1:26" ht="14.25" customHeight="1">
      <c r="A520" s="11"/>
      <c r="B520" s="11"/>
      <c r="C520" s="11"/>
      <c r="D520" s="11"/>
      <c r="E520" s="11"/>
      <c r="F520" s="11"/>
      <c r="G520" s="11"/>
      <c r="H520" s="11"/>
      <c r="I520" s="46"/>
      <c r="J520" s="11"/>
      <c r="K520" s="11"/>
      <c r="L520" s="11"/>
      <c r="M520" s="11"/>
      <c r="N520" s="11"/>
      <c r="O520" s="11"/>
      <c r="P520" s="11"/>
      <c r="Q520" s="11"/>
      <c r="R520" s="11"/>
      <c r="S520" s="11"/>
      <c r="T520" s="11"/>
      <c r="U520" s="11"/>
      <c r="V520" s="11"/>
      <c r="W520" s="11"/>
      <c r="X520" s="11"/>
      <c r="Y520" s="11"/>
      <c r="Z520" s="11"/>
    </row>
    <row r="521" spans="1:26" ht="14.25" customHeight="1">
      <c r="A521" s="11"/>
      <c r="B521" s="11"/>
      <c r="C521" s="11"/>
      <c r="D521" s="11"/>
      <c r="E521" s="11"/>
      <c r="F521" s="11"/>
      <c r="G521" s="11"/>
      <c r="H521" s="11"/>
      <c r="I521" s="46"/>
      <c r="J521" s="11"/>
      <c r="K521" s="11"/>
      <c r="L521" s="11"/>
      <c r="M521" s="11"/>
      <c r="N521" s="11"/>
      <c r="O521" s="11"/>
      <c r="P521" s="11"/>
      <c r="Q521" s="11"/>
      <c r="R521" s="11"/>
      <c r="S521" s="11"/>
      <c r="T521" s="11"/>
      <c r="U521" s="11"/>
      <c r="V521" s="11"/>
      <c r="W521" s="11"/>
      <c r="X521" s="11"/>
      <c r="Y521" s="11"/>
      <c r="Z521" s="11"/>
    </row>
    <row r="522" spans="1:26" ht="14.25" customHeight="1">
      <c r="A522" s="11"/>
      <c r="B522" s="11"/>
      <c r="C522" s="11"/>
      <c r="D522" s="11"/>
      <c r="E522" s="11"/>
      <c r="F522" s="11"/>
      <c r="G522" s="11"/>
      <c r="H522" s="11"/>
      <c r="I522" s="46"/>
      <c r="J522" s="11"/>
      <c r="K522" s="11"/>
      <c r="L522" s="11"/>
      <c r="M522" s="11"/>
      <c r="N522" s="11"/>
      <c r="O522" s="11"/>
      <c r="P522" s="11"/>
      <c r="Q522" s="11"/>
      <c r="R522" s="11"/>
      <c r="S522" s="11"/>
      <c r="T522" s="11"/>
      <c r="U522" s="11"/>
      <c r="V522" s="11"/>
      <c r="W522" s="11"/>
      <c r="X522" s="11"/>
      <c r="Y522" s="11"/>
      <c r="Z522" s="11"/>
    </row>
    <row r="523" spans="1:26" ht="14.25" customHeight="1">
      <c r="A523" s="11"/>
      <c r="B523" s="11"/>
      <c r="C523" s="11"/>
      <c r="D523" s="11"/>
      <c r="E523" s="11"/>
      <c r="F523" s="11"/>
      <c r="G523" s="11"/>
      <c r="H523" s="11"/>
      <c r="I523" s="46"/>
      <c r="J523" s="11"/>
      <c r="K523" s="11"/>
      <c r="L523" s="11"/>
      <c r="M523" s="11"/>
      <c r="N523" s="11"/>
      <c r="O523" s="11"/>
      <c r="P523" s="11"/>
      <c r="Q523" s="11"/>
      <c r="R523" s="11"/>
      <c r="S523" s="11"/>
      <c r="T523" s="11"/>
      <c r="U523" s="11"/>
      <c r="V523" s="11"/>
      <c r="W523" s="11"/>
      <c r="X523" s="11"/>
      <c r="Y523" s="11"/>
      <c r="Z523" s="11"/>
    </row>
    <row r="524" spans="1:26" ht="14.25" customHeight="1">
      <c r="A524" s="11"/>
      <c r="B524" s="11"/>
      <c r="C524" s="11"/>
      <c r="D524" s="11"/>
      <c r="E524" s="11"/>
      <c r="F524" s="11"/>
      <c r="G524" s="11"/>
      <c r="H524" s="11"/>
      <c r="I524" s="46"/>
      <c r="J524" s="11"/>
      <c r="K524" s="11"/>
      <c r="L524" s="11"/>
      <c r="M524" s="11"/>
      <c r="N524" s="11"/>
      <c r="O524" s="11"/>
      <c r="P524" s="11"/>
      <c r="Q524" s="11"/>
      <c r="R524" s="11"/>
      <c r="S524" s="11"/>
      <c r="T524" s="11"/>
      <c r="U524" s="11"/>
      <c r="V524" s="11"/>
      <c r="W524" s="11"/>
      <c r="X524" s="11"/>
      <c r="Y524" s="11"/>
      <c r="Z524" s="11"/>
    </row>
    <row r="525" spans="1:26" ht="14.25" customHeight="1">
      <c r="A525" s="11"/>
      <c r="B525" s="11"/>
      <c r="C525" s="11"/>
      <c r="D525" s="11"/>
      <c r="E525" s="11"/>
      <c r="F525" s="11"/>
      <c r="G525" s="11"/>
      <c r="H525" s="11"/>
      <c r="I525" s="46"/>
      <c r="J525" s="11"/>
      <c r="K525" s="11"/>
      <c r="L525" s="11"/>
      <c r="M525" s="11"/>
      <c r="N525" s="11"/>
      <c r="O525" s="11"/>
      <c r="P525" s="11"/>
      <c r="Q525" s="11"/>
      <c r="R525" s="11"/>
      <c r="S525" s="11"/>
      <c r="T525" s="11"/>
      <c r="U525" s="11"/>
      <c r="V525" s="11"/>
      <c r="W525" s="11"/>
      <c r="X525" s="11"/>
      <c r="Y525" s="11"/>
      <c r="Z525" s="11"/>
    </row>
    <row r="526" spans="1:26" ht="14.25" customHeight="1">
      <c r="A526" s="11"/>
      <c r="B526" s="11"/>
      <c r="C526" s="11"/>
      <c r="D526" s="11"/>
      <c r="E526" s="11"/>
      <c r="F526" s="11"/>
      <c r="G526" s="11"/>
      <c r="H526" s="11"/>
      <c r="I526" s="46"/>
      <c r="J526" s="11"/>
      <c r="K526" s="11"/>
      <c r="L526" s="11"/>
      <c r="M526" s="11"/>
      <c r="N526" s="11"/>
      <c r="O526" s="11"/>
      <c r="P526" s="11"/>
      <c r="Q526" s="11"/>
      <c r="R526" s="11"/>
      <c r="S526" s="11"/>
      <c r="T526" s="11"/>
      <c r="U526" s="11"/>
      <c r="V526" s="11"/>
      <c r="W526" s="11"/>
      <c r="X526" s="11"/>
      <c r="Y526" s="11"/>
      <c r="Z526" s="11"/>
    </row>
    <row r="527" spans="1:26" ht="14.25" customHeight="1">
      <c r="A527" s="11"/>
      <c r="B527" s="11"/>
      <c r="C527" s="11"/>
      <c r="D527" s="11"/>
      <c r="E527" s="11"/>
      <c r="F527" s="11"/>
      <c r="G527" s="11"/>
      <c r="H527" s="11"/>
      <c r="I527" s="46"/>
      <c r="J527" s="11"/>
      <c r="K527" s="11"/>
      <c r="L527" s="11"/>
      <c r="M527" s="11"/>
      <c r="N527" s="11"/>
      <c r="O527" s="11"/>
      <c r="P527" s="11"/>
      <c r="Q527" s="11"/>
      <c r="R527" s="11"/>
      <c r="S527" s="11"/>
      <c r="T527" s="11"/>
      <c r="U527" s="11"/>
      <c r="V527" s="11"/>
      <c r="W527" s="11"/>
      <c r="X527" s="11"/>
      <c r="Y527" s="11"/>
      <c r="Z527" s="11"/>
    </row>
    <row r="528" spans="1:26" ht="14.25" customHeight="1">
      <c r="A528" s="11"/>
      <c r="B528" s="11"/>
      <c r="C528" s="11"/>
      <c r="D528" s="11"/>
      <c r="E528" s="11"/>
      <c r="F528" s="11"/>
      <c r="G528" s="11"/>
      <c r="H528" s="11"/>
      <c r="I528" s="46"/>
      <c r="J528" s="11"/>
      <c r="K528" s="11"/>
      <c r="L528" s="11"/>
      <c r="M528" s="11"/>
      <c r="N528" s="11"/>
      <c r="O528" s="11"/>
      <c r="P528" s="11"/>
      <c r="Q528" s="11"/>
      <c r="R528" s="11"/>
      <c r="S528" s="11"/>
      <c r="T528" s="11"/>
      <c r="U528" s="11"/>
      <c r="V528" s="11"/>
      <c r="W528" s="11"/>
      <c r="X528" s="11"/>
      <c r="Y528" s="11"/>
      <c r="Z528" s="11"/>
    </row>
    <row r="529" spans="1:26" ht="14.25" customHeight="1">
      <c r="A529" s="11"/>
      <c r="B529" s="11"/>
      <c r="C529" s="11"/>
      <c r="D529" s="11"/>
      <c r="E529" s="11"/>
      <c r="F529" s="11"/>
      <c r="G529" s="11"/>
      <c r="H529" s="11"/>
      <c r="I529" s="46"/>
      <c r="J529" s="11"/>
      <c r="K529" s="11"/>
      <c r="L529" s="11"/>
      <c r="M529" s="11"/>
      <c r="N529" s="11"/>
      <c r="O529" s="11"/>
      <c r="P529" s="11"/>
      <c r="Q529" s="11"/>
      <c r="R529" s="11"/>
      <c r="S529" s="11"/>
      <c r="T529" s="11"/>
      <c r="U529" s="11"/>
      <c r="V529" s="11"/>
      <c r="W529" s="11"/>
      <c r="X529" s="11"/>
      <c r="Y529" s="11"/>
      <c r="Z529" s="11"/>
    </row>
    <row r="530" spans="1:26" ht="14.25" customHeight="1">
      <c r="A530" s="11"/>
      <c r="B530" s="11"/>
      <c r="C530" s="11"/>
      <c r="D530" s="11"/>
      <c r="E530" s="11"/>
      <c r="F530" s="11"/>
      <c r="G530" s="11"/>
      <c r="H530" s="11"/>
      <c r="I530" s="46"/>
      <c r="J530" s="11"/>
      <c r="K530" s="11"/>
      <c r="L530" s="11"/>
      <c r="M530" s="11"/>
      <c r="N530" s="11"/>
      <c r="O530" s="11"/>
      <c r="P530" s="11"/>
      <c r="Q530" s="11"/>
      <c r="R530" s="11"/>
      <c r="S530" s="11"/>
      <c r="T530" s="11"/>
      <c r="U530" s="11"/>
      <c r="V530" s="11"/>
      <c r="W530" s="11"/>
      <c r="X530" s="11"/>
      <c r="Y530" s="11"/>
      <c r="Z530" s="11"/>
    </row>
    <row r="531" spans="1:26" ht="14.25" customHeight="1">
      <c r="A531" s="11"/>
      <c r="B531" s="11"/>
      <c r="C531" s="11"/>
      <c r="D531" s="11"/>
      <c r="E531" s="11"/>
      <c r="F531" s="11"/>
      <c r="G531" s="11"/>
      <c r="H531" s="11"/>
      <c r="I531" s="46"/>
      <c r="J531" s="11"/>
      <c r="K531" s="11"/>
      <c r="L531" s="11"/>
      <c r="M531" s="11"/>
      <c r="N531" s="11"/>
      <c r="O531" s="11"/>
      <c r="P531" s="11"/>
      <c r="Q531" s="11"/>
      <c r="R531" s="11"/>
      <c r="S531" s="11"/>
      <c r="T531" s="11"/>
      <c r="U531" s="11"/>
      <c r="V531" s="11"/>
      <c r="W531" s="11"/>
      <c r="X531" s="11"/>
      <c r="Y531" s="11"/>
      <c r="Z531" s="11"/>
    </row>
    <row r="532" spans="1:26" ht="14.25" customHeight="1">
      <c r="A532" s="11"/>
      <c r="B532" s="11"/>
      <c r="C532" s="11"/>
      <c r="D532" s="11"/>
      <c r="E532" s="11"/>
      <c r="F532" s="11"/>
      <c r="G532" s="11"/>
      <c r="H532" s="11"/>
      <c r="I532" s="46"/>
      <c r="J532" s="11"/>
      <c r="K532" s="11"/>
      <c r="L532" s="11"/>
      <c r="M532" s="11"/>
      <c r="N532" s="11"/>
      <c r="O532" s="11"/>
      <c r="P532" s="11"/>
      <c r="Q532" s="11"/>
      <c r="R532" s="11"/>
      <c r="S532" s="11"/>
      <c r="T532" s="11"/>
      <c r="U532" s="11"/>
      <c r="V532" s="11"/>
      <c r="W532" s="11"/>
      <c r="X532" s="11"/>
      <c r="Y532" s="11"/>
      <c r="Z532" s="11"/>
    </row>
    <row r="533" spans="1:26" ht="14.25" customHeight="1">
      <c r="A533" s="11"/>
      <c r="B533" s="11"/>
      <c r="C533" s="11"/>
      <c r="D533" s="11"/>
      <c r="E533" s="11"/>
      <c r="F533" s="11"/>
      <c r="G533" s="11"/>
      <c r="H533" s="11"/>
      <c r="I533" s="46"/>
      <c r="J533" s="11"/>
      <c r="K533" s="11"/>
      <c r="L533" s="11"/>
      <c r="M533" s="11"/>
      <c r="N533" s="11"/>
      <c r="O533" s="11"/>
      <c r="P533" s="11"/>
      <c r="Q533" s="11"/>
      <c r="R533" s="11"/>
      <c r="S533" s="11"/>
      <c r="T533" s="11"/>
      <c r="U533" s="11"/>
      <c r="V533" s="11"/>
      <c r="W533" s="11"/>
      <c r="X533" s="11"/>
      <c r="Y533" s="11"/>
      <c r="Z533" s="11"/>
    </row>
    <row r="534" spans="1:26" ht="14.25" customHeight="1">
      <c r="A534" s="11"/>
      <c r="B534" s="11"/>
      <c r="C534" s="11"/>
      <c r="D534" s="11"/>
      <c r="E534" s="11"/>
      <c r="F534" s="11"/>
      <c r="G534" s="11"/>
      <c r="H534" s="11"/>
      <c r="I534" s="46"/>
      <c r="J534" s="11"/>
      <c r="K534" s="11"/>
      <c r="L534" s="11"/>
      <c r="M534" s="11"/>
      <c r="N534" s="11"/>
      <c r="O534" s="11"/>
      <c r="P534" s="11"/>
      <c r="Q534" s="11"/>
      <c r="R534" s="11"/>
      <c r="S534" s="11"/>
      <c r="T534" s="11"/>
      <c r="U534" s="11"/>
      <c r="V534" s="11"/>
      <c r="W534" s="11"/>
      <c r="X534" s="11"/>
      <c r="Y534" s="11"/>
      <c r="Z534" s="11"/>
    </row>
    <row r="535" spans="1:26" ht="14.25" customHeight="1">
      <c r="A535" s="11"/>
      <c r="B535" s="11"/>
      <c r="C535" s="11"/>
      <c r="D535" s="11"/>
      <c r="E535" s="11"/>
      <c r="F535" s="11"/>
      <c r="G535" s="11"/>
      <c r="H535" s="11"/>
      <c r="I535" s="46"/>
      <c r="J535" s="11"/>
      <c r="K535" s="11"/>
      <c r="L535" s="11"/>
      <c r="M535" s="11"/>
      <c r="N535" s="11"/>
      <c r="O535" s="11"/>
      <c r="P535" s="11"/>
      <c r="Q535" s="11"/>
      <c r="R535" s="11"/>
      <c r="S535" s="11"/>
      <c r="T535" s="11"/>
      <c r="U535" s="11"/>
      <c r="V535" s="11"/>
      <c r="W535" s="11"/>
      <c r="X535" s="11"/>
      <c r="Y535" s="11"/>
      <c r="Z535" s="11"/>
    </row>
    <row r="536" spans="1:26" ht="14.25" customHeight="1">
      <c r="A536" s="11"/>
      <c r="B536" s="11"/>
      <c r="C536" s="11"/>
      <c r="D536" s="11"/>
      <c r="E536" s="11"/>
      <c r="F536" s="11"/>
      <c r="G536" s="11"/>
      <c r="H536" s="11"/>
      <c r="I536" s="46"/>
      <c r="J536" s="11"/>
      <c r="K536" s="11"/>
      <c r="L536" s="11"/>
      <c r="M536" s="11"/>
      <c r="N536" s="11"/>
      <c r="O536" s="11"/>
      <c r="P536" s="11"/>
      <c r="Q536" s="11"/>
      <c r="R536" s="11"/>
      <c r="S536" s="11"/>
      <c r="T536" s="11"/>
      <c r="U536" s="11"/>
      <c r="V536" s="11"/>
      <c r="W536" s="11"/>
      <c r="X536" s="11"/>
      <c r="Y536" s="11"/>
      <c r="Z536" s="11"/>
    </row>
    <row r="537" spans="1:26" ht="14.25" customHeight="1">
      <c r="A537" s="11"/>
      <c r="B537" s="11"/>
      <c r="C537" s="11"/>
      <c r="D537" s="11"/>
      <c r="E537" s="11"/>
      <c r="F537" s="11"/>
      <c r="G537" s="11"/>
      <c r="H537" s="11"/>
      <c r="I537" s="46"/>
      <c r="J537" s="11"/>
      <c r="K537" s="11"/>
      <c r="L537" s="11"/>
      <c r="M537" s="11"/>
      <c r="N537" s="11"/>
      <c r="O537" s="11"/>
      <c r="P537" s="11"/>
      <c r="Q537" s="11"/>
      <c r="R537" s="11"/>
      <c r="S537" s="11"/>
      <c r="T537" s="11"/>
      <c r="U537" s="11"/>
      <c r="V537" s="11"/>
      <c r="W537" s="11"/>
      <c r="X537" s="11"/>
      <c r="Y537" s="11"/>
      <c r="Z537" s="11"/>
    </row>
    <row r="538" spans="1:26" ht="14.25" customHeight="1">
      <c r="A538" s="11"/>
      <c r="B538" s="11"/>
      <c r="C538" s="11"/>
      <c r="D538" s="11"/>
      <c r="E538" s="11"/>
      <c r="F538" s="11"/>
      <c r="G538" s="11"/>
      <c r="H538" s="11"/>
      <c r="I538" s="46"/>
      <c r="J538" s="11"/>
      <c r="K538" s="11"/>
      <c r="L538" s="11"/>
      <c r="M538" s="11"/>
      <c r="N538" s="11"/>
      <c r="O538" s="11"/>
      <c r="P538" s="11"/>
      <c r="Q538" s="11"/>
      <c r="R538" s="11"/>
      <c r="S538" s="11"/>
      <c r="T538" s="11"/>
      <c r="U538" s="11"/>
      <c r="V538" s="11"/>
      <c r="W538" s="11"/>
      <c r="X538" s="11"/>
      <c r="Y538" s="11"/>
      <c r="Z538" s="11"/>
    </row>
    <row r="539" spans="1:26" ht="14.25" customHeight="1">
      <c r="A539" s="11"/>
      <c r="B539" s="11"/>
      <c r="C539" s="11"/>
      <c r="D539" s="11"/>
      <c r="E539" s="11"/>
      <c r="F539" s="11"/>
      <c r="G539" s="11"/>
      <c r="H539" s="11"/>
      <c r="I539" s="46"/>
      <c r="J539" s="11"/>
      <c r="K539" s="11"/>
      <c r="L539" s="11"/>
      <c r="M539" s="11"/>
      <c r="N539" s="11"/>
      <c r="O539" s="11"/>
      <c r="P539" s="11"/>
      <c r="Q539" s="11"/>
      <c r="R539" s="11"/>
      <c r="S539" s="11"/>
      <c r="T539" s="11"/>
      <c r="U539" s="11"/>
      <c r="V539" s="11"/>
      <c r="W539" s="11"/>
      <c r="X539" s="11"/>
      <c r="Y539" s="11"/>
      <c r="Z539" s="11"/>
    </row>
    <row r="540" spans="1:26" ht="14.25" customHeight="1">
      <c r="A540" s="11"/>
      <c r="B540" s="11"/>
      <c r="C540" s="11"/>
      <c r="D540" s="11"/>
      <c r="E540" s="11"/>
      <c r="F540" s="11"/>
      <c r="G540" s="11"/>
      <c r="H540" s="11"/>
      <c r="I540" s="46"/>
      <c r="J540" s="11"/>
      <c r="K540" s="11"/>
      <c r="L540" s="11"/>
      <c r="M540" s="11"/>
      <c r="N540" s="11"/>
      <c r="O540" s="11"/>
      <c r="P540" s="11"/>
      <c r="Q540" s="11"/>
      <c r="R540" s="11"/>
      <c r="S540" s="11"/>
      <c r="T540" s="11"/>
      <c r="U540" s="11"/>
      <c r="V540" s="11"/>
      <c r="W540" s="11"/>
      <c r="X540" s="11"/>
      <c r="Y540" s="11"/>
      <c r="Z540" s="11"/>
    </row>
    <row r="541" spans="1:26" ht="14.25" customHeight="1">
      <c r="A541" s="11"/>
      <c r="B541" s="11"/>
      <c r="C541" s="11"/>
      <c r="D541" s="11"/>
      <c r="E541" s="11"/>
      <c r="F541" s="11"/>
      <c r="G541" s="11"/>
      <c r="H541" s="11"/>
      <c r="I541" s="46"/>
      <c r="J541" s="11"/>
      <c r="K541" s="11"/>
      <c r="L541" s="11"/>
      <c r="M541" s="11"/>
      <c r="N541" s="11"/>
      <c r="O541" s="11"/>
      <c r="P541" s="11"/>
      <c r="Q541" s="11"/>
      <c r="R541" s="11"/>
      <c r="S541" s="11"/>
      <c r="T541" s="11"/>
      <c r="U541" s="11"/>
      <c r="V541" s="11"/>
      <c r="W541" s="11"/>
      <c r="X541" s="11"/>
      <c r="Y541" s="11"/>
      <c r="Z541" s="11"/>
    </row>
    <row r="542" spans="1:26" ht="14.25" customHeight="1">
      <c r="A542" s="11"/>
      <c r="B542" s="11"/>
      <c r="C542" s="11"/>
      <c r="D542" s="11"/>
      <c r="E542" s="11"/>
      <c r="F542" s="11"/>
      <c r="G542" s="11"/>
      <c r="H542" s="11"/>
      <c r="I542" s="46"/>
      <c r="J542" s="11"/>
      <c r="K542" s="11"/>
      <c r="L542" s="11"/>
      <c r="M542" s="11"/>
      <c r="N542" s="11"/>
      <c r="O542" s="11"/>
      <c r="P542" s="11"/>
      <c r="Q542" s="11"/>
      <c r="R542" s="11"/>
      <c r="S542" s="11"/>
      <c r="T542" s="11"/>
      <c r="U542" s="11"/>
      <c r="V542" s="11"/>
      <c r="W542" s="11"/>
      <c r="X542" s="11"/>
      <c r="Y542" s="11"/>
      <c r="Z542" s="11"/>
    </row>
    <row r="543" spans="1:26" ht="14.25" customHeight="1">
      <c r="A543" s="11"/>
      <c r="B543" s="11"/>
      <c r="C543" s="11"/>
      <c r="D543" s="11"/>
      <c r="E543" s="11"/>
      <c r="F543" s="11"/>
      <c r="G543" s="11"/>
      <c r="H543" s="11"/>
      <c r="I543" s="46"/>
      <c r="J543" s="11"/>
      <c r="K543" s="11"/>
      <c r="L543" s="11"/>
      <c r="M543" s="11"/>
      <c r="N543" s="11"/>
      <c r="O543" s="11"/>
      <c r="P543" s="11"/>
      <c r="Q543" s="11"/>
      <c r="R543" s="11"/>
      <c r="S543" s="11"/>
      <c r="T543" s="11"/>
      <c r="U543" s="11"/>
      <c r="V543" s="11"/>
      <c r="W543" s="11"/>
      <c r="X543" s="11"/>
      <c r="Y543" s="11"/>
      <c r="Z543" s="11"/>
    </row>
    <row r="544" spans="1:26" ht="14.25" customHeight="1">
      <c r="A544" s="11"/>
      <c r="B544" s="11"/>
      <c r="C544" s="11"/>
      <c r="D544" s="11"/>
      <c r="E544" s="11"/>
      <c r="F544" s="11"/>
      <c r="G544" s="11"/>
      <c r="H544" s="11"/>
      <c r="I544" s="46"/>
      <c r="J544" s="11"/>
      <c r="K544" s="11"/>
      <c r="L544" s="11"/>
      <c r="M544" s="11"/>
      <c r="N544" s="11"/>
      <c r="O544" s="11"/>
      <c r="P544" s="11"/>
      <c r="Q544" s="11"/>
      <c r="R544" s="11"/>
      <c r="S544" s="11"/>
      <c r="T544" s="11"/>
      <c r="U544" s="11"/>
      <c r="V544" s="11"/>
      <c r="W544" s="11"/>
      <c r="X544" s="11"/>
      <c r="Y544" s="11"/>
      <c r="Z544" s="11"/>
    </row>
    <row r="545" spans="1:26" ht="14.25" customHeight="1">
      <c r="A545" s="11"/>
      <c r="B545" s="11"/>
      <c r="C545" s="11"/>
      <c r="D545" s="11"/>
      <c r="E545" s="11"/>
      <c r="F545" s="11"/>
      <c r="G545" s="11"/>
      <c r="H545" s="11"/>
      <c r="I545" s="46"/>
      <c r="J545" s="11"/>
      <c r="K545" s="11"/>
      <c r="L545" s="11"/>
      <c r="M545" s="11"/>
      <c r="N545" s="11"/>
      <c r="O545" s="11"/>
      <c r="P545" s="11"/>
      <c r="Q545" s="11"/>
      <c r="R545" s="11"/>
      <c r="S545" s="11"/>
      <c r="T545" s="11"/>
      <c r="U545" s="11"/>
      <c r="V545" s="11"/>
      <c r="W545" s="11"/>
      <c r="X545" s="11"/>
      <c r="Y545" s="11"/>
      <c r="Z545" s="11"/>
    </row>
    <row r="546" spans="1:26" ht="14.25" customHeight="1">
      <c r="A546" s="11"/>
      <c r="B546" s="11"/>
      <c r="C546" s="11"/>
      <c r="D546" s="11"/>
      <c r="E546" s="11"/>
      <c r="F546" s="11"/>
      <c r="G546" s="11"/>
      <c r="H546" s="11"/>
      <c r="I546" s="46"/>
      <c r="J546" s="11"/>
      <c r="K546" s="11"/>
      <c r="L546" s="11"/>
      <c r="M546" s="11"/>
      <c r="N546" s="11"/>
      <c r="O546" s="11"/>
      <c r="P546" s="11"/>
      <c r="Q546" s="11"/>
      <c r="R546" s="11"/>
      <c r="S546" s="11"/>
      <c r="T546" s="11"/>
      <c r="U546" s="11"/>
      <c r="V546" s="11"/>
      <c r="W546" s="11"/>
      <c r="X546" s="11"/>
      <c r="Y546" s="11"/>
      <c r="Z546" s="11"/>
    </row>
    <row r="547" spans="1:26" ht="14.25" customHeight="1">
      <c r="A547" s="11"/>
      <c r="B547" s="11"/>
      <c r="C547" s="11"/>
      <c r="D547" s="11"/>
      <c r="E547" s="11"/>
      <c r="F547" s="11"/>
      <c r="G547" s="11"/>
      <c r="H547" s="11"/>
      <c r="I547" s="46"/>
      <c r="J547" s="11"/>
      <c r="K547" s="11"/>
      <c r="L547" s="11"/>
      <c r="M547" s="11"/>
      <c r="N547" s="11"/>
      <c r="O547" s="11"/>
      <c r="P547" s="11"/>
      <c r="Q547" s="11"/>
      <c r="R547" s="11"/>
      <c r="S547" s="11"/>
      <c r="T547" s="11"/>
      <c r="U547" s="11"/>
      <c r="V547" s="11"/>
      <c r="W547" s="11"/>
      <c r="X547" s="11"/>
      <c r="Y547" s="11"/>
      <c r="Z547" s="11"/>
    </row>
    <row r="548" spans="1:26" ht="14.25" customHeight="1">
      <c r="A548" s="11"/>
      <c r="B548" s="11"/>
      <c r="C548" s="11"/>
      <c r="D548" s="11"/>
      <c r="E548" s="11"/>
      <c r="F548" s="11"/>
      <c r="G548" s="11"/>
      <c r="H548" s="11"/>
      <c r="I548" s="46"/>
      <c r="J548" s="11"/>
      <c r="K548" s="11"/>
      <c r="L548" s="11"/>
      <c r="M548" s="11"/>
      <c r="N548" s="11"/>
      <c r="O548" s="11"/>
      <c r="P548" s="11"/>
      <c r="Q548" s="11"/>
      <c r="R548" s="11"/>
      <c r="S548" s="11"/>
      <c r="T548" s="11"/>
      <c r="U548" s="11"/>
      <c r="V548" s="11"/>
      <c r="W548" s="11"/>
      <c r="X548" s="11"/>
      <c r="Y548" s="11"/>
      <c r="Z548" s="11"/>
    </row>
    <row r="549" spans="1:26" ht="14.25" customHeight="1">
      <c r="A549" s="11"/>
      <c r="B549" s="11"/>
      <c r="C549" s="11"/>
      <c r="D549" s="11"/>
      <c r="E549" s="11"/>
      <c r="F549" s="11"/>
      <c r="G549" s="11"/>
      <c r="H549" s="11"/>
      <c r="I549" s="46"/>
      <c r="J549" s="11"/>
      <c r="K549" s="11"/>
      <c r="L549" s="11"/>
      <c r="M549" s="11"/>
      <c r="N549" s="11"/>
      <c r="O549" s="11"/>
      <c r="P549" s="11"/>
      <c r="Q549" s="11"/>
      <c r="R549" s="11"/>
      <c r="S549" s="11"/>
      <c r="T549" s="11"/>
      <c r="U549" s="11"/>
      <c r="V549" s="11"/>
      <c r="W549" s="11"/>
      <c r="X549" s="11"/>
      <c r="Y549" s="11"/>
      <c r="Z549" s="11"/>
    </row>
    <row r="550" spans="1:26" ht="14.25" customHeight="1">
      <c r="A550" s="11"/>
      <c r="B550" s="11"/>
      <c r="C550" s="11"/>
      <c r="D550" s="11"/>
      <c r="E550" s="11"/>
      <c r="F550" s="11"/>
      <c r="G550" s="11"/>
      <c r="H550" s="11"/>
      <c r="I550" s="46"/>
      <c r="J550" s="11"/>
      <c r="K550" s="11"/>
      <c r="L550" s="11"/>
      <c r="M550" s="11"/>
      <c r="N550" s="11"/>
      <c r="O550" s="11"/>
      <c r="P550" s="11"/>
      <c r="Q550" s="11"/>
      <c r="R550" s="11"/>
      <c r="S550" s="11"/>
      <c r="T550" s="11"/>
      <c r="U550" s="11"/>
      <c r="V550" s="11"/>
      <c r="W550" s="11"/>
      <c r="X550" s="11"/>
      <c r="Y550" s="11"/>
      <c r="Z550" s="11"/>
    </row>
    <row r="551" spans="1:26" ht="14.25" customHeight="1">
      <c r="A551" s="11"/>
      <c r="B551" s="11"/>
      <c r="C551" s="11"/>
      <c r="D551" s="11"/>
      <c r="E551" s="11"/>
      <c r="F551" s="11"/>
      <c r="G551" s="11"/>
      <c r="H551" s="11"/>
      <c r="I551" s="46"/>
      <c r="J551" s="11"/>
      <c r="K551" s="11"/>
      <c r="L551" s="11"/>
      <c r="M551" s="11"/>
      <c r="N551" s="11"/>
      <c r="O551" s="11"/>
      <c r="P551" s="11"/>
      <c r="Q551" s="11"/>
      <c r="R551" s="11"/>
      <c r="S551" s="11"/>
      <c r="T551" s="11"/>
      <c r="U551" s="11"/>
      <c r="V551" s="11"/>
      <c r="W551" s="11"/>
      <c r="X551" s="11"/>
      <c r="Y551" s="11"/>
      <c r="Z551" s="11"/>
    </row>
    <row r="552" spans="1:26" ht="14.25" customHeight="1">
      <c r="A552" s="11"/>
      <c r="B552" s="11"/>
      <c r="C552" s="11"/>
      <c r="D552" s="11"/>
      <c r="E552" s="11"/>
      <c r="F552" s="11"/>
      <c r="G552" s="11"/>
      <c r="H552" s="11"/>
      <c r="I552" s="46"/>
      <c r="J552" s="11"/>
      <c r="K552" s="11"/>
      <c r="L552" s="11"/>
      <c r="M552" s="11"/>
      <c r="N552" s="11"/>
      <c r="O552" s="11"/>
      <c r="P552" s="11"/>
      <c r="Q552" s="11"/>
      <c r="R552" s="11"/>
      <c r="S552" s="11"/>
      <c r="T552" s="11"/>
      <c r="U552" s="11"/>
      <c r="V552" s="11"/>
      <c r="W552" s="11"/>
      <c r="X552" s="11"/>
      <c r="Y552" s="11"/>
      <c r="Z552" s="11"/>
    </row>
    <row r="553" spans="1:26" ht="14.25" customHeight="1">
      <c r="A553" s="11"/>
      <c r="B553" s="11"/>
      <c r="C553" s="11"/>
      <c r="D553" s="11"/>
      <c r="E553" s="11"/>
      <c r="F553" s="11"/>
      <c r="G553" s="11"/>
      <c r="H553" s="11"/>
      <c r="I553" s="46"/>
      <c r="J553" s="11"/>
      <c r="K553" s="11"/>
      <c r="L553" s="11"/>
      <c r="M553" s="11"/>
      <c r="N553" s="11"/>
      <c r="O553" s="11"/>
      <c r="P553" s="11"/>
      <c r="Q553" s="11"/>
      <c r="R553" s="11"/>
      <c r="S553" s="11"/>
      <c r="T553" s="11"/>
      <c r="U553" s="11"/>
      <c r="V553" s="11"/>
      <c r="W553" s="11"/>
      <c r="X553" s="11"/>
      <c r="Y553" s="11"/>
      <c r="Z553" s="11"/>
    </row>
    <row r="554" spans="1:26" ht="14.25" customHeight="1">
      <c r="A554" s="11"/>
      <c r="B554" s="11"/>
      <c r="C554" s="11"/>
      <c r="D554" s="11"/>
      <c r="E554" s="11"/>
      <c r="F554" s="11"/>
      <c r="G554" s="11"/>
      <c r="H554" s="11"/>
      <c r="I554" s="46"/>
      <c r="J554" s="11"/>
      <c r="K554" s="11"/>
      <c r="L554" s="11"/>
      <c r="M554" s="11"/>
      <c r="N554" s="11"/>
      <c r="O554" s="11"/>
      <c r="P554" s="11"/>
      <c r="Q554" s="11"/>
      <c r="R554" s="11"/>
      <c r="S554" s="11"/>
      <c r="T554" s="11"/>
      <c r="U554" s="11"/>
      <c r="V554" s="11"/>
      <c r="W554" s="11"/>
      <c r="X554" s="11"/>
      <c r="Y554" s="11"/>
      <c r="Z554" s="11"/>
    </row>
    <row r="555" spans="1:26" ht="14.25" customHeight="1">
      <c r="A555" s="11"/>
      <c r="B555" s="11"/>
      <c r="C555" s="11"/>
      <c r="D555" s="11"/>
      <c r="E555" s="11"/>
      <c r="F555" s="11"/>
      <c r="G555" s="11"/>
      <c r="H555" s="11"/>
      <c r="I555" s="46"/>
      <c r="J555" s="11"/>
      <c r="K555" s="11"/>
      <c r="L555" s="11"/>
      <c r="M555" s="11"/>
      <c r="N555" s="11"/>
      <c r="O555" s="11"/>
      <c r="P555" s="11"/>
      <c r="Q555" s="11"/>
      <c r="R555" s="11"/>
      <c r="S555" s="11"/>
      <c r="T555" s="11"/>
      <c r="U555" s="11"/>
      <c r="V555" s="11"/>
      <c r="W555" s="11"/>
      <c r="X555" s="11"/>
      <c r="Y555" s="11"/>
      <c r="Z555" s="11"/>
    </row>
    <row r="556" spans="1:26" ht="14.25" customHeight="1">
      <c r="A556" s="11"/>
      <c r="B556" s="11"/>
      <c r="C556" s="11"/>
      <c r="D556" s="11"/>
      <c r="E556" s="11"/>
      <c r="F556" s="11"/>
      <c r="G556" s="11"/>
      <c r="H556" s="11"/>
      <c r="I556" s="46"/>
      <c r="J556" s="11"/>
      <c r="K556" s="11"/>
      <c r="L556" s="11"/>
      <c r="M556" s="11"/>
      <c r="N556" s="11"/>
      <c r="O556" s="11"/>
      <c r="P556" s="11"/>
      <c r="Q556" s="11"/>
      <c r="R556" s="11"/>
      <c r="S556" s="11"/>
      <c r="T556" s="11"/>
      <c r="U556" s="11"/>
      <c r="V556" s="11"/>
      <c r="W556" s="11"/>
      <c r="X556" s="11"/>
      <c r="Y556" s="11"/>
      <c r="Z556" s="11"/>
    </row>
    <row r="557" spans="1:26" ht="14.25" customHeight="1">
      <c r="A557" s="11"/>
      <c r="B557" s="11"/>
      <c r="C557" s="11"/>
      <c r="D557" s="11"/>
      <c r="E557" s="11"/>
      <c r="F557" s="11"/>
      <c r="G557" s="11"/>
      <c r="H557" s="11"/>
      <c r="I557" s="46"/>
      <c r="J557" s="11"/>
      <c r="K557" s="11"/>
      <c r="L557" s="11"/>
      <c r="M557" s="11"/>
      <c r="N557" s="11"/>
      <c r="O557" s="11"/>
      <c r="P557" s="11"/>
      <c r="Q557" s="11"/>
      <c r="R557" s="11"/>
      <c r="S557" s="11"/>
      <c r="T557" s="11"/>
      <c r="U557" s="11"/>
      <c r="V557" s="11"/>
      <c r="W557" s="11"/>
      <c r="X557" s="11"/>
      <c r="Y557" s="11"/>
      <c r="Z557" s="11"/>
    </row>
    <row r="558" spans="1:26" ht="14.25" customHeight="1">
      <c r="A558" s="11"/>
      <c r="B558" s="11"/>
      <c r="C558" s="11"/>
      <c r="D558" s="11"/>
      <c r="E558" s="11"/>
      <c r="F558" s="11"/>
      <c r="G558" s="11"/>
      <c r="H558" s="11"/>
      <c r="I558" s="46"/>
      <c r="J558" s="11"/>
      <c r="K558" s="11"/>
      <c r="L558" s="11"/>
      <c r="M558" s="11"/>
      <c r="N558" s="11"/>
      <c r="O558" s="11"/>
      <c r="P558" s="11"/>
      <c r="Q558" s="11"/>
      <c r="R558" s="11"/>
      <c r="S558" s="11"/>
      <c r="T558" s="11"/>
      <c r="U558" s="11"/>
      <c r="V558" s="11"/>
      <c r="W558" s="11"/>
      <c r="X558" s="11"/>
      <c r="Y558" s="11"/>
      <c r="Z558" s="11"/>
    </row>
    <row r="559" spans="1:26" ht="14.25" customHeight="1">
      <c r="A559" s="11"/>
      <c r="B559" s="11"/>
      <c r="C559" s="11"/>
      <c r="D559" s="11"/>
      <c r="E559" s="11"/>
      <c r="F559" s="11"/>
      <c r="G559" s="11"/>
      <c r="H559" s="11"/>
      <c r="I559" s="46"/>
      <c r="J559" s="11"/>
      <c r="K559" s="11"/>
      <c r="L559" s="11"/>
      <c r="M559" s="11"/>
      <c r="N559" s="11"/>
      <c r="O559" s="11"/>
      <c r="P559" s="11"/>
      <c r="Q559" s="11"/>
      <c r="R559" s="11"/>
      <c r="S559" s="11"/>
      <c r="T559" s="11"/>
      <c r="U559" s="11"/>
      <c r="V559" s="11"/>
      <c r="W559" s="11"/>
      <c r="X559" s="11"/>
      <c r="Y559" s="11"/>
      <c r="Z559" s="11"/>
    </row>
    <row r="560" spans="1:26" ht="14.25" customHeight="1">
      <c r="A560" s="11"/>
      <c r="B560" s="11"/>
      <c r="C560" s="11"/>
      <c r="D560" s="11"/>
      <c r="E560" s="11"/>
      <c r="F560" s="11"/>
      <c r="G560" s="11"/>
      <c r="H560" s="11"/>
      <c r="I560" s="46"/>
      <c r="J560" s="11"/>
      <c r="K560" s="11"/>
      <c r="L560" s="11"/>
      <c r="M560" s="11"/>
      <c r="N560" s="11"/>
      <c r="O560" s="11"/>
      <c r="P560" s="11"/>
      <c r="Q560" s="11"/>
      <c r="R560" s="11"/>
      <c r="S560" s="11"/>
      <c r="T560" s="11"/>
      <c r="U560" s="11"/>
      <c r="V560" s="11"/>
      <c r="W560" s="11"/>
      <c r="X560" s="11"/>
      <c r="Y560" s="11"/>
      <c r="Z560" s="11"/>
    </row>
    <row r="561" spans="1:26" ht="14.25" customHeight="1">
      <c r="A561" s="11"/>
      <c r="B561" s="11"/>
      <c r="C561" s="11"/>
      <c r="D561" s="11"/>
      <c r="E561" s="11"/>
      <c r="F561" s="11"/>
      <c r="G561" s="11"/>
      <c r="H561" s="11"/>
      <c r="I561" s="46"/>
      <c r="J561" s="11"/>
      <c r="K561" s="11"/>
      <c r="L561" s="11"/>
      <c r="M561" s="11"/>
      <c r="N561" s="11"/>
      <c r="O561" s="11"/>
      <c r="P561" s="11"/>
      <c r="Q561" s="11"/>
      <c r="R561" s="11"/>
      <c r="S561" s="11"/>
      <c r="T561" s="11"/>
      <c r="U561" s="11"/>
      <c r="V561" s="11"/>
      <c r="W561" s="11"/>
      <c r="X561" s="11"/>
      <c r="Y561" s="11"/>
      <c r="Z561" s="11"/>
    </row>
    <row r="562" spans="1:26" ht="14.25" customHeight="1">
      <c r="A562" s="11"/>
      <c r="B562" s="11"/>
      <c r="C562" s="11"/>
      <c r="D562" s="11"/>
      <c r="E562" s="11"/>
      <c r="F562" s="11"/>
      <c r="G562" s="11"/>
      <c r="H562" s="11"/>
      <c r="I562" s="46"/>
      <c r="J562" s="11"/>
      <c r="K562" s="11"/>
      <c r="L562" s="11"/>
      <c r="M562" s="11"/>
      <c r="N562" s="11"/>
      <c r="O562" s="11"/>
      <c r="P562" s="11"/>
      <c r="Q562" s="11"/>
      <c r="R562" s="11"/>
      <c r="S562" s="11"/>
      <c r="T562" s="11"/>
      <c r="U562" s="11"/>
      <c r="V562" s="11"/>
      <c r="W562" s="11"/>
      <c r="X562" s="11"/>
      <c r="Y562" s="11"/>
      <c r="Z562" s="11"/>
    </row>
    <row r="563" spans="1:26" ht="14.25" customHeight="1">
      <c r="A563" s="11"/>
      <c r="B563" s="11"/>
      <c r="C563" s="11"/>
      <c r="D563" s="11"/>
      <c r="E563" s="11"/>
      <c r="F563" s="11"/>
      <c r="G563" s="11"/>
      <c r="H563" s="11"/>
      <c r="I563" s="46"/>
      <c r="J563" s="11"/>
      <c r="K563" s="11"/>
      <c r="L563" s="11"/>
      <c r="M563" s="11"/>
      <c r="N563" s="11"/>
      <c r="O563" s="11"/>
      <c r="P563" s="11"/>
      <c r="Q563" s="11"/>
      <c r="R563" s="11"/>
      <c r="S563" s="11"/>
      <c r="T563" s="11"/>
      <c r="U563" s="11"/>
      <c r="V563" s="11"/>
      <c r="W563" s="11"/>
      <c r="X563" s="11"/>
      <c r="Y563" s="11"/>
      <c r="Z563" s="11"/>
    </row>
    <row r="564" spans="1:26" ht="14.25" customHeight="1">
      <c r="A564" s="11"/>
      <c r="B564" s="11"/>
      <c r="C564" s="11"/>
      <c r="D564" s="11"/>
      <c r="E564" s="11"/>
      <c r="F564" s="11"/>
      <c r="G564" s="11"/>
      <c r="H564" s="11"/>
      <c r="I564" s="46"/>
      <c r="J564" s="11"/>
      <c r="K564" s="11"/>
      <c r="L564" s="11"/>
      <c r="M564" s="11"/>
      <c r="N564" s="11"/>
      <c r="O564" s="11"/>
      <c r="P564" s="11"/>
      <c r="Q564" s="11"/>
      <c r="R564" s="11"/>
      <c r="S564" s="11"/>
      <c r="T564" s="11"/>
      <c r="U564" s="11"/>
      <c r="V564" s="11"/>
      <c r="W564" s="11"/>
      <c r="X564" s="11"/>
      <c r="Y564" s="11"/>
      <c r="Z564" s="11"/>
    </row>
    <row r="565" spans="1:26" ht="14.25" customHeight="1">
      <c r="A565" s="11"/>
      <c r="B565" s="11"/>
      <c r="C565" s="11"/>
      <c r="D565" s="11"/>
      <c r="E565" s="11"/>
      <c r="F565" s="11"/>
      <c r="G565" s="11"/>
      <c r="H565" s="11"/>
      <c r="I565" s="46"/>
      <c r="J565" s="11"/>
      <c r="K565" s="11"/>
      <c r="L565" s="11"/>
      <c r="M565" s="11"/>
      <c r="N565" s="11"/>
      <c r="O565" s="11"/>
      <c r="P565" s="11"/>
      <c r="Q565" s="11"/>
      <c r="R565" s="11"/>
      <c r="S565" s="11"/>
      <c r="T565" s="11"/>
      <c r="U565" s="11"/>
      <c r="V565" s="11"/>
      <c r="W565" s="11"/>
      <c r="X565" s="11"/>
      <c r="Y565" s="11"/>
      <c r="Z565" s="11"/>
    </row>
    <row r="566" spans="1:26" ht="14.25" customHeight="1">
      <c r="A566" s="11"/>
      <c r="B566" s="11"/>
      <c r="C566" s="11"/>
      <c r="D566" s="11"/>
      <c r="E566" s="11"/>
      <c r="F566" s="11"/>
      <c r="G566" s="11"/>
      <c r="H566" s="11"/>
      <c r="I566" s="46"/>
      <c r="J566" s="11"/>
      <c r="K566" s="11"/>
      <c r="L566" s="11"/>
      <c r="M566" s="11"/>
      <c r="N566" s="11"/>
      <c r="O566" s="11"/>
      <c r="P566" s="11"/>
      <c r="Q566" s="11"/>
      <c r="R566" s="11"/>
      <c r="S566" s="11"/>
      <c r="T566" s="11"/>
      <c r="U566" s="11"/>
      <c r="V566" s="11"/>
      <c r="W566" s="11"/>
      <c r="X566" s="11"/>
      <c r="Y566" s="11"/>
      <c r="Z566" s="11"/>
    </row>
    <row r="567" spans="1:26" ht="14.25" customHeight="1">
      <c r="A567" s="11"/>
      <c r="B567" s="11"/>
      <c r="C567" s="11"/>
      <c r="D567" s="11"/>
      <c r="E567" s="11"/>
      <c r="F567" s="11"/>
      <c r="G567" s="11"/>
      <c r="H567" s="11"/>
      <c r="I567" s="46"/>
      <c r="J567" s="11"/>
      <c r="K567" s="11"/>
      <c r="L567" s="11"/>
      <c r="M567" s="11"/>
      <c r="N567" s="11"/>
      <c r="O567" s="11"/>
      <c r="P567" s="11"/>
      <c r="Q567" s="11"/>
      <c r="R567" s="11"/>
      <c r="S567" s="11"/>
      <c r="T567" s="11"/>
      <c r="U567" s="11"/>
      <c r="V567" s="11"/>
      <c r="W567" s="11"/>
      <c r="X567" s="11"/>
      <c r="Y567" s="11"/>
      <c r="Z567" s="11"/>
    </row>
    <row r="568" spans="1:26" ht="14.25" customHeight="1">
      <c r="A568" s="11"/>
      <c r="B568" s="11"/>
      <c r="C568" s="11"/>
      <c r="D568" s="11"/>
      <c r="E568" s="11"/>
      <c r="F568" s="11"/>
      <c r="G568" s="11"/>
      <c r="H568" s="11"/>
      <c r="I568" s="46"/>
      <c r="J568" s="11"/>
      <c r="K568" s="11"/>
      <c r="L568" s="11"/>
      <c r="M568" s="11"/>
      <c r="N568" s="11"/>
      <c r="O568" s="11"/>
      <c r="P568" s="11"/>
      <c r="Q568" s="11"/>
      <c r="R568" s="11"/>
      <c r="S568" s="11"/>
      <c r="T568" s="11"/>
      <c r="U568" s="11"/>
      <c r="V568" s="11"/>
      <c r="W568" s="11"/>
      <c r="X568" s="11"/>
      <c r="Y568" s="11"/>
      <c r="Z568" s="11"/>
    </row>
    <row r="569" spans="1:26" ht="14.25" customHeight="1">
      <c r="A569" s="11"/>
      <c r="B569" s="11"/>
      <c r="C569" s="11"/>
      <c r="D569" s="11"/>
      <c r="E569" s="11"/>
      <c r="F569" s="11"/>
      <c r="G569" s="11"/>
      <c r="H569" s="11"/>
      <c r="I569" s="46"/>
      <c r="J569" s="11"/>
      <c r="K569" s="11"/>
      <c r="L569" s="11"/>
      <c r="M569" s="11"/>
      <c r="N569" s="11"/>
      <c r="O569" s="11"/>
      <c r="P569" s="11"/>
      <c r="Q569" s="11"/>
      <c r="R569" s="11"/>
      <c r="S569" s="11"/>
      <c r="T569" s="11"/>
      <c r="U569" s="11"/>
      <c r="V569" s="11"/>
      <c r="W569" s="11"/>
      <c r="X569" s="11"/>
      <c r="Y569" s="11"/>
      <c r="Z569" s="11"/>
    </row>
    <row r="570" spans="1:26" ht="14.25" customHeight="1">
      <c r="A570" s="11"/>
      <c r="B570" s="11"/>
      <c r="C570" s="11"/>
      <c r="D570" s="11"/>
      <c r="E570" s="11"/>
      <c r="F570" s="11"/>
      <c r="G570" s="11"/>
      <c r="H570" s="11"/>
      <c r="I570" s="46"/>
      <c r="J570" s="11"/>
      <c r="K570" s="11"/>
      <c r="L570" s="11"/>
      <c r="M570" s="11"/>
      <c r="N570" s="11"/>
      <c r="O570" s="11"/>
      <c r="P570" s="11"/>
      <c r="Q570" s="11"/>
      <c r="R570" s="11"/>
      <c r="S570" s="11"/>
      <c r="T570" s="11"/>
      <c r="U570" s="11"/>
      <c r="V570" s="11"/>
      <c r="W570" s="11"/>
      <c r="X570" s="11"/>
      <c r="Y570" s="11"/>
      <c r="Z570" s="11"/>
    </row>
    <row r="571" spans="1:26" ht="14.25" customHeight="1">
      <c r="A571" s="11"/>
      <c r="B571" s="11"/>
      <c r="C571" s="11"/>
      <c r="D571" s="11"/>
      <c r="E571" s="11"/>
      <c r="F571" s="11"/>
      <c r="G571" s="11"/>
      <c r="H571" s="11"/>
      <c r="I571" s="46"/>
      <c r="J571" s="11"/>
      <c r="K571" s="11"/>
      <c r="L571" s="11"/>
      <c r="M571" s="11"/>
      <c r="N571" s="11"/>
      <c r="O571" s="11"/>
      <c r="P571" s="11"/>
      <c r="Q571" s="11"/>
      <c r="R571" s="11"/>
      <c r="S571" s="11"/>
      <c r="T571" s="11"/>
      <c r="U571" s="11"/>
      <c r="V571" s="11"/>
      <c r="W571" s="11"/>
      <c r="X571" s="11"/>
      <c r="Y571" s="11"/>
      <c r="Z571" s="11"/>
    </row>
    <row r="572" spans="1:26" ht="14.25" customHeight="1">
      <c r="A572" s="11"/>
      <c r="B572" s="11"/>
      <c r="C572" s="11"/>
      <c r="D572" s="11"/>
      <c r="E572" s="11"/>
      <c r="F572" s="11"/>
      <c r="G572" s="11"/>
      <c r="H572" s="11"/>
      <c r="I572" s="46"/>
      <c r="J572" s="11"/>
      <c r="K572" s="11"/>
      <c r="L572" s="11"/>
      <c r="M572" s="11"/>
      <c r="N572" s="11"/>
      <c r="O572" s="11"/>
      <c r="P572" s="11"/>
      <c r="Q572" s="11"/>
      <c r="R572" s="11"/>
      <c r="S572" s="11"/>
      <c r="T572" s="11"/>
      <c r="U572" s="11"/>
      <c r="V572" s="11"/>
      <c r="W572" s="11"/>
      <c r="X572" s="11"/>
      <c r="Y572" s="11"/>
      <c r="Z572" s="11"/>
    </row>
    <row r="573" spans="1:26" ht="14.25" customHeight="1">
      <c r="A573" s="11"/>
      <c r="B573" s="11"/>
      <c r="C573" s="11"/>
      <c r="D573" s="11"/>
      <c r="E573" s="11"/>
      <c r="F573" s="11"/>
      <c r="G573" s="11"/>
      <c r="H573" s="11"/>
      <c r="I573" s="46"/>
      <c r="J573" s="11"/>
      <c r="K573" s="11"/>
      <c r="L573" s="11"/>
      <c r="M573" s="11"/>
      <c r="N573" s="11"/>
      <c r="O573" s="11"/>
      <c r="P573" s="11"/>
      <c r="Q573" s="11"/>
      <c r="R573" s="11"/>
      <c r="S573" s="11"/>
      <c r="T573" s="11"/>
      <c r="U573" s="11"/>
      <c r="V573" s="11"/>
      <c r="W573" s="11"/>
      <c r="X573" s="11"/>
      <c r="Y573" s="11"/>
      <c r="Z573" s="11"/>
    </row>
    <row r="574" spans="1:26" ht="14.25" customHeight="1">
      <c r="A574" s="11"/>
      <c r="B574" s="11"/>
      <c r="C574" s="11"/>
      <c r="D574" s="11"/>
      <c r="E574" s="11"/>
      <c r="F574" s="11"/>
      <c r="G574" s="11"/>
      <c r="H574" s="11"/>
      <c r="I574" s="46"/>
      <c r="J574" s="11"/>
      <c r="K574" s="11"/>
      <c r="L574" s="11"/>
      <c r="M574" s="11"/>
      <c r="N574" s="11"/>
      <c r="O574" s="11"/>
      <c r="P574" s="11"/>
      <c r="Q574" s="11"/>
      <c r="R574" s="11"/>
      <c r="S574" s="11"/>
      <c r="T574" s="11"/>
      <c r="U574" s="11"/>
      <c r="V574" s="11"/>
      <c r="W574" s="11"/>
      <c r="X574" s="11"/>
      <c r="Y574" s="11"/>
      <c r="Z574" s="11"/>
    </row>
    <row r="575" spans="1:26" ht="14.25" customHeight="1">
      <c r="A575" s="11"/>
      <c r="B575" s="11"/>
      <c r="C575" s="11"/>
      <c r="D575" s="11"/>
      <c r="E575" s="11"/>
      <c r="F575" s="11"/>
      <c r="G575" s="11"/>
      <c r="H575" s="11"/>
      <c r="I575" s="46"/>
      <c r="J575" s="11"/>
      <c r="K575" s="11"/>
      <c r="L575" s="11"/>
      <c r="M575" s="11"/>
      <c r="N575" s="11"/>
      <c r="O575" s="11"/>
      <c r="P575" s="11"/>
      <c r="Q575" s="11"/>
      <c r="R575" s="11"/>
      <c r="S575" s="11"/>
      <c r="T575" s="11"/>
      <c r="U575" s="11"/>
      <c r="V575" s="11"/>
      <c r="W575" s="11"/>
      <c r="X575" s="11"/>
      <c r="Y575" s="11"/>
      <c r="Z575" s="11"/>
    </row>
    <row r="576" spans="1:26" ht="14.25" customHeight="1">
      <c r="A576" s="11"/>
      <c r="B576" s="11"/>
      <c r="C576" s="11"/>
      <c r="D576" s="11"/>
      <c r="E576" s="11"/>
      <c r="F576" s="11"/>
      <c r="G576" s="11"/>
      <c r="H576" s="11"/>
      <c r="I576" s="46"/>
      <c r="J576" s="11"/>
      <c r="K576" s="11"/>
      <c r="L576" s="11"/>
      <c r="M576" s="11"/>
      <c r="N576" s="11"/>
      <c r="O576" s="11"/>
      <c r="P576" s="11"/>
      <c r="Q576" s="11"/>
      <c r="R576" s="11"/>
      <c r="S576" s="11"/>
      <c r="T576" s="11"/>
      <c r="U576" s="11"/>
      <c r="V576" s="11"/>
      <c r="W576" s="11"/>
      <c r="X576" s="11"/>
      <c r="Y576" s="11"/>
      <c r="Z576" s="11"/>
    </row>
    <row r="577" spans="1:26" ht="14.25" customHeight="1">
      <c r="A577" s="11"/>
      <c r="B577" s="11"/>
      <c r="C577" s="11"/>
      <c r="D577" s="11"/>
      <c r="E577" s="11"/>
      <c r="F577" s="11"/>
      <c r="G577" s="11"/>
      <c r="H577" s="11"/>
      <c r="I577" s="46"/>
      <c r="J577" s="11"/>
      <c r="K577" s="11"/>
      <c r="L577" s="11"/>
      <c r="M577" s="11"/>
      <c r="N577" s="11"/>
      <c r="O577" s="11"/>
      <c r="P577" s="11"/>
      <c r="Q577" s="11"/>
      <c r="R577" s="11"/>
      <c r="S577" s="11"/>
      <c r="T577" s="11"/>
      <c r="U577" s="11"/>
      <c r="V577" s="11"/>
      <c r="W577" s="11"/>
      <c r="X577" s="11"/>
      <c r="Y577" s="11"/>
      <c r="Z577" s="11"/>
    </row>
    <row r="578" spans="1:26" ht="14.25" customHeight="1">
      <c r="A578" s="11"/>
      <c r="B578" s="11"/>
      <c r="C578" s="11"/>
      <c r="D578" s="11"/>
      <c r="E578" s="11"/>
      <c r="F578" s="11"/>
      <c r="G578" s="11"/>
      <c r="H578" s="11"/>
      <c r="I578" s="46"/>
      <c r="J578" s="11"/>
      <c r="K578" s="11"/>
      <c r="L578" s="11"/>
      <c r="M578" s="11"/>
      <c r="N578" s="11"/>
      <c r="O578" s="11"/>
      <c r="P578" s="11"/>
      <c r="Q578" s="11"/>
      <c r="R578" s="11"/>
      <c r="S578" s="11"/>
      <c r="T578" s="11"/>
      <c r="U578" s="11"/>
      <c r="V578" s="11"/>
      <c r="W578" s="11"/>
      <c r="X578" s="11"/>
      <c r="Y578" s="11"/>
      <c r="Z578" s="11"/>
    </row>
    <row r="579" spans="1:26" ht="14.25" customHeight="1">
      <c r="A579" s="11"/>
      <c r="B579" s="11"/>
      <c r="C579" s="11"/>
      <c r="D579" s="11"/>
      <c r="E579" s="11"/>
      <c r="F579" s="11"/>
      <c r="G579" s="11"/>
      <c r="H579" s="11"/>
      <c r="I579" s="46"/>
      <c r="J579" s="11"/>
      <c r="K579" s="11"/>
      <c r="L579" s="11"/>
      <c r="M579" s="11"/>
      <c r="N579" s="11"/>
      <c r="O579" s="11"/>
      <c r="P579" s="11"/>
      <c r="Q579" s="11"/>
      <c r="R579" s="11"/>
      <c r="S579" s="11"/>
      <c r="T579" s="11"/>
      <c r="U579" s="11"/>
      <c r="V579" s="11"/>
      <c r="W579" s="11"/>
      <c r="X579" s="11"/>
      <c r="Y579" s="11"/>
      <c r="Z579" s="11"/>
    </row>
    <row r="580" spans="1:26" ht="14.25" customHeight="1">
      <c r="A580" s="11"/>
      <c r="B580" s="11"/>
      <c r="C580" s="11"/>
      <c r="D580" s="11"/>
      <c r="E580" s="11"/>
      <c r="F580" s="11"/>
      <c r="G580" s="11"/>
      <c r="H580" s="11"/>
      <c r="I580" s="46"/>
      <c r="J580" s="11"/>
      <c r="K580" s="11"/>
      <c r="L580" s="11"/>
      <c r="M580" s="11"/>
      <c r="N580" s="11"/>
      <c r="O580" s="11"/>
      <c r="P580" s="11"/>
      <c r="Q580" s="11"/>
      <c r="R580" s="11"/>
      <c r="S580" s="11"/>
      <c r="T580" s="11"/>
      <c r="U580" s="11"/>
      <c r="V580" s="11"/>
      <c r="W580" s="11"/>
      <c r="X580" s="11"/>
      <c r="Y580" s="11"/>
      <c r="Z580" s="11"/>
    </row>
    <row r="581" spans="1:26" ht="14.25" customHeight="1">
      <c r="A581" s="11"/>
      <c r="B581" s="11"/>
      <c r="C581" s="11"/>
      <c r="D581" s="11"/>
      <c r="E581" s="11"/>
      <c r="F581" s="11"/>
      <c r="G581" s="11"/>
      <c r="H581" s="11"/>
      <c r="I581" s="46"/>
      <c r="J581" s="11"/>
      <c r="K581" s="11"/>
      <c r="L581" s="11"/>
      <c r="M581" s="11"/>
      <c r="N581" s="11"/>
      <c r="O581" s="11"/>
      <c r="P581" s="11"/>
      <c r="Q581" s="11"/>
      <c r="R581" s="11"/>
      <c r="S581" s="11"/>
      <c r="T581" s="11"/>
      <c r="U581" s="11"/>
      <c r="V581" s="11"/>
      <c r="W581" s="11"/>
      <c r="X581" s="11"/>
      <c r="Y581" s="11"/>
      <c r="Z581" s="11"/>
    </row>
    <row r="582" spans="1:26" ht="14.25" customHeight="1">
      <c r="A582" s="11"/>
      <c r="B582" s="11"/>
      <c r="C582" s="11"/>
      <c r="D582" s="11"/>
      <c r="E582" s="11"/>
      <c r="F582" s="11"/>
      <c r="G582" s="11"/>
      <c r="H582" s="11"/>
      <c r="I582" s="46"/>
      <c r="J582" s="11"/>
      <c r="K582" s="11"/>
      <c r="L582" s="11"/>
      <c r="M582" s="11"/>
      <c r="N582" s="11"/>
      <c r="O582" s="11"/>
      <c r="P582" s="11"/>
      <c r="Q582" s="11"/>
      <c r="R582" s="11"/>
      <c r="S582" s="11"/>
      <c r="T582" s="11"/>
      <c r="U582" s="11"/>
      <c r="V582" s="11"/>
      <c r="W582" s="11"/>
      <c r="X582" s="11"/>
      <c r="Y582" s="11"/>
      <c r="Z582" s="11"/>
    </row>
    <row r="583" spans="1:26" ht="14.25" customHeight="1">
      <c r="A583" s="11"/>
      <c r="B583" s="11"/>
      <c r="C583" s="11"/>
      <c r="D583" s="11"/>
      <c r="E583" s="11"/>
      <c r="F583" s="11"/>
      <c r="G583" s="11"/>
      <c r="H583" s="11"/>
      <c r="I583" s="46"/>
      <c r="J583" s="11"/>
      <c r="K583" s="11"/>
      <c r="L583" s="11"/>
      <c r="M583" s="11"/>
      <c r="N583" s="11"/>
      <c r="O583" s="11"/>
      <c r="P583" s="11"/>
      <c r="Q583" s="11"/>
      <c r="R583" s="11"/>
      <c r="S583" s="11"/>
      <c r="T583" s="11"/>
      <c r="U583" s="11"/>
      <c r="V583" s="11"/>
      <c r="W583" s="11"/>
      <c r="X583" s="11"/>
      <c r="Y583" s="11"/>
      <c r="Z583" s="11"/>
    </row>
    <row r="584" spans="1:26" ht="14.25" customHeight="1">
      <c r="A584" s="11"/>
      <c r="B584" s="11"/>
      <c r="C584" s="11"/>
      <c r="D584" s="11"/>
      <c r="E584" s="11"/>
      <c r="F584" s="11"/>
      <c r="G584" s="11"/>
      <c r="H584" s="11"/>
      <c r="I584" s="46"/>
      <c r="J584" s="11"/>
      <c r="K584" s="11"/>
      <c r="L584" s="11"/>
      <c r="M584" s="11"/>
      <c r="N584" s="11"/>
      <c r="O584" s="11"/>
      <c r="P584" s="11"/>
      <c r="Q584" s="11"/>
      <c r="R584" s="11"/>
      <c r="S584" s="11"/>
      <c r="T584" s="11"/>
      <c r="U584" s="11"/>
      <c r="V584" s="11"/>
      <c r="W584" s="11"/>
      <c r="X584" s="11"/>
      <c r="Y584" s="11"/>
      <c r="Z584" s="11"/>
    </row>
    <row r="585" spans="1:26" ht="14.25" customHeight="1">
      <c r="A585" s="11"/>
      <c r="B585" s="11"/>
      <c r="C585" s="11"/>
      <c r="D585" s="11"/>
      <c r="E585" s="11"/>
      <c r="F585" s="11"/>
      <c r="G585" s="11"/>
      <c r="H585" s="11"/>
      <c r="I585" s="46"/>
      <c r="J585" s="11"/>
      <c r="K585" s="11"/>
      <c r="L585" s="11"/>
      <c r="M585" s="11"/>
      <c r="N585" s="11"/>
      <c r="O585" s="11"/>
      <c r="P585" s="11"/>
      <c r="Q585" s="11"/>
      <c r="R585" s="11"/>
      <c r="S585" s="11"/>
      <c r="T585" s="11"/>
      <c r="U585" s="11"/>
      <c r="V585" s="11"/>
      <c r="W585" s="11"/>
      <c r="X585" s="11"/>
      <c r="Y585" s="11"/>
      <c r="Z585" s="11"/>
    </row>
    <row r="586" spans="1:26" ht="14.25" customHeight="1">
      <c r="A586" s="11"/>
      <c r="B586" s="11"/>
      <c r="C586" s="11"/>
      <c r="D586" s="11"/>
      <c r="E586" s="11"/>
      <c r="F586" s="11"/>
      <c r="G586" s="11"/>
      <c r="H586" s="11"/>
      <c r="I586" s="46"/>
      <c r="J586" s="11"/>
      <c r="K586" s="11"/>
      <c r="L586" s="11"/>
      <c r="M586" s="11"/>
      <c r="N586" s="11"/>
      <c r="O586" s="11"/>
      <c r="P586" s="11"/>
      <c r="Q586" s="11"/>
      <c r="R586" s="11"/>
      <c r="S586" s="11"/>
      <c r="T586" s="11"/>
      <c r="U586" s="11"/>
      <c r="V586" s="11"/>
      <c r="W586" s="11"/>
      <c r="X586" s="11"/>
      <c r="Y586" s="11"/>
      <c r="Z586" s="11"/>
    </row>
    <row r="587" spans="1:26" ht="14.25" customHeight="1">
      <c r="A587" s="11"/>
      <c r="B587" s="11"/>
      <c r="C587" s="11"/>
      <c r="D587" s="11"/>
      <c r="E587" s="11"/>
      <c r="F587" s="11"/>
      <c r="G587" s="11"/>
      <c r="H587" s="11"/>
      <c r="I587" s="46"/>
      <c r="J587" s="11"/>
      <c r="K587" s="11"/>
      <c r="L587" s="11"/>
      <c r="M587" s="11"/>
      <c r="N587" s="11"/>
      <c r="O587" s="11"/>
      <c r="P587" s="11"/>
      <c r="Q587" s="11"/>
      <c r="R587" s="11"/>
      <c r="S587" s="11"/>
      <c r="T587" s="11"/>
      <c r="U587" s="11"/>
      <c r="V587" s="11"/>
      <c r="W587" s="11"/>
      <c r="X587" s="11"/>
      <c r="Y587" s="11"/>
      <c r="Z587" s="11"/>
    </row>
    <row r="588" spans="1:26" ht="14.25" customHeight="1">
      <c r="A588" s="11"/>
      <c r="B588" s="11"/>
      <c r="C588" s="11"/>
      <c r="D588" s="11"/>
      <c r="E588" s="11"/>
      <c r="F588" s="11"/>
      <c r="G588" s="11"/>
      <c r="H588" s="11"/>
      <c r="I588" s="46"/>
      <c r="J588" s="11"/>
      <c r="K588" s="11"/>
      <c r="L588" s="11"/>
      <c r="M588" s="11"/>
      <c r="N588" s="11"/>
      <c r="O588" s="11"/>
      <c r="P588" s="11"/>
      <c r="Q588" s="11"/>
      <c r="R588" s="11"/>
      <c r="S588" s="11"/>
      <c r="T588" s="11"/>
      <c r="U588" s="11"/>
      <c r="V588" s="11"/>
      <c r="W588" s="11"/>
      <c r="X588" s="11"/>
      <c r="Y588" s="11"/>
      <c r="Z588" s="11"/>
    </row>
    <row r="589" spans="1:26" ht="14.25" customHeight="1">
      <c r="A589" s="11"/>
      <c r="B589" s="11"/>
      <c r="C589" s="11"/>
      <c r="D589" s="11"/>
      <c r="E589" s="11"/>
      <c r="F589" s="11"/>
      <c r="G589" s="11"/>
      <c r="H589" s="11"/>
      <c r="I589" s="46"/>
      <c r="J589" s="11"/>
      <c r="K589" s="11"/>
      <c r="L589" s="11"/>
      <c r="M589" s="11"/>
      <c r="N589" s="11"/>
      <c r="O589" s="11"/>
      <c r="P589" s="11"/>
      <c r="Q589" s="11"/>
      <c r="R589" s="11"/>
      <c r="S589" s="11"/>
      <c r="T589" s="11"/>
      <c r="U589" s="11"/>
      <c r="V589" s="11"/>
      <c r="W589" s="11"/>
      <c r="X589" s="11"/>
      <c r="Y589" s="11"/>
      <c r="Z589" s="11"/>
    </row>
    <row r="590" spans="1:26" ht="14.25" customHeight="1">
      <c r="A590" s="11"/>
      <c r="B590" s="11"/>
      <c r="C590" s="11"/>
      <c r="D590" s="11"/>
      <c r="E590" s="11"/>
      <c r="F590" s="11"/>
      <c r="G590" s="11"/>
      <c r="H590" s="11"/>
      <c r="I590" s="46"/>
      <c r="J590" s="11"/>
      <c r="K590" s="11"/>
      <c r="L590" s="11"/>
      <c r="M590" s="11"/>
      <c r="N590" s="11"/>
      <c r="O590" s="11"/>
      <c r="P590" s="11"/>
      <c r="Q590" s="11"/>
      <c r="R590" s="11"/>
      <c r="S590" s="11"/>
      <c r="T590" s="11"/>
      <c r="U590" s="11"/>
      <c r="V590" s="11"/>
      <c r="W590" s="11"/>
      <c r="X590" s="11"/>
      <c r="Y590" s="11"/>
      <c r="Z590" s="11"/>
    </row>
    <row r="591" spans="1:26" ht="14.25" customHeight="1">
      <c r="A591" s="11"/>
      <c r="B591" s="11"/>
      <c r="C591" s="11"/>
      <c r="D591" s="11"/>
      <c r="E591" s="11"/>
      <c r="F591" s="11"/>
      <c r="G591" s="11"/>
      <c r="H591" s="11"/>
      <c r="I591" s="46"/>
      <c r="J591" s="11"/>
      <c r="K591" s="11"/>
      <c r="L591" s="11"/>
      <c r="M591" s="11"/>
      <c r="N591" s="11"/>
      <c r="O591" s="11"/>
      <c r="P591" s="11"/>
      <c r="Q591" s="11"/>
      <c r="R591" s="11"/>
      <c r="S591" s="11"/>
      <c r="T591" s="11"/>
      <c r="U591" s="11"/>
      <c r="V591" s="11"/>
      <c r="W591" s="11"/>
      <c r="X591" s="11"/>
      <c r="Y591" s="11"/>
      <c r="Z591" s="11"/>
    </row>
    <row r="592" spans="1:26" ht="14.25" customHeight="1">
      <c r="A592" s="11"/>
      <c r="B592" s="11"/>
      <c r="C592" s="11"/>
      <c r="D592" s="11"/>
      <c r="E592" s="11"/>
      <c r="F592" s="11"/>
      <c r="G592" s="11"/>
      <c r="H592" s="11"/>
      <c r="I592" s="46"/>
      <c r="J592" s="11"/>
      <c r="K592" s="11"/>
      <c r="L592" s="11"/>
      <c r="M592" s="11"/>
      <c r="N592" s="11"/>
      <c r="O592" s="11"/>
      <c r="P592" s="11"/>
      <c r="Q592" s="11"/>
      <c r="R592" s="11"/>
      <c r="S592" s="11"/>
      <c r="T592" s="11"/>
      <c r="U592" s="11"/>
      <c r="V592" s="11"/>
      <c r="W592" s="11"/>
      <c r="X592" s="11"/>
      <c r="Y592" s="11"/>
      <c r="Z592" s="11"/>
    </row>
    <row r="593" spans="1:26" ht="14.25" customHeight="1">
      <c r="A593" s="11"/>
      <c r="B593" s="11"/>
      <c r="C593" s="11"/>
      <c r="D593" s="11"/>
      <c r="E593" s="11"/>
      <c r="F593" s="11"/>
      <c r="G593" s="11"/>
      <c r="H593" s="11"/>
      <c r="I593" s="46"/>
      <c r="J593" s="11"/>
      <c r="K593" s="11"/>
      <c r="L593" s="11"/>
      <c r="M593" s="11"/>
      <c r="N593" s="11"/>
      <c r="O593" s="11"/>
      <c r="P593" s="11"/>
      <c r="Q593" s="11"/>
      <c r="R593" s="11"/>
      <c r="S593" s="11"/>
      <c r="T593" s="11"/>
      <c r="U593" s="11"/>
      <c r="V593" s="11"/>
      <c r="W593" s="11"/>
      <c r="X593" s="11"/>
      <c r="Y593" s="11"/>
      <c r="Z593" s="11"/>
    </row>
    <row r="594" spans="1:26" ht="14.25" customHeight="1">
      <c r="A594" s="11"/>
      <c r="B594" s="11"/>
      <c r="C594" s="11"/>
      <c r="D594" s="11"/>
      <c r="E594" s="11"/>
      <c r="F594" s="11"/>
      <c r="G594" s="11"/>
      <c r="H594" s="11"/>
      <c r="I594" s="46"/>
      <c r="J594" s="11"/>
      <c r="K594" s="11"/>
      <c r="L594" s="11"/>
      <c r="M594" s="11"/>
      <c r="N594" s="11"/>
      <c r="O594" s="11"/>
      <c r="P594" s="11"/>
      <c r="Q594" s="11"/>
      <c r="R594" s="11"/>
      <c r="S594" s="11"/>
      <c r="T594" s="11"/>
      <c r="U594" s="11"/>
      <c r="V594" s="11"/>
      <c r="W594" s="11"/>
      <c r="X594" s="11"/>
      <c r="Y594" s="11"/>
      <c r="Z594" s="11"/>
    </row>
    <row r="595" spans="1:26" ht="14.25" customHeight="1">
      <c r="A595" s="11"/>
      <c r="B595" s="11"/>
      <c r="C595" s="11"/>
      <c r="D595" s="11"/>
      <c r="E595" s="11"/>
      <c r="F595" s="11"/>
      <c r="G595" s="11"/>
      <c r="H595" s="11"/>
      <c r="I595" s="46"/>
      <c r="J595" s="11"/>
      <c r="K595" s="11"/>
      <c r="L595" s="11"/>
      <c r="M595" s="11"/>
      <c r="N595" s="11"/>
      <c r="O595" s="11"/>
      <c r="P595" s="11"/>
      <c r="Q595" s="11"/>
      <c r="R595" s="11"/>
      <c r="S595" s="11"/>
      <c r="T595" s="11"/>
      <c r="U595" s="11"/>
      <c r="V595" s="11"/>
      <c r="W595" s="11"/>
      <c r="X595" s="11"/>
      <c r="Y595" s="11"/>
      <c r="Z595" s="11"/>
    </row>
    <row r="596" spans="1:26" ht="14.25" customHeight="1">
      <c r="A596" s="11"/>
      <c r="B596" s="11"/>
      <c r="C596" s="11"/>
      <c r="D596" s="11"/>
      <c r="E596" s="11"/>
      <c r="F596" s="11"/>
      <c r="G596" s="11"/>
      <c r="H596" s="11"/>
      <c r="I596" s="46"/>
      <c r="J596" s="11"/>
      <c r="K596" s="11"/>
      <c r="L596" s="11"/>
      <c r="M596" s="11"/>
      <c r="N596" s="11"/>
      <c r="O596" s="11"/>
      <c r="P596" s="11"/>
      <c r="Q596" s="11"/>
      <c r="R596" s="11"/>
      <c r="S596" s="11"/>
      <c r="T596" s="11"/>
      <c r="U596" s="11"/>
      <c r="V596" s="11"/>
      <c r="W596" s="11"/>
      <c r="X596" s="11"/>
      <c r="Y596" s="11"/>
      <c r="Z596" s="11"/>
    </row>
    <row r="597" spans="1:26" ht="14.25" customHeight="1">
      <c r="A597" s="11"/>
      <c r="B597" s="11"/>
      <c r="C597" s="11"/>
      <c r="D597" s="11"/>
      <c r="E597" s="11"/>
      <c r="F597" s="11"/>
      <c r="G597" s="11"/>
      <c r="H597" s="11"/>
      <c r="I597" s="46"/>
      <c r="J597" s="11"/>
      <c r="K597" s="11"/>
      <c r="L597" s="11"/>
      <c r="M597" s="11"/>
      <c r="N597" s="11"/>
      <c r="O597" s="11"/>
      <c r="P597" s="11"/>
      <c r="Q597" s="11"/>
      <c r="R597" s="11"/>
      <c r="S597" s="11"/>
      <c r="T597" s="11"/>
      <c r="U597" s="11"/>
      <c r="V597" s="11"/>
      <c r="W597" s="11"/>
      <c r="X597" s="11"/>
      <c r="Y597" s="11"/>
      <c r="Z597" s="11"/>
    </row>
    <row r="598" spans="1:26" ht="14.25" customHeight="1">
      <c r="A598" s="11"/>
      <c r="B598" s="11"/>
      <c r="C598" s="11"/>
      <c r="D598" s="11"/>
      <c r="E598" s="11"/>
      <c r="F598" s="11"/>
      <c r="G598" s="11"/>
      <c r="H598" s="11"/>
      <c r="I598" s="46"/>
      <c r="J598" s="11"/>
      <c r="K598" s="11"/>
      <c r="L598" s="11"/>
      <c r="M598" s="11"/>
      <c r="N598" s="11"/>
      <c r="O598" s="11"/>
      <c r="P598" s="11"/>
      <c r="Q598" s="11"/>
      <c r="R598" s="11"/>
      <c r="S598" s="11"/>
      <c r="T598" s="11"/>
      <c r="U598" s="11"/>
      <c r="V598" s="11"/>
      <c r="W598" s="11"/>
      <c r="X598" s="11"/>
      <c r="Y598" s="11"/>
      <c r="Z598" s="11"/>
    </row>
    <row r="599" spans="1:26" ht="14.25" customHeight="1">
      <c r="A599" s="11"/>
      <c r="B599" s="11"/>
      <c r="C599" s="11"/>
      <c r="D599" s="11"/>
      <c r="E599" s="11"/>
      <c r="F599" s="11"/>
      <c r="G599" s="11"/>
      <c r="H599" s="11"/>
      <c r="I599" s="46"/>
      <c r="J599" s="11"/>
      <c r="K599" s="11"/>
      <c r="L599" s="11"/>
      <c r="M599" s="11"/>
      <c r="N599" s="11"/>
      <c r="O599" s="11"/>
      <c r="P599" s="11"/>
      <c r="Q599" s="11"/>
      <c r="R599" s="11"/>
      <c r="S599" s="11"/>
      <c r="T599" s="11"/>
      <c r="U599" s="11"/>
      <c r="V599" s="11"/>
      <c r="W599" s="11"/>
      <c r="X599" s="11"/>
      <c r="Y599" s="11"/>
      <c r="Z599" s="11"/>
    </row>
    <row r="600" spans="1:26" ht="14.25" customHeight="1">
      <c r="A600" s="11"/>
      <c r="B600" s="11"/>
      <c r="C600" s="11"/>
      <c r="D600" s="11"/>
      <c r="E600" s="11"/>
      <c r="F600" s="11"/>
      <c r="G600" s="11"/>
      <c r="H600" s="11"/>
      <c r="I600" s="46"/>
      <c r="J600" s="11"/>
      <c r="K600" s="11"/>
      <c r="L600" s="11"/>
      <c r="M600" s="11"/>
      <c r="N600" s="11"/>
      <c r="O600" s="11"/>
      <c r="P600" s="11"/>
      <c r="Q600" s="11"/>
      <c r="R600" s="11"/>
      <c r="S600" s="11"/>
      <c r="T600" s="11"/>
      <c r="U600" s="11"/>
      <c r="V600" s="11"/>
      <c r="W600" s="11"/>
      <c r="X600" s="11"/>
      <c r="Y600" s="11"/>
      <c r="Z600" s="11"/>
    </row>
    <row r="601" spans="1:26" ht="14.25" customHeight="1">
      <c r="A601" s="11"/>
      <c r="B601" s="11"/>
      <c r="C601" s="11"/>
      <c r="D601" s="11"/>
      <c r="E601" s="11"/>
      <c r="F601" s="11"/>
      <c r="G601" s="11"/>
      <c r="H601" s="11"/>
      <c r="I601" s="46"/>
      <c r="J601" s="11"/>
      <c r="K601" s="11"/>
      <c r="L601" s="11"/>
      <c r="M601" s="11"/>
      <c r="N601" s="11"/>
      <c r="O601" s="11"/>
      <c r="P601" s="11"/>
      <c r="Q601" s="11"/>
      <c r="R601" s="11"/>
      <c r="S601" s="11"/>
      <c r="T601" s="11"/>
      <c r="U601" s="11"/>
      <c r="V601" s="11"/>
      <c r="W601" s="11"/>
      <c r="X601" s="11"/>
      <c r="Y601" s="11"/>
      <c r="Z601" s="11"/>
    </row>
    <row r="602" spans="1:26" ht="14.25" customHeight="1">
      <c r="A602" s="11"/>
      <c r="B602" s="11"/>
      <c r="C602" s="11"/>
      <c r="D602" s="11"/>
      <c r="E602" s="11"/>
      <c r="F602" s="11"/>
      <c r="G602" s="11"/>
      <c r="H602" s="11"/>
      <c r="I602" s="46"/>
      <c r="J602" s="11"/>
      <c r="K602" s="11"/>
      <c r="L602" s="11"/>
      <c r="M602" s="11"/>
      <c r="N602" s="11"/>
      <c r="O602" s="11"/>
      <c r="P602" s="11"/>
      <c r="Q602" s="11"/>
      <c r="R602" s="11"/>
      <c r="S602" s="11"/>
      <c r="T602" s="11"/>
      <c r="U602" s="11"/>
      <c r="V602" s="11"/>
      <c r="W602" s="11"/>
      <c r="X602" s="11"/>
      <c r="Y602" s="11"/>
      <c r="Z602" s="11"/>
    </row>
    <row r="603" spans="1:26" ht="14.25" customHeight="1">
      <c r="A603" s="11"/>
      <c r="B603" s="11"/>
      <c r="C603" s="11"/>
      <c r="D603" s="11"/>
      <c r="E603" s="11"/>
      <c r="F603" s="11"/>
      <c r="G603" s="11"/>
      <c r="H603" s="11"/>
      <c r="I603" s="46"/>
      <c r="J603" s="11"/>
      <c r="K603" s="11"/>
      <c r="L603" s="11"/>
      <c r="M603" s="11"/>
      <c r="N603" s="11"/>
      <c r="O603" s="11"/>
      <c r="P603" s="11"/>
      <c r="Q603" s="11"/>
      <c r="R603" s="11"/>
      <c r="S603" s="11"/>
      <c r="T603" s="11"/>
      <c r="U603" s="11"/>
      <c r="V603" s="11"/>
      <c r="W603" s="11"/>
      <c r="X603" s="11"/>
      <c r="Y603" s="11"/>
      <c r="Z603" s="11"/>
    </row>
    <row r="604" spans="1:26" ht="14.25" customHeight="1">
      <c r="A604" s="11"/>
      <c r="B604" s="11"/>
      <c r="C604" s="11"/>
      <c r="D604" s="11"/>
      <c r="E604" s="11"/>
      <c r="F604" s="11"/>
      <c r="G604" s="11"/>
      <c r="H604" s="11"/>
      <c r="I604" s="46"/>
      <c r="J604" s="11"/>
      <c r="K604" s="11"/>
      <c r="L604" s="11"/>
      <c r="M604" s="11"/>
      <c r="N604" s="11"/>
      <c r="O604" s="11"/>
      <c r="P604" s="11"/>
      <c r="Q604" s="11"/>
      <c r="R604" s="11"/>
      <c r="S604" s="11"/>
      <c r="T604" s="11"/>
      <c r="U604" s="11"/>
      <c r="V604" s="11"/>
      <c r="W604" s="11"/>
      <c r="X604" s="11"/>
      <c r="Y604" s="11"/>
      <c r="Z604" s="11"/>
    </row>
    <row r="605" spans="1:26" ht="14.25" customHeight="1">
      <c r="A605" s="11"/>
      <c r="B605" s="11"/>
      <c r="C605" s="11"/>
      <c r="D605" s="11"/>
      <c r="E605" s="11"/>
      <c r="F605" s="11"/>
      <c r="G605" s="11"/>
      <c r="H605" s="11"/>
      <c r="I605" s="46"/>
      <c r="J605" s="11"/>
      <c r="K605" s="11"/>
      <c r="L605" s="11"/>
      <c r="M605" s="11"/>
      <c r="N605" s="11"/>
      <c r="O605" s="11"/>
      <c r="P605" s="11"/>
      <c r="Q605" s="11"/>
      <c r="R605" s="11"/>
      <c r="S605" s="11"/>
      <c r="T605" s="11"/>
      <c r="U605" s="11"/>
      <c r="V605" s="11"/>
      <c r="W605" s="11"/>
      <c r="X605" s="11"/>
      <c r="Y605" s="11"/>
      <c r="Z605" s="11"/>
    </row>
    <row r="606" spans="1:26" ht="14.25" customHeight="1">
      <c r="A606" s="11"/>
      <c r="B606" s="11"/>
      <c r="C606" s="11"/>
      <c r="D606" s="11"/>
      <c r="E606" s="11"/>
      <c r="F606" s="11"/>
      <c r="G606" s="11"/>
      <c r="H606" s="11"/>
      <c r="I606" s="46"/>
      <c r="J606" s="11"/>
      <c r="K606" s="11"/>
      <c r="L606" s="11"/>
      <c r="M606" s="11"/>
      <c r="N606" s="11"/>
      <c r="O606" s="11"/>
      <c r="P606" s="11"/>
      <c r="Q606" s="11"/>
      <c r="R606" s="11"/>
      <c r="S606" s="11"/>
      <c r="T606" s="11"/>
      <c r="U606" s="11"/>
      <c r="V606" s="11"/>
      <c r="W606" s="11"/>
      <c r="X606" s="11"/>
      <c r="Y606" s="11"/>
      <c r="Z606" s="11"/>
    </row>
    <row r="607" spans="1:26" ht="14.25" customHeight="1">
      <c r="A607" s="11"/>
      <c r="B607" s="11"/>
      <c r="C607" s="11"/>
      <c r="D607" s="11"/>
      <c r="E607" s="11"/>
      <c r="F607" s="11"/>
      <c r="G607" s="11"/>
      <c r="H607" s="11"/>
      <c r="I607" s="46"/>
      <c r="J607" s="11"/>
      <c r="K607" s="11"/>
      <c r="L607" s="11"/>
      <c r="M607" s="11"/>
      <c r="N607" s="11"/>
      <c r="O607" s="11"/>
      <c r="P607" s="11"/>
      <c r="Q607" s="11"/>
      <c r="R607" s="11"/>
      <c r="S607" s="11"/>
      <c r="T607" s="11"/>
      <c r="U607" s="11"/>
      <c r="V607" s="11"/>
      <c r="W607" s="11"/>
      <c r="X607" s="11"/>
      <c r="Y607" s="11"/>
      <c r="Z607" s="11"/>
    </row>
    <row r="608" spans="1:26" ht="14.25" customHeight="1">
      <c r="A608" s="11"/>
      <c r="B608" s="11"/>
      <c r="C608" s="11"/>
      <c r="D608" s="11"/>
      <c r="E608" s="11"/>
      <c r="F608" s="11"/>
      <c r="G608" s="11"/>
      <c r="H608" s="11"/>
      <c r="I608" s="46"/>
      <c r="J608" s="11"/>
      <c r="K608" s="11"/>
      <c r="L608" s="11"/>
      <c r="M608" s="11"/>
      <c r="N608" s="11"/>
      <c r="O608" s="11"/>
      <c r="P608" s="11"/>
      <c r="Q608" s="11"/>
      <c r="R608" s="11"/>
      <c r="S608" s="11"/>
      <c r="T608" s="11"/>
      <c r="U608" s="11"/>
      <c r="V608" s="11"/>
      <c r="W608" s="11"/>
      <c r="X608" s="11"/>
      <c r="Y608" s="11"/>
      <c r="Z608" s="11"/>
    </row>
    <row r="609" spans="1:26" ht="14.25" customHeight="1">
      <c r="A609" s="11"/>
      <c r="B609" s="11"/>
      <c r="C609" s="11"/>
      <c r="D609" s="11"/>
      <c r="E609" s="11"/>
      <c r="F609" s="11"/>
      <c r="G609" s="11"/>
      <c r="H609" s="11"/>
      <c r="I609" s="46"/>
      <c r="J609" s="11"/>
      <c r="K609" s="11"/>
      <c r="L609" s="11"/>
      <c r="M609" s="11"/>
      <c r="N609" s="11"/>
      <c r="O609" s="11"/>
      <c r="P609" s="11"/>
      <c r="Q609" s="11"/>
      <c r="R609" s="11"/>
      <c r="S609" s="11"/>
      <c r="T609" s="11"/>
      <c r="U609" s="11"/>
      <c r="V609" s="11"/>
      <c r="W609" s="11"/>
      <c r="X609" s="11"/>
      <c r="Y609" s="11"/>
      <c r="Z609" s="11"/>
    </row>
    <row r="610" spans="1:26" ht="14.25" customHeight="1">
      <c r="A610" s="11"/>
      <c r="B610" s="11"/>
      <c r="C610" s="11"/>
      <c r="D610" s="11"/>
      <c r="E610" s="11"/>
      <c r="F610" s="11"/>
      <c r="G610" s="11"/>
      <c r="H610" s="11"/>
      <c r="I610" s="46"/>
      <c r="J610" s="11"/>
      <c r="K610" s="11"/>
      <c r="L610" s="11"/>
      <c r="M610" s="11"/>
      <c r="N610" s="11"/>
      <c r="O610" s="11"/>
      <c r="P610" s="11"/>
      <c r="Q610" s="11"/>
      <c r="R610" s="11"/>
      <c r="S610" s="11"/>
      <c r="T610" s="11"/>
      <c r="U610" s="11"/>
      <c r="V610" s="11"/>
      <c r="W610" s="11"/>
      <c r="X610" s="11"/>
      <c r="Y610" s="11"/>
      <c r="Z610" s="11"/>
    </row>
    <row r="611" spans="1:26" ht="14.25" customHeight="1">
      <c r="A611" s="11"/>
      <c r="B611" s="11"/>
      <c r="C611" s="11"/>
      <c r="D611" s="11"/>
      <c r="E611" s="11"/>
      <c r="F611" s="11"/>
      <c r="G611" s="11"/>
      <c r="H611" s="11"/>
      <c r="I611" s="46"/>
      <c r="J611" s="11"/>
      <c r="K611" s="11"/>
      <c r="L611" s="11"/>
      <c r="M611" s="11"/>
      <c r="N611" s="11"/>
      <c r="O611" s="11"/>
      <c r="P611" s="11"/>
      <c r="Q611" s="11"/>
      <c r="R611" s="11"/>
      <c r="S611" s="11"/>
      <c r="T611" s="11"/>
      <c r="U611" s="11"/>
      <c r="V611" s="11"/>
      <c r="W611" s="11"/>
      <c r="X611" s="11"/>
      <c r="Y611" s="11"/>
      <c r="Z611" s="11"/>
    </row>
    <row r="612" spans="1:26" ht="14.25" customHeight="1">
      <c r="A612" s="11"/>
      <c r="B612" s="11"/>
      <c r="C612" s="11"/>
      <c r="D612" s="11"/>
      <c r="E612" s="11"/>
      <c r="F612" s="11"/>
      <c r="G612" s="11"/>
      <c r="H612" s="11"/>
      <c r="I612" s="46"/>
      <c r="J612" s="11"/>
      <c r="K612" s="11"/>
      <c r="L612" s="11"/>
      <c r="M612" s="11"/>
      <c r="N612" s="11"/>
      <c r="O612" s="11"/>
      <c r="P612" s="11"/>
      <c r="Q612" s="11"/>
      <c r="R612" s="11"/>
      <c r="S612" s="11"/>
      <c r="T612" s="11"/>
      <c r="U612" s="11"/>
      <c r="V612" s="11"/>
      <c r="W612" s="11"/>
      <c r="X612" s="11"/>
      <c r="Y612" s="11"/>
      <c r="Z612" s="11"/>
    </row>
    <row r="613" spans="1:26" ht="14.25" customHeight="1">
      <c r="A613" s="11"/>
      <c r="B613" s="11"/>
      <c r="C613" s="11"/>
      <c r="D613" s="11"/>
      <c r="E613" s="11"/>
      <c r="F613" s="11"/>
      <c r="G613" s="11"/>
      <c r="H613" s="11"/>
      <c r="I613" s="46"/>
      <c r="J613" s="11"/>
      <c r="K613" s="11"/>
      <c r="L613" s="11"/>
      <c r="M613" s="11"/>
      <c r="N613" s="11"/>
      <c r="O613" s="11"/>
      <c r="P613" s="11"/>
      <c r="Q613" s="11"/>
      <c r="R613" s="11"/>
      <c r="S613" s="11"/>
      <c r="T613" s="11"/>
      <c r="U613" s="11"/>
      <c r="V613" s="11"/>
      <c r="W613" s="11"/>
      <c r="X613" s="11"/>
      <c r="Y613" s="11"/>
      <c r="Z613" s="11"/>
    </row>
    <row r="614" spans="1:26" ht="14.25" customHeight="1">
      <c r="A614" s="11"/>
      <c r="B614" s="11"/>
      <c r="C614" s="11"/>
      <c r="D614" s="11"/>
      <c r="E614" s="11"/>
      <c r="F614" s="11"/>
      <c r="G614" s="11"/>
      <c r="H614" s="11"/>
      <c r="I614" s="46"/>
      <c r="J614" s="11"/>
      <c r="K614" s="11"/>
      <c r="L614" s="11"/>
      <c r="M614" s="11"/>
      <c r="N614" s="11"/>
      <c r="O614" s="11"/>
      <c r="P614" s="11"/>
      <c r="Q614" s="11"/>
      <c r="R614" s="11"/>
      <c r="S614" s="11"/>
      <c r="T614" s="11"/>
      <c r="U614" s="11"/>
      <c r="V614" s="11"/>
      <c r="W614" s="11"/>
      <c r="X614" s="11"/>
      <c r="Y614" s="11"/>
      <c r="Z614" s="11"/>
    </row>
    <row r="615" spans="1:26" ht="14.25" customHeight="1">
      <c r="A615" s="11"/>
      <c r="B615" s="11"/>
      <c r="C615" s="11"/>
      <c r="D615" s="11"/>
      <c r="E615" s="11"/>
      <c r="F615" s="11"/>
      <c r="G615" s="11"/>
      <c r="H615" s="11"/>
      <c r="I615" s="46"/>
      <c r="J615" s="11"/>
      <c r="K615" s="11"/>
      <c r="L615" s="11"/>
      <c r="M615" s="11"/>
      <c r="N615" s="11"/>
      <c r="O615" s="11"/>
      <c r="P615" s="11"/>
      <c r="Q615" s="11"/>
      <c r="R615" s="11"/>
      <c r="S615" s="11"/>
      <c r="T615" s="11"/>
      <c r="U615" s="11"/>
      <c r="V615" s="11"/>
      <c r="W615" s="11"/>
      <c r="X615" s="11"/>
      <c r="Y615" s="11"/>
      <c r="Z615" s="11"/>
    </row>
    <row r="616" spans="1:26" ht="14.25" customHeight="1">
      <c r="A616" s="11"/>
      <c r="B616" s="11"/>
      <c r="C616" s="11"/>
      <c r="D616" s="11"/>
      <c r="E616" s="11"/>
      <c r="F616" s="11"/>
      <c r="G616" s="11"/>
      <c r="H616" s="11"/>
      <c r="I616" s="46"/>
      <c r="J616" s="11"/>
      <c r="K616" s="11"/>
      <c r="L616" s="11"/>
      <c r="M616" s="11"/>
      <c r="N616" s="11"/>
      <c r="O616" s="11"/>
      <c r="P616" s="11"/>
      <c r="Q616" s="11"/>
      <c r="R616" s="11"/>
      <c r="S616" s="11"/>
      <c r="T616" s="11"/>
      <c r="U616" s="11"/>
      <c r="V616" s="11"/>
      <c r="W616" s="11"/>
      <c r="X616" s="11"/>
      <c r="Y616" s="11"/>
      <c r="Z616" s="11"/>
    </row>
    <row r="617" spans="1:26" ht="14.25" customHeight="1">
      <c r="A617" s="11"/>
      <c r="B617" s="11"/>
      <c r="C617" s="11"/>
      <c r="D617" s="11"/>
      <c r="E617" s="11"/>
      <c r="F617" s="11"/>
      <c r="G617" s="11"/>
      <c r="H617" s="11"/>
      <c r="I617" s="46"/>
      <c r="J617" s="11"/>
      <c r="K617" s="11"/>
      <c r="L617" s="11"/>
      <c r="M617" s="11"/>
      <c r="N617" s="11"/>
      <c r="O617" s="11"/>
      <c r="P617" s="11"/>
      <c r="Q617" s="11"/>
      <c r="R617" s="11"/>
      <c r="S617" s="11"/>
      <c r="T617" s="11"/>
      <c r="U617" s="11"/>
      <c r="V617" s="11"/>
      <c r="W617" s="11"/>
      <c r="X617" s="11"/>
      <c r="Y617" s="11"/>
      <c r="Z617" s="11"/>
    </row>
    <row r="618" spans="1:26" ht="14.25" customHeight="1">
      <c r="A618" s="11"/>
      <c r="B618" s="11"/>
      <c r="C618" s="11"/>
      <c r="D618" s="11"/>
      <c r="E618" s="11"/>
      <c r="F618" s="11"/>
      <c r="G618" s="11"/>
      <c r="H618" s="11"/>
      <c r="I618" s="46"/>
      <c r="J618" s="11"/>
      <c r="K618" s="11"/>
      <c r="L618" s="11"/>
      <c r="M618" s="11"/>
      <c r="N618" s="11"/>
      <c r="O618" s="11"/>
      <c r="P618" s="11"/>
      <c r="Q618" s="11"/>
      <c r="R618" s="11"/>
      <c r="S618" s="11"/>
      <c r="T618" s="11"/>
      <c r="U618" s="11"/>
      <c r="V618" s="11"/>
      <c r="W618" s="11"/>
      <c r="X618" s="11"/>
      <c r="Y618" s="11"/>
      <c r="Z618" s="11"/>
    </row>
    <row r="619" spans="1:26" ht="14.25" customHeight="1">
      <c r="A619" s="11"/>
      <c r="B619" s="11"/>
      <c r="C619" s="11"/>
      <c r="D619" s="11"/>
      <c r="E619" s="11"/>
      <c r="F619" s="11"/>
      <c r="G619" s="11"/>
      <c r="H619" s="11"/>
      <c r="I619" s="46"/>
      <c r="J619" s="11"/>
      <c r="K619" s="11"/>
      <c r="L619" s="11"/>
      <c r="M619" s="11"/>
      <c r="N619" s="11"/>
      <c r="O619" s="11"/>
      <c r="P619" s="11"/>
      <c r="Q619" s="11"/>
      <c r="R619" s="11"/>
      <c r="S619" s="11"/>
      <c r="T619" s="11"/>
      <c r="U619" s="11"/>
      <c r="V619" s="11"/>
      <c r="W619" s="11"/>
      <c r="X619" s="11"/>
      <c r="Y619" s="11"/>
      <c r="Z619" s="11"/>
    </row>
    <row r="620" spans="1:26" ht="14.25" customHeight="1">
      <c r="A620" s="11"/>
      <c r="B620" s="11"/>
      <c r="C620" s="11"/>
      <c r="D620" s="11"/>
      <c r="E620" s="11"/>
      <c r="F620" s="11"/>
      <c r="G620" s="11"/>
      <c r="H620" s="11"/>
      <c r="I620" s="46"/>
      <c r="J620" s="11"/>
      <c r="K620" s="11"/>
      <c r="L620" s="11"/>
      <c r="M620" s="11"/>
      <c r="N620" s="11"/>
      <c r="O620" s="11"/>
      <c r="P620" s="11"/>
      <c r="Q620" s="11"/>
      <c r="R620" s="11"/>
      <c r="S620" s="11"/>
      <c r="T620" s="11"/>
      <c r="U620" s="11"/>
      <c r="V620" s="11"/>
      <c r="W620" s="11"/>
      <c r="X620" s="11"/>
      <c r="Y620" s="11"/>
      <c r="Z620" s="11"/>
    </row>
    <row r="621" spans="1:26" ht="14.25" customHeight="1">
      <c r="A621" s="11"/>
      <c r="B621" s="11"/>
      <c r="C621" s="11"/>
      <c r="D621" s="11"/>
      <c r="E621" s="11"/>
      <c r="F621" s="11"/>
      <c r="G621" s="11"/>
      <c r="H621" s="11"/>
      <c r="I621" s="46"/>
      <c r="J621" s="11"/>
      <c r="K621" s="11"/>
      <c r="L621" s="11"/>
      <c r="M621" s="11"/>
      <c r="N621" s="11"/>
      <c r="O621" s="11"/>
      <c r="P621" s="11"/>
      <c r="Q621" s="11"/>
      <c r="R621" s="11"/>
      <c r="S621" s="11"/>
      <c r="T621" s="11"/>
      <c r="U621" s="11"/>
      <c r="V621" s="11"/>
      <c r="W621" s="11"/>
      <c r="X621" s="11"/>
      <c r="Y621" s="11"/>
      <c r="Z621" s="11"/>
    </row>
    <row r="622" spans="1:26" ht="14.25" customHeight="1">
      <c r="A622" s="11"/>
      <c r="B622" s="11"/>
      <c r="C622" s="11"/>
      <c r="D622" s="11"/>
      <c r="E622" s="11"/>
      <c r="F622" s="11"/>
      <c r="G622" s="11"/>
      <c r="H622" s="11"/>
      <c r="I622" s="46"/>
      <c r="J622" s="11"/>
      <c r="K622" s="11"/>
      <c r="L622" s="11"/>
      <c r="M622" s="11"/>
      <c r="N622" s="11"/>
      <c r="O622" s="11"/>
      <c r="P622" s="11"/>
      <c r="Q622" s="11"/>
      <c r="R622" s="11"/>
      <c r="S622" s="11"/>
      <c r="T622" s="11"/>
      <c r="U622" s="11"/>
      <c r="V622" s="11"/>
      <c r="W622" s="11"/>
      <c r="X622" s="11"/>
      <c r="Y622" s="11"/>
      <c r="Z622" s="11"/>
    </row>
    <row r="623" spans="1:26" ht="14.25" customHeight="1">
      <c r="A623" s="11"/>
      <c r="B623" s="11"/>
      <c r="C623" s="11"/>
      <c r="D623" s="11"/>
      <c r="E623" s="11"/>
      <c r="F623" s="11"/>
      <c r="G623" s="11"/>
      <c r="H623" s="11"/>
      <c r="I623" s="46"/>
      <c r="J623" s="11"/>
      <c r="K623" s="11"/>
      <c r="L623" s="11"/>
      <c r="M623" s="11"/>
      <c r="N623" s="11"/>
      <c r="O623" s="11"/>
      <c r="P623" s="11"/>
      <c r="Q623" s="11"/>
      <c r="R623" s="11"/>
      <c r="S623" s="11"/>
      <c r="T623" s="11"/>
      <c r="U623" s="11"/>
      <c r="V623" s="11"/>
      <c r="W623" s="11"/>
      <c r="X623" s="11"/>
      <c r="Y623" s="11"/>
      <c r="Z623" s="11"/>
    </row>
    <row r="624" spans="1:26" ht="14.25" customHeight="1">
      <c r="A624" s="11"/>
      <c r="B624" s="11"/>
      <c r="C624" s="11"/>
      <c r="D624" s="11"/>
      <c r="E624" s="11"/>
      <c r="F624" s="11"/>
      <c r="G624" s="11"/>
      <c r="H624" s="11"/>
      <c r="I624" s="46"/>
      <c r="J624" s="11"/>
      <c r="K624" s="11"/>
      <c r="L624" s="11"/>
      <c r="M624" s="11"/>
      <c r="N624" s="11"/>
      <c r="O624" s="11"/>
      <c r="P624" s="11"/>
      <c r="Q624" s="11"/>
      <c r="R624" s="11"/>
      <c r="S624" s="11"/>
      <c r="T624" s="11"/>
      <c r="U624" s="11"/>
      <c r="V624" s="11"/>
      <c r="W624" s="11"/>
      <c r="X624" s="11"/>
      <c r="Y624" s="11"/>
      <c r="Z624" s="11"/>
    </row>
    <row r="625" spans="1:26" ht="14.25" customHeight="1">
      <c r="A625" s="11"/>
      <c r="B625" s="11"/>
      <c r="C625" s="11"/>
      <c r="D625" s="11"/>
      <c r="E625" s="11"/>
      <c r="F625" s="11"/>
      <c r="G625" s="11"/>
      <c r="H625" s="11"/>
      <c r="I625" s="46"/>
      <c r="J625" s="11"/>
      <c r="K625" s="11"/>
      <c r="L625" s="11"/>
      <c r="M625" s="11"/>
      <c r="N625" s="11"/>
      <c r="O625" s="11"/>
      <c r="P625" s="11"/>
      <c r="Q625" s="11"/>
      <c r="R625" s="11"/>
      <c r="S625" s="11"/>
      <c r="T625" s="11"/>
      <c r="U625" s="11"/>
      <c r="V625" s="11"/>
      <c r="W625" s="11"/>
      <c r="X625" s="11"/>
      <c r="Y625" s="11"/>
      <c r="Z625" s="11"/>
    </row>
    <row r="626" spans="1:26" ht="14.25" customHeight="1">
      <c r="A626" s="11"/>
      <c r="B626" s="11"/>
      <c r="C626" s="11"/>
      <c r="D626" s="11"/>
      <c r="E626" s="11"/>
      <c r="F626" s="11"/>
      <c r="G626" s="11"/>
      <c r="H626" s="11"/>
      <c r="I626" s="46"/>
      <c r="J626" s="11"/>
      <c r="K626" s="11"/>
      <c r="L626" s="11"/>
      <c r="M626" s="11"/>
      <c r="N626" s="11"/>
      <c r="O626" s="11"/>
      <c r="P626" s="11"/>
      <c r="Q626" s="11"/>
      <c r="R626" s="11"/>
      <c r="S626" s="11"/>
      <c r="T626" s="11"/>
      <c r="U626" s="11"/>
      <c r="V626" s="11"/>
      <c r="W626" s="11"/>
      <c r="X626" s="11"/>
      <c r="Y626" s="11"/>
      <c r="Z626" s="11"/>
    </row>
    <row r="627" spans="1:26" ht="14.25" customHeight="1">
      <c r="A627" s="11"/>
      <c r="B627" s="11"/>
      <c r="C627" s="11"/>
      <c r="D627" s="11"/>
      <c r="E627" s="11"/>
      <c r="F627" s="11"/>
      <c r="G627" s="11"/>
      <c r="H627" s="11"/>
      <c r="I627" s="46"/>
      <c r="J627" s="11"/>
      <c r="K627" s="11"/>
      <c r="L627" s="11"/>
      <c r="M627" s="11"/>
      <c r="N627" s="11"/>
      <c r="O627" s="11"/>
      <c r="P627" s="11"/>
      <c r="Q627" s="11"/>
      <c r="R627" s="11"/>
      <c r="S627" s="11"/>
      <c r="T627" s="11"/>
      <c r="U627" s="11"/>
      <c r="V627" s="11"/>
      <c r="W627" s="11"/>
      <c r="X627" s="11"/>
      <c r="Y627" s="11"/>
      <c r="Z627" s="11"/>
    </row>
    <row r="628" spans="1:26" ht="14.25" customHeight="1">
      <c r="A628" s="11"/>
      <c r="B628" s="11"/>
      <c r="C628" s="11"/>
      <c r="D628" s="11"/>
      <c r="E628" s="11"/>
      <c r="F628" s="11"/>
      <c r="G628" s="11"/>
      <c r="H628" s="11"/>
      <c r="I628" s="46"/>
      <c r="J628" s="11"/>
      <c r="K628" s="11"/>
      <c r="L628" s="11"/>
      <c r="M628" s="11"/>
      <c r="N628" s="11"/>
      <c r="O628" s="11"/>
      <c r="P628" s="11"/>
      <c r="Q628" s="11"/>
      <c r="R628" s="11"/>
      <c r="S628" s="11"/>
      <c r="T628" s="11"/>
      <c r="U628" s="11"/>
      <c r="V628" s="11"/>
      <c r="W628" s="11"/>
      <c r="X628" s="11"/>
      <c r="Y628" s="11"/>
      <c r="Z628" s="11"/>
    </row>
    <row r="629" spans="1:26" ht="14.25" customHeight="1">
      <c r="A629" s="11"/>
      <c r="B629" s="11"/>
      <c r="C629" s="11"/>
      <c r="D629" s="11"/>
      <c r="E629" s="11"/>
      <c r="F629" s="11"/>
      <c r="G629" s="11"/>
      <c r="H629" s="11"/>
      <c r="I629" s="46"/>
      <c r="J629" s="11"/>
      <c r="K629" s="11"/>
      <c r="L629" s="11"/>
      <c r="M629" s="11"/>
      <c r="N629" s="11"/>
      <c r="O629" s="11"/>
      <c r="P629" s="11"/>
      <c r="Q629" s="11"/>
      <c r="R629" s="11"/>
      <c r="S629" s="11"/>
      <c r="T629" s="11"/>
      <c r="U629" s="11"/>
      <c r="V629" s="11"/>
      <c r="W629" s="11"/>
      <c r="X629" s="11"/>
      <c r="Y629" s="11"/>
      <c r="Z629" s="11"/>
    </row>
    <row r="630" spans="1:26" ht="14.25" customHeight="1">
      <c r="A630" s="11"/>
      <c r="B630" s="11"/>
      <c r="C630" s="11"/>
      <c r="D630" s="11"/>
      <c r="E630" s="11"/>
      <c r="F630" s="11"/>
      <c r="G630" s="11"/>
      <c r="H630" s="11"/>
      <c r="I630" s="46"/>
      <c r="J630" s="11"/>
      <c r="K630" s="11"/>
      <c r="L630" s="11"/>
      <c r="M630" s="11"/>
      <c r="N630" s="11"/>
      <c r="O630" s="11"/>
      <c r="P630" s="11"/>
      <c r="Q630" s="11"/>
      <c r="R630" s="11"/>
      <c r="S630" s="11"/>
      <c r="T630" s="11"/>
      <c r="U630" s="11"/>
      <c r="V630" s="11"/>
      <c r="W630" s="11"/>
      <c r="X630" s="11"/>
      <c r="Y630" s="11"/>
      <c r="Z630" s="11"/>
    </row>
    <row r="631" spans="1:26" ht="14.25" customHeight="1">
      <c r="A631" s="11"/>
      <c r="B631" s="11"/>
      <c r="C631" s="11"/>
      <c r="D631" s="11"/>
      <c r="E631" s="11"/>
      <c r="F631" s="11"/>
      <c r="G631" s="11"/>
      <c r="H631" s="11"/>
      <c r="I631" s="46"/>
      <c r="J631" s="11"/>
      <c r="K631" s="11"/>
      <c r="L631" s="11"/>
      <c r="M631" s="11"/>
      <c r="N631" s="11"/>
      <c r="O631" s="11"/>
      <c r="P631" s="11"/>
      <c r="Q631" s="11"/>
      <c r="R631" s="11"/>
      <c r="S631" s="11"/>
      <c r="T631" s="11"/>
      <c r="U631" s="11"/>
      <c r="V631" s="11"/>
      <c r="W631" s="11"/>
      <c r="X631" s="11"/>
      <c r="Y631" s="11"/>
      <c r="Z631" s="11"/>
    </row>
    <row r="632" spans="1:26" ht="14.25" customHeight="1">
      <c r="A632" s="11"/>
      <c r="B632" s="11"/>
      <c r="C632" s="11"/>
      <c r="D632" s="11"/>
      <c r="E632" s="11"/>
      <c r="F632" s="11"/>
      <c r="G632" s="11"/>
      <c r="H632" s="11"/>
      <c r="I632" s="46"/>
      <c r="J632" s="11"/>
      <c r="K632" s="11"/>
      <c r="L632" s="11"/>
      <c r="M632" s="11"/>
      <c r="N632" s="11"/>
      <c r="O632" s="11"/>
      <c r="P632" s="11"/>
      <c r="Q632" s="11"/>
      <c r="R632" s="11"/>
      <c r="S632" s="11"/>
      <c r="T632" s="11"/>
      <c r="U632" s="11"/>
      <c r="V632" s="11"/>
      <c r="W632" s="11"/>
      <c r="X632" s="11"/>
      <c r="Y632" s="11"/>
      <c r="Z632" s="11"/>
    </row>
    <row r="633" spans="1:26" ht="14.25" customHeight="1">
      <c r="A633" s="11"/>
      <c r="B633" s="11"/>
      <c r="C633" s="11"/>
      <c r="D633" s="11"/>
      <c r="E633" s="11"/>
      <c r="F633" s="11"/>
      <c r="G633" s="11"/>
      <c r="H633" s="11"/>
      <c r="I633" s="46"/>
      <c r="J633" s="11"/>
      <c r="K633" s="11"/>
      <c r="L633" s="11"/>
      <c r="M633" s="11"/>
      <c r="N633" s="11"/>
      <c r="O633" s="11"/>
      <c r="P633" s="11"/>
      <c r="Q633" s="11"/>
      <c r="R633" s="11"/>
      <c r="S633" s="11"/>
      <c r="T633" s="11"/>
      <c r="U633" s="11"/>
      <c r="V633" s="11"/>
      <c r="W633" s="11"/>
      <c r="X633" s="11"/>
      <c r="Y633" s="11"/>
      <c r="Z633" s="11"/>
    </row>
    <row r="634" spans="1:26" ht="14.25" customHeight="1">
      <c r="A634" s="11"/>
      <c r="B634" s="11"/>
      <c r="C634" s="11"/>
      <c r="D634" s="11"/>
      <c r="E634" s="11"/>
      <c r="F634" s="11"/>
      <c r="G634" s="11"/>
      <c r="H634" s="11"/>
      <c r="I634" s="46"/>
      <c r="J634" s="11"/>
      <c r="K634" s="11"/>
      <c r="L634" s="11"/>
      <c r="M634" s="11"/>
      <c r="N634" s="11"/>
      <c r="O634" s="11"/>
      <c r="P634" s="11"/>
      <c r="Q634" s="11"/>
      <c r="R634" s="11"/>
      <c r="S634" s="11"/>
      <c r="T634" s="11"/>
      <c r="U634" s="11"/>
      <c r="V634" s="11"/>
      <c r="W634" s="11"/>
      <c r="X634" s="11"/>
      <c r="Y634" s="11"/>
      <c r="Z634" s="11"/>
    </row>
    <row r="635" spans="1:26" ht="14.25" customHeight="1">
      <c r="A635" s="11"/>
      <c r="B635" s="11"/>
      <c r="C635" s="11"/>
      <c r="D635" s="11"/>
      <c r="E635" s="11"/>
      <c r="F635" s="11"/>
      <c r="G635" s="11"/>
      <c r="H635" s="11"/>
      <c r="I635" s="46"/>
      <c r="J635" s="11"/>
      <c r="K635" s="11"/>
      <c r="L635" s="11"/>
      <c r="M635" s="11"/>
      <c r="N635" s="11"/>
      <c r="O635" s="11"/>
      <c r="P635" s="11"/>
      <c r="Q635" s="11"/>
      <c r="R635" s="11"/>
      <c r="S635" s="11"/>
      <c r="T635" s="11"/>
      <c r="U635" s="11"/>
      <c r="V635" s="11"/>
      <c r="W635" s="11"/>
      <c r="X635" s="11"/>
      <c r="Y635" s="11"/>
      <c r="Z635" s="11"/>
    </row>
    <row r="636" spans="1:26" ht="14.25" customHeight="1">
      <c r="A636" s="11"/>
      <c r="B636" s="11"/>
      <c r="C636" s="11"/>
      <c r="D636" s="11"/>
      <c r="E636" s="11"/>
      <c r="F636" s="11"/>
      <c r="G636" s="11"/>
      <c r="H636" s="11"/>
      <c r="I636" s="46"/>
      <c r="J636" s="11"/>
      <c r="K636" s="11"/>
      <c r="L636" s="11"/>
      <c r="M636" s="11"/>
      <c r="N636" s="11"/>
      <c r="O636" s="11"/>
      <c r="P636" s="11"/>
      <c r="Q636" s="11"/>
      <c r="R636" s="11"/>
      <c r="S636" s="11"/>
      <c r="T636" s="11"/>
      <c r="U636" s="11"/>
      <c r="V636" s="11"/>
      <c r="W636" s="11"/>
      <c r="X636" s="11"/>
      <c r="Y636" s="11"/>
      <c r="Z636" s="11"/>
    </row>
    <row r="637" spans="1:26" ht="14.25" customHeight="1">
      <c r="A637" s="11"/>
      <c r="B637" s="11"/>
      <c r="C637" s="11"/>
      <c r="D637" s="11"/>
      <c r="E637" s="11"/>
      <c r="F637" s="11"/>
      <c r="G637" s="11"/>
      <c r="H637" s="11"/>
      <c r="I637" s="46"/>
      <c r="J637" s="11"/>
      <c r="K637" s="11"/>
      <c r="L637" s="11"/>
      <c r="M637" s="11"/>
      <c r="N637" s="11"/>
      <c r="O637" s="11"/>
      <c r="P637" s="11"/>
      <c r="Q637" s="11"/>
      <c r="R637" s="11"/>
      <c r="S637" s="11"/>
      <c r="T637" s="11"/>
      <c r="U637" s="11"/>
      <c r="V637" s="11"/>
      <c r="W637" s="11"/>
      <c r="X637" s="11"/>
      <c r="Y637" s="11"/>
      <c r="Z637" s="11"/>
    </row>
    <row r="638" spans="1:26" ht="14.25" customHeight="1">
      <c r="A638" s="11"/>
      <c r="B638" s="11"/>
      <c r="C638" s="11"/>
      <c r="D638" s="11"/>
      <c r="E638" s="11"/>
      <c r="F638" s="11"/>
      <c r="G638" s="11"/>
      <c r="H638" s="11"/>
      <c r="I638" s="46"/>
      <c r="J638" s="11"/>
      <c r="K638" s="11"/>
      <c r="L638" s="11"/>
      <c r="M638" s="11"/>
      <c r="N638" s="11"/>
      <c r="O638" s="11"/>
      <c r="P638" s="11"/>
      <c r="Q638" s="11"/>
      <c r="R638" s="11"/>
      <c r="S638" s="11"/>
      <c r="T638" s="11"/>
      <c r="U638" s="11"/>
      <c r="V638" s="11"/>
      <c r="W638" s="11"/>
      <c r="X638" s="11"/>
      <c r="Y638" s="11"/>
      <c r="Z638" s="11"/>
    </row>
    <row r="639" spans="1:26" ht="14.25" customHeight="1">
      <c r="A639" s="11"/>
      <c r="B639" s="11"/>
      <c r="C639" s="11"/>
      <c r="D639" s="11"/>
      <c r="E639" s="11"/>
      <c r="F639" s="11"/>
      <c r="G639" s="11"/>
      <c r="H639" s="11"/>
      <c r="I639" s="46"/>
      <c r="J639" s="11"/>
      <c r="K639" s="11"/>
      <c r="L639" s="11"/>
      <c r="M639" s="11"/>
      <c r="N639" s="11"/>
      <c r="O639" s="11"/>
      <c r="P639" s="11"/>
      <c r="Q639" s="11"/>
      <c r="R639" s="11"/>
      <c r="S639" s="11"/>
      <c r="T639" s="11"/>
      <c r="U639" s="11"/>
      <c r="V639" s="11"/>
      <c r="W639" s="11"/>
      <c r="X639" s="11"/>
      <c r="Y639" s="11"/>
      <c r="Z639" s="11"/>
    </row>
    <row r="640" spans="1:26" ht="14.25" customHeight="1">
      <c r="A640" s="11"/>
      <c r="B640" s="11"/>
      <c r="C640" s="11"/>
      <c r="D640" s="11"/>
      <c r="E640" s="11"/>
      <c r="F640" s="11"/>
      <c r="G640" s="11"/>
      <c r="H640" s="11"/>
      <c r="I640" s="46"/>
      <c r="J640" s="11"/>
      <c r="K640" s="11"/>
      <c r="L640" s="11"/>
      <c r="M640" s="11"/>
      <c r="N640" s="11"/>
      <c r="O640" s="11"/>
      <c r="P640" s="11"/>
      <c r="Q640" s="11"/>
      <c r="R640" s="11"/>
      <c r="S640" s="11"/>
      <c r="T640" s="11"/>
      <c r="U640" s="11"/>
      <c r="V640" s="11"/>
      <c r="W640" s="11"/>
      <c r="X640" s="11"/>
      <c r="Y640" s="11"/>
      <c r="Z640" s="11"/>
    </row>
    <row r="641" spans="1:26" ht="14.25" customHeight="1">
      <c r="A641" s="11"/>
      <c r="B641" s="11"/>
      <c r="C641" s="11"/>
      <c r="D641" s="11"/>
      <c r="E641" s="11"/>
      <c r="F641" s="11"/>
      <c r="G641" s="11"/>
      <c r="H641" s="11"/>
      <c r="I641" s="46"/>
      <c r="J641" s="11"/>
      <c r="K641" s="11"/>
      <c r="L641" s="11"/>
      <c r="M641" s="11"/>
      <c r="N641" s="11"/>
      <c r="O641" s="11"/>
      <c r="P641" s="11"/>
      <c r="Q641" s="11"/>
      <c r="R641" s="11"/>
      <c r="S641" s="11"/>
      <c r="T641" s="11"/>
      <c r="U641" s="11"/>
      <c r="V641" s="11"/>
      <c r="W641" s="11"/>
      <c r="X641" s="11"/>
      <c r="Y641" s="11"/>
      <c r="Z641" s="11"/>
    </row>
    <row r="642" spans="1:26" ht="14.25" customHeight="1">
      <c r="A642" s="11"/>
      <c r="B642" s="11"/>
      <c r="C642" s="11"/>
      <c r="D642" s="11"/>
      <c r="E642" s="11"/>
      <c r="F642" s="11"/>
      <c r="G642" s="11"/>
      <c r="H642" s="11"/>
      <c r="I642" s="46"/>
      <c r="J642" s="11"/>
      <c r="K642" s="11"/>
      <c r="L642" s="11"/>
      <c r="M642" s="11"/>
      <c r="N642" s="11"/>
      <c r="O642" s="11"/>
      <c r="P642" s="11"/>
      <c r="Q642" s="11"/>
      <c r="R642" s="11"/>
      <c r="S642" s="11"/>
      <c r="T642" s="11"/>
      <c r="U642" s="11"/>
      <c r="V642" s="11"/>
      <c r="W642" s="11"/>
      <c r="X642" s="11"/>
      <c r="Y642" s="11"/>
      <c r="Z642" s="11"/>
    </row>
    <row r="643" spans="1:26" ht="14.25" customHeight="1">
      <c r="A643" s="11"/>
      <c r="B643" s="11"/>
      <c r="C643" s="11"/>
      <c r="D643" s="11"/>
      <c r="E643" s="11"/>
      <c r="F643" s="11"/>
      <c r="G643" s="11"/>
      <c r="H643" s="11"/>
      <c r="I643" s="46"/>
      <c r="J643" s="11"/>
      <c r="K643" s="11"/>
      <c r="L643" s="11"/>
      <c r="M643" s="11"/>
      <c r="N643" s="11"/>
      <c r="O643" s="11"/>
      <c r="P643" s="11"/>
      <c r="Q643" s="11"/>
      <c r="R643" s="11"/>
      <c r="S643" s="11"/>
      <c r="T643" s="11"/>
      <c r="U643" s="11"/>
      <c r="V643" s="11"/>
      <c r="W643" s="11"/>
      <c r="X643" s="11"/>
      <c r="Y643" s="11"/>
      <c r="Z643" s="11"/>
    </row>
    <row r="644" spans="1:26" ht="14.25" customHeight="1">
      <c r="A644" s="11"/>
      <c r="B644" s="11"/>
      <c r="C644" s="11"/>
      <c r="D644" s="11"/>
      <c r="E644" s="11"/>
      <c r="F644" s="11"/>
      <c r="G644" s="11"/>
      <c r="H644" s="11"/>
      <c r="I644" s="46"/>
      <c r="J644" s="11"/>
      <c r="K644" s="11"/>
      <c r="L644" s="11"/>
      <c r="M644" s="11"/>
      <c r="N644" s="11"/>
      <c r="O644" s="11"/>
      <c r="P644" s="11"/>
      <c r="Q644" s="11"/>
      <c r="R644" s="11"/>
      <c r="S644" s="11"/>
      <c r="T644" s="11"/>
      <c r="U644" s="11"/>
      <c r="V644" s="11"/>
      <c r="W644" s="11"/>
      <c r="X644" s="11"/>
      <c r="Y644" s="11"/>
      <c r="Z644" s="11"/>
    </row>
    <row r="645" spans="1:26" ht="14.25" customHeight="1">
      <c r="A645" s="11"/>
      <c r="B645" s="11"/>
      <c r="C645" s="11"/>
      <c r="D645" s="11"/>
      <c r="E645" s="11"/>
      <c r="F645" s="11"/>
      <c r="G645" s="11"/>
      <c r="H645" s="11"/>
      <c r="I645" s="46"/>
      <c r="J645" s="11"/>
      <c r="K645" s="11"/>
      <c r="L645" s="11"/>
      <c r="M645" s="11"/>
      <c r="N645" s="11"/>
      <c r="O645" s="11"/>
      <c r="P645" s="11"/>
      <c r="Q645" s="11"/>
      <c r="R645" s="11"/>
      <c r="S645" s="11"/>
      <c r="T645" s="11"/>
      <c r="U645" s="11"/>
      <c r="V645" s="11"/>
      <c r="W645" s="11"/>
      <c r="X645" s="11"/>
      <c r="Y645" s="11"/>
      <c r="Z645" s="11"/>
    </row>
    <row r="646" spans="1:26" ht="14.25" customHeight="1">
      <c r="A646" s="11"/>
      <c r="B646" s="11"/>
      <c r="C646" s="11"/>
      <c r="D646" s="11"/>
      <c r="E646" s="11"/>
      <c r="F646" s="11"/>
      <c r="G646" s="11"/>
      <c r="H646" s="11"/>
      <c r="I646" s="46"/>
      <c r="J646" s="11"/>
      <c r="K646" s="11"/>
      <c r="L646" s="11"/>
      <c r="M646" s="11"/>
      <c r="N646" s="11"/>
      <c r="O646" s="11"/>
      <c r="P646" s="11"/>
      <c r="Q646" s="11"/>
      <c r="R646" s="11"/>
      <c r="S646" s="11"/>
      <c r="T646" s="11"/>
      <c r="U646" s="11"/>
      <c r="V646" s="11"/>
      <c r="W646" s="11"/>
      <c r="X646" s="11"/>
      <c r="Y646" s="11"/>
      <c r="Z646" s="11"/>
    </row>
    <row r="647" spans="1:26" ht="14.25" customHeight="1">
      <c r="A647" s="11"/>
      <c r="B647" s="11"/>
      <c r="C647" s="11"/>
      <c r="D647" s="11"/>
      <c r="E647" s="11"/>
      <c r="F647" s="11"/>
      <c r="G647" s="11"/>
      <c r="H647" s="11"/>
      <c r="I647" s="46"/>
      <c r="J647" s="11"/>
      <c r="K647" s="11"/>
      <c r="L647" s="11"/>
      <c r="M647" s="11"/>
      <c r="N647" s="11"/>
      <c r="O647" s="11"/>
      <c r="P647" s="11"/>
      <c r="Q647" s="11"/>
      <c r="R647" s="11"/>
      <c r="S647" s="11"/>
      <c r="T647" s="11"/>
      <c r="U647" s="11"/>
      <c r="V647" s="11"/>
      <c r="W647" s="11"/>
      <c r="X647" s="11"/>
      <c r="Y647" s="11"/>
      <c r="Z647" s="11"/>
    </row>
    <row r="648" spans="1:26" ht="14.25" customHeight="1">
      <c r="A648" s="11"/>
      <c r="B648" s="11"/>
      <c r="C648" s="11"/>
      <c r="D648" s="11"/>
      <c r="E648" s="11"/>
      <c r="F648" s="11"/>
      <c r="G648" s="11"/>
      <c r="H648" s="11"/>
      <c r="I648" s="46"/>
      <c r="J648" s="11"/>
      <c r="K648" s="11"/>
      <c r="L648" s="11"/>
      <c r="M648" s="11"/>
      <c r="N648" s="11"/>
      <c r="O648" s="11"/>
      <c r="P648" s="11"/>
      <c r="Q648" s="11"/>
      <c r="R648" s="11"/>
      <c r="S648" s="11"/>
      <c r="T648" s="11"/>
      <c r="U648" s="11"/>
      <c r="V648" s="11"/>
      <c r="W648" s="11"/>
      <c r="X648" s="11"/>
      <c r="Y648" s="11"/>
      <c r="Z648" s="11"/>
    </row>
    <row r="649" spans="1:26" ht="14.25" customHeight="1">
      <c r="A649" s="11"/>
      <c r="B649" s="11"/>
      <c r="C649" s="11"/>
      <c r="D649" s="11"/>
      <c r="E649" s="11"/>
      <c r="F649" s="11"/>
      <c r="G649" s="11"/>
      <c r="H649" s="11"/>
      <c r="I649" s="46"/>
      <c r="J649" s="11"/>
      <c r="K649" s="11"/>
      <c r="L649" s="11"/>
      <c r="M649" s="11"/>
      <c r="N649" s="11"/>
      <c r="O649" s="11"/>
      <c r="P649" s="11"/>
      <c r="Q649" s="11"/>
      <c r="R649" s="11"/>
      <c r="S649" s="11"/>
      <c r="T649" s="11"/>
      <c r="U649" s="11"/>
      <c r="V649" s="11"/>
      <c r="W649" s="11"/>
      <c r="X649" s="11"/>
      <c r="Y649" s="11"/>
      <c r="Z649" s="11"/>
    </row>
    <row r="650" spans="1:26" ht="14.25" customHeight="1">
      <c r="A650" s="11"/>
      <c r="B650" s="11"/>
      <c r="C650" s="11"/>
      <c r="D650" s="11"/>
      <c r="E650" s="11"/>
      <c r="F650" s="11"/>
      <c r="G650" s="11"/>
      <c r="H650" s="11"/>
      <c r="I650" s="46"/>
      <c r="J650" s="11"/>
      <c r="K650" s="11"/>
      <c r="L650" s="11"/>
      <c r="M650" s="11"/>
      <c r="N650" s="11"/>
      <c r="O650" s="11"/>
      <c r="P650" s="11"/>
      <c r="Q650" s="11"/>
      <c r="R650" s="11"/>
      <c r="S650" s="11"/>
      <c r="T650" s="11"/>
      <c r="U650" s="11"/>
      <c r="V650" s="11"/>
      <c r="W650" s="11"/>
      <c r="X650" s="11"/>
      <c r="Y650" s="11"/>
      <c r="Z650" s="11"/>
    </row>
    <row r="651" spans="1:26" ht="14.25" customHeight="1">
      <c r="A651" s="11"/>
      <c r="B651" s="11"/>
      <c r="C651" s="11"/>
      <c r="D651" s="11"/>
      <c r="E651" s="11"/>
      <c r="F651" s="11"/>
      <c r="G651" s="11"/>
      <c r="H651" s="11"/>
      <c r="I651" s="46"/>
      <c r="J651" s="11"/>
      <c r="K651" s="11"/>
      <c r="L651" s="11"/>
      <c r="M651" s="11"/>
      <c r="N651" s="11"/>
      <c r="O651" s="11"/>
      <c r="P651" s="11"/>
      <c r="Q651" s="11"/>
      <c r="R651" s="11"/>
      <c r="S651" s="11"/>
      <c r="T651" s="11"/>
      <c r="U651" s="11"/>
      <c r="V651" s="11"/>
      <c r="W651" s="11"/>
      <c r="X651" s="11"/>
      <c r="Y651" s="11"/>
      <c r="Z651" s="11"/>
    </row>
    <row r="652" spans="1:26" ht="14.25" customHeight="1">
      <c r="A652" s="11"/>
      <c r="B652" s="11"/>
      <c r="C652" s="11"/>
      <c r="D652" s="11"/>
      <c r="E652" s="11"/>
      <c r="F652" s="11"/>
      <c r="G652" s="11"/>
      <c r="H652" s="11"/>
      <c r="I652" s="46"/>
      <c r="J652" s="11"/>
      <c r="K652" s="11"/>
      <c r="L652" s="11"/>
      <c r="M652" s="11"/>
      <c r="N652" s="11"/>
      <c r="O652" s="11"/>
      <c r="P652" s="11"/>
      <c r="Q652" s="11"/>
      <c r="R652" s="11"/>
      <c r="S652" s="11"/>
      <c r="T652" s="11"/>
      <c r="U652" s="11"/>
      <c r="V652" s="11"/>
      <c r="W652" s="11"/>
      <c r="X652" s="11"/>
      <c r="Y652" s="11"/>
      <c r="Z652" s="11"/>
    </row>
    <row r="653" spans="1:26" ht="14.25" customHeight="1">
      <c r="A653" s="11"/>
      <c r="B653" s="11"/>
      <c r="C653" s="11"/>
      <c r="D653" s="11"/>
      <c r="E653" s="11"/>
      <c r="F653" s="11"/>
      <c r="G653" s="11"/>
      <c r="H653" s="11"/>
      <c r="I653" s="46"/>
      <c r="J653" s="11"/>
      <c r="K653" s="11"/>
      <c r="L653" s="11"/>
      <c r="M653" s="11"/>
      <c r="N653" s="11"/>
      <c r="O653" s="11"/>
      <c r="P653" s="11"/>
      <c r="Q653" s="11"/>
      <c r="R653" s="11"/>
      <c r="S653" s="11"/>
      <c r="T653" s="11"/>
      <c r="U653" s="11"/>
      <c r="V653" s="11"/>
      <c r="W653" s="11"/>
      <c r="X653" s="11"/>
      <c r="Y653" s="11"/>
      <c r="Z653" s="11"/>
    </row>
    <row r="654" spans="1:26" ht="14.25" customHeight="1">
      <c r="A654" s="11"/>
      <c r="B654" s="11"/>
      <c r="C654" s="11"/>
      <c r="D654" s="11"/>
      <c r="E654" s="11"/>
      <c r="F654" s="11"/>
      <c r="G654" s="11"/>
      <c r="H654" s="11"/>
      <c r="I654" s="46"/>
      <c r="J654" s="11"/>
      <c r="K654" s="11"/>
      <c r="L654" s="11"/>
      <c r="M654" s="11"/>
      <c r="N654" s="11"/>
      <c r="O654" s="11"/>
      <c r="P654" s="11"/>
      <c r="Q654" s="11"/>
      <c r="R654" s="11"/>
      <c r="S654" s="11"/>
      <c r="T654" s="11"/>
      <c r="U654" s="11"/>
      <c r="V654" s="11"/>
      <c r="W654" s="11"/>
      <c r="X654" s="11"/>
      <c r="Y654" s="11"/>
      <c r="Z654" s="11"/>
    </row>
    <row r="655" spans="1:26" ht="14.25" customHeight="1">
      <c r="A655" s="11"/>
      <c r="B655" s="11"/>
      <c r="C655" s="11"/>
      <c r="D655" s="11"/>
      <c r="E655" s="11"/>
      <c r="F655" s="11"/>
      <c r="G655" s="11"/>
      <c r="H655" s="11"/>
      <c r="I655" s="46"/>
      <c r="J655" s="11"/>
      <c r="K655" s="11"/>
      <c r="L655" s="11"/>
      <c r="M655" s="11"/>
      <c r="N655" s="11"/>
      <c r="O655" s="11"/>
      <c r="P655" s="11"/>
      <c r="Q655" s="11"/>
      <c r="R655" s="11"/>
      <c r="S655" s="11"/>
      <c r="T655" s="11"/>
      <c r="U655" s="11"/>
      <c r="V655" s="11"/>
      <c r="W655" s="11"/>
      <c r="X655" s="11"/>
      <c r="Y655" s="11"/>
      <c r="Z655" s="11"/>
    </row>
    <row r="656" spans="1:26" ht="14.25" customHeight="1">
      <c r="A656" s="11"/>
      <c r="B656" s="11"/>
      <c r="C656" s="11"/>
      <c r="D656" s="11"/>
      <c r="E656" s="11"/>
      <c r="F656" s="11"/>
      <c r="G656" s="11"/>
      <c r="H656" s="11"/>
      <c r="I656" s="46"/>
      <c r="J656" s="11"/>
      <c r="K656" s="11"/>
      <c r="L656" s="11"/>
      <c r="M656" s="11"/>
      <c r="N656" s="11"/>
      <c r="O656" s="11"/>
      <c r="P656" s="11"/>
      <c r="Q656" s="11"/>
      <c r="R656" s="11"/>
      <c r="S656" s="11"/>
      <c r="T656" s="11"/>
      <c r="U656" s="11"/>
      <c r="V656" s="11"/>
      <c r="W656" s="11"/>
      <c r="X656" s="11"/>
      <c r="Y656" s="11"/>
      <c r="Z656" s="11"/>
    </row>
    <row r="657" spans="1:26" ht="14.25" customHeight="1">
      <c r="A657" s="11"/>
      <c r="B657" s="11"/>
      <c r="C657" s="11"/>
      <c r="D657" s="11"/>
      <c r="E657" s="11"/>
      <c r="F657" s="11"/>
      <c r="G657" s="11"/>
      <c r="H657" s="11"/>
      <c r="I657" s="46"/>
      <c r="J657" s="11"/>
      <c r="K657" s="11"/>
      <c r="L657" s="11"/>
      <c r="M657" s="11"/>
      <c r="N657" s="11"/>
      <c r="O657" s="11"/>
      <c r="P657" s="11"/>
      <c r="Q657" s="11"/>
      <c r="R657" s="11"/>
      <c r="S657" s="11"/>
      <c r="T657" s="11"/>
      <c r="U657" s="11"/>
      <c r="V657" s="11"/>
      <c r="W657" s="11"/>
      <c r="X657" s="11"/>
      <c r="Y657" s="11"/>
      <c r="Z657" s="11"/>
    </row>
    <row r="658" spans="1:26" ht="14.25" customHeight="1">
      <c r="A658" s="11"/>
      <c r="B658" s="11"/>
      <c r="C658" s="11"/>
      <c r="D658" s="11"/>
      <c r="E658" s="11"/>
      <c r="F658" s="11"/>
      <c r="G658" s="11"/>
      <c r="H658" s="11"/>
      <c r="I658" s="46"/>
      <c r="J658" s="11"/>
      <c r="K658" s="11"/>
      <c r="L658" s="11"/>
      <c r="M658" s="11"/>
      <c r="N658" s="11"/>
      <c r="O658" s="11"/>
      <c r="P658" s="11"/>
      <c r="Q658" s="11"/>
      <c r="R658" s="11"/>
      <c r="S658" s="11"/>
      <c r="T658" s="11"/>
      <c r="U658" s="11"/>
      <c r="V658" s="11"/>
      <c r="W658" s="11"/>
      <c r="X658" s="11"/>
      <c r="Y658" s="11"/>
      <c r="Z658" s="11"/>
    </row>
    <row r="659" spans="1:26" ht="14.25" customHeight="1">
      <c r="A659" s="11"/>
      <c r="B659" s="11"/>
      <c r="C659" s="11"/>
      <c r="D659" s="11"/>
      <c r="E659" s="11"/>
      <c r="F659" s="11"/>
      <c r="G659" s="11"/>
      <c r="H659" s="11"/>
      <c r="I659" s="46"/>
      <c r="J659" s="11"/>
      <c r="K659" s="11"/>
      <c r="L659" s="11"/>
      <c r="M659" s="11"/>
      <c r="N659" s="11"/>
      <c r="O659" s="11"/>
      <c r="P659" s="11"/>
      <c r="Q659" s="11"/>
      <c r="R659" s="11"/>
      <c r="S659" s="11"/>
      <c r="T659" s="11"/>
      <c r="U659" s="11"/>
      <c r="V659" s="11"/>
      <c r="W659" s="11"/>
      <c r="X659" s="11"/>
      <c r="Y659" s="11"/>
      <c r="Z659" s="11"/>
    </row>
    <row r="660" spans="1:26" ht="14.25" customHeight="1">
      <c r="A660" s="11"/>
      <c r="B660" s="11"/>
      <c r="C660" s="11"/>
      <c r="D660" s="11"/>
      <c r="E660" s="11"/>
      <c r="F660" s="11"/>
      <c r="G660" s="11"/>
      <c r="H660" s="11"/>
      <c r="I660" s="46"/>
      <c r="J660" s="11"/>
      <c r="K660" s="11"/>
      <c r="L660" s="11"/>
      <c r="M660" s="11"/>
      <c r="N660" s="11"/>
      <c r="O660" s="11"/>
      <c r="P660" s="11"/>
      <c r="Q660" s="11"/>
      <c r="R660" s="11"/>
      <c r="S660" s="11"/>
      <c r="T660" s="11"/>
      <c r="U660" s="11"/>
      <c r="V660" s="11"/>
      <c r="W660" s="11"/>
      <c r="X660" s="11"/>
      <c r="Y660" s="11"/>
      <c r="Z660" s="11"/>
    </row>
    <row r="661" spans="1:26" ht="14.25" customHeight="1">
      <c r="A661" s="11"/>
      <c r="B661" s="11"/>
      <c r="C661" s="11"/>
      <c r="D661" s="11"/>
      <c r="E661" s="11"/>
      <c r="F661" s="11"/>
      <c r="G661" s="11"/>
      <c r="H661" s="11"/>
      <c r="I661" s="46"/>
      <c r="J661" s="11"/>
      <c r="K661" s="11"/>
      <c r="L661" s="11"/>
      <c r="M661" s="11"/>
      <c r="N661" s="11"/>
      <c r="O661" s="11"/>
      <c r="P661" s="11"/>
      <c r="Q661" s="11"/>
      <c r="R661" s="11"/>
      <c r="S661" s="11"/>
      <c r="T661" s="11"/>
      <c r="U661" s="11"/>
      <c r="V661" s="11"/>
      <c r="W661" s="11"/>
      <c r="X661" s="11"/>
      <c r="Y661" s="11"/>
      <c r="Z661" s="11"/>
    </row>
    <row r="662" spans="1:26" ht="14.25" customHeight="1">
      <c r="A662" s="11"/>
      <c r="B662" s="11"/>
      <c r="C662" s="11"/>
      <c r="D662" s="11"/>
      <c r="E662" s="11"/>
      <c r="F662" s="11"/>
      <c r="G662" s="11"/>
      <c r="H662" s="11"/>
      <c r="I662" s="46"/>
      <c r="J662" s="11"/>
      <c r="K662" s="11"/>
      <c r="L662" s="11"/>
      <c r="M662" s="11"/>
      <c r="N662" s="11"/>
      <c r="O662" s="11"/>
      <c r="P662" s="11"/>
      <c r="Q662" s="11"/>
      <c r="R662" s="11"/>
      <c r="S662" s="11"/>
      <c r="T662" s="11"/>
      <c r="U662" s="11"/>
      <c r="V662" s="11"/>
      <c r="W662" s="11"/>
      <c r="X662" s="11"/>
      <c r="Y662" s="11"/>
      <c r="Z662" s="11"/>
    </row>
    <row r="663" spans="1:26" ht="14.25" customHeight="1">
      <c r="A663" s="11"/>
      <c r="B663" s="11"/>
      <c r="C663" s="11"/>
      <c r="D663" s="11"/>
      <c r="E663" s="11"/>
      <c r="F663" s="11"/>
      <c r="G663" s="11"/>
      <c r="H663" s="11"/>
      <c r="I663" s="46"/>
      <c r="J663" s="11"/>
      <c r="K663" s="11"/>
      <c r="L663" s="11"/>
      <c r="M663" s="11"/>
      <c r="N663" s="11"/>
      <c r="O663" s="11"/>
      <c r="P663" s="11"/>
      <c r="Q663" s="11"/>
      <c r="R663" s="11"/>
      <c r="S663" s="11"/>
      <c r="T663" s="11"/>
      <c r="U663" s="11"/>
      <c r="V663" s="11"/>
      <c r="W663" s="11"/>
      <c r="X663" s="11"/>
      <c r="Y663" s="11"/>
      <c r="Z663" s="11"/>
    </row>
    <row r="664" spans="1:26" ht="14.25" customHeight="1">
      <c r="A664" s="11"/>
      <c r="B664" s="11"/>
      <c r="C664" s="11"/>
      <c r="D664" s="11"/>
      <c r="E664" s="11"/>
      <c r="F664" s="11"/>
      <c r="G664" s="11"/>
      <c r="H664" s="11"/>
      <c r="I664" s="46"/>
      <c r="J664" s="11"/>
      <c r="K664" s="11"/>
      <c r="L664" s="11"/>
      <c r="M664" s="11"/>
      <c r="N664" s="11"/>
      <c r="O664" s="11"/>
      <c r="P664" s="11"/>
      <c r="Q664" s="11"/>
      <c r="R664" s="11"/>
      <c r="S664" s="11"/>
      <c r="T664" s="11"/>
      <c r="U664" s="11"/>
      <c r="V664" s="11"/>
      <c r="W664" s="11"/>
      <c r="X664" s="11"/>
      <c r="Y664" s="11"/>
      <c r="Z664" s="11"/>
    </row>
    <row r="665" spans="1:26" ht="14.25" customHeight="1">
      <c r="A665" s="11"/>
      <c r="B665" s="11"/>
      <c r="C665" s="11"/>
      <c r="D665" s="11"/>
      <c r="E665" s="11"/>
      <c r="F665" s="11"/>
      <c r="G665" s="11"/>
      <c r="H665" s="11"/>
      <c r="I665" s="46"/>
      <c r="J665" s="11"/>
      <c r="K665" s="11"/>
      <c r="L665" s="11"/>
      <c r="M665" s="11"/>
      <c r="N665" s="11"/>
      <c r="O665" s="11"/>
      <c r="P665" s="11"/>
      <c r="Q665" s="11"/>
      <c r="R665" s="11"/>
      <c r="S665" s="11"/>
      <c r="T665" s="11"/>
      <c r="U665" s="11"/>
      <c r="V665" s="11"/>
      <c r="W665" s="11"/>
      <c r="X665" s="11"/>
      <c r="Y665" s="11"/>
      <c r="Z665" s="11"/>
    </row>
    <row r="666" spans="1:26" ht="14.25" customHeight="1">
      <c r="A666" s="11"/>
      <c r="B666" s="11"/>
      <c r="C666" s="11"/>
      <c r="D666" s="11"/>
      <c r="E666" s="11"/>
      <c r="F666" s="11"/>
      <c r="G666" s="11"/>
      <c r="H666" s="11"/>
      <c r="I666" s="46"/>
      <c r="J666" s="11"/>
      <c r="K666" s="11"/>
      <c r="L666" s="11"/>
      <c r="M666" s="11"/>
      <c r="N666" s="11"/>
      <c r="O666" s="11"/>
      <c r="P666" s="11"/>
      <c r="Q666" s="11"/>
      <c r="R666" s="11"/>
      <c r="S666" s="11"/>
      <c r="T666" s="11"/>
      <c r="U666" s="11"/>
      <c r="V666" s="11"/>
      <c r="W666" s="11"/>
      <c r="X666" s="11"/>
      <c r="Y666" s="11"/>
      <c r="Z666" s="11"/>
    </row>
    <row r="667" spans="1:26" ht="14.25" customHeight="1">
      <c r="A667" s="11"/>
      <c r="B667" s="11"/>
      <c r="C667" s="11"/>
      <c r="D667" s="11"/>
      <c r="E667" s="11"/>
      <c r="F667" s="11"/>
      <c r="G667" s="11"/>
      <c r="H667" s="11"/>
      <c r="I667" s="46"/>
      <c r="J667" s="11"/>
      <c r="K667" s="11"/>
      <c r="L667" s="11"/>
      <c r="M667" s="11"/>
      <c r="N667" s="11"/>
      <c r="O667" s="11"/>
      <c r="P667" s="11"/>
      <c r="Q667" s="11"/>
      <c r="R667" s="11"/>
      <c r="S667" s="11"/>
      <c r="T667" s="11"/>
      <c r="U667" s="11"/>
      <c r="V667" s="11"/>
      <c r="W667" s="11"/>
      <c r="X667" s="11"/>
      <c r="Y667" s="11"/>
      <c r="Z667" s="11"/>
    </row>
    <row r="668" spans="1:26" ht="14.25" customHeight="1">
      <c r="A668" s="11"/>
      <c r="B668" s="11"/>
      <c r="C668" s="11"/>
      <c r="D668" s="11"/>
      <c r="E668" s="11"/>
      <c r="F668" s="11"/>
      <c r="G668" s="11"/>
      <c r="H668" s="11"/>
      <c r="I668" s="46"/>
      <c r="J668" s="11"/>
      <c r="K668" s="11"/>
      <c r="L668" s="11"/>
      <c r="M668" s="11"/>
      <c r="N668" s="11"/>
      <c r="O668" s="11"/>
      <c r="P668" s="11"/>
      <c r="Q668" s="11"/>
      <c r="R668" s="11"/>
      <c r="S668" s="11"/>
      <c r="T668" s="11"/>
      <c r="U668" s="11"/>
      <c r="V668" s="11"/>
      <c r="W668" s="11"/>
      <c r="X668" s="11"/>
      <c r="Y668" s="11"/>
      <c r="Z668" s="11"/>
    </row>
    <row r="669" spans="1:26" ht="14.25" customHeight="1">
      <c r="A669" s="11"/>
      <c r="B669" s="11"/>
      <c r="C669" s="11"/>
      <c r="D669" s="11"/>
      <c r="E669" s="11"/>
      <c r="F669" s="11"/>
      <c r="G669" s="11"/>
      <c r="H669" s="11"/>
      <c r="I669" s="46"/>
      <c r="J669" s="11"/>
      <c r="K669" s="11"/>
      <c r="L669" s="11"/>
      <c r="M669" s="11"/>
      <c r="N669" s="11"/>
      <c r="O669" s="11"/>
      <c r="P669" s="11"/>
      <c r="Q669" s="11"/>
      <c r="R669" s="11"/>
      <c r="S669" s="11"/>
      <c r="T669" s="11"/>
      <c r="U669" s="11"/>
      <c r="V669" s="11"/>
      <c r="W669" s="11"/>
      <c r="X669" s="11"/>
      <c r="Y669" s="11"/>
      <c r="Z669" s="11"/>
    </row>
    <row r="670" spans="1:26" ht="14.25" customHeight="1">
      <c r="A670" s="11"/>
      <c r="B670" s="11"/>
      <c r="C670" s="11"/>
      <c r="D670" s="11"/>
      <c r="E670" s="11"/>
      <c r="F670" s="11"/>
      <c r="G670" s="11"/>
      <c r="H670" s="11"/>
      <c r="I670" s="46"/>
      <c r="J670" s="11"/>
      <c r="K670" s="11"/>
      <c r="L670" s="11"/>
      <c r="M670" s="11"/>
      <c r="N670" s="11"/>
      <c r="O670" s="11"/>
      <c r="P670" s="11"/>
      <c r="Q670" s="11"/>
      <c r="R670" s="11"/>
      <c r="S670" s="11"/>
      <c r="T670" s="11"/>
      <c r="U670" s="11"/>
      <c r="V670" s="11"/>
      <c r="W670" s="11"/>
      <c r="X670" s="11"/>
      <c r="Y670" s="11"/>
      <c r="Z670" s="11"/>
    </row>
    <row r="671" spans="1:26" ht="14.25" customHeight="1">
      <c r="A671" s="11"/>
      <c r="B671" s="11"/>
      <c r="C671" s="11"/>
      <c r="D671" s="11"/>
      <c r="E671" s="11"/>
      <c r="F671" s="11"/>
      <c r="G671" s="11"/>
      <c r="H671" s="11"/>
      <c r="I671" s="46"/>
      <c r="J671" s="11"/>
      <c r="K671" s="11"/>
      <c r="L671" s="11"/>
      <c r="M671" s="11"/>
      <c r="N671" s="11"/>
      <c r="O671" s="11"/>
      <c r="P671" s="11"/>
      <c r="Q671" s="11"/>
      <c r="R671" s="11"/>
      <c r="S671" s="11"/>
      <c r="T671" s="11"/>
      <c r="U671" s="11"/>
      <c r="V671" s="11"/>
      <c r="W671" s="11"/>
      <c r="X671" s="11"/>
      <c r="Y671" s="11"/>
      <c r="Z671" s="11"/>
    </row>
    <row r="672" spans="1:26" ht="14.25" customHeight="1">
      <c r="A672" s="11"/>
      <c r="B672" s="11"/>
      <c r="C672" s="11"/>
      <c r="D672" s="11"/>
      <c r="E672" s="11"/>
      <c r="F672" s="11"/>
      <c r="G672" s="11"/>
      <c r="H672" s="11"/>
      <c r="I672" s="46"/>
      <c r="J672" s="11"/>
      <c r="K672" s="11"/>
      <c r="L672" s="11"/>
      <c r="M672" s="11"/>
      <c r="N672" s="11"/>
      <c r="O672" s="11"/>
      <c r="P672" s="11"/>
      <c r="Q672" s="11"/>
      <c r="R672" s="11"/>
      <c r="S672" s="11"/>
      <c r="T672" s="11"/>
      <c r="U672" s="11"/>
      <c r="V672" s="11"/>
      <c r="W672" s="11"/>
      <c r="X672" s="11"/>
      <c r="Y672" s="11"/>
      <c r="Z672" s="11"/>
    </row>
    <row r="673" spans="1:26" ht="14.25" customHeight="1">
      <c r="A673" s="11"/>
      <c r="B673" s="11"/>
      <c r="C673" s="11"/>
      <c r="D673" s="11"/>
      <c r="E673" s="11"/>
      <c r="F673" s="11"/>
      <c r="G673" s="11"/>
      <c r="H673" s="11"/>
      <c r="I673" s="46"/>
      <c r="J673" s="11"/>
      <c r="K673" s="11"/>
      <c r="L673" s="11"/>
      <c r="M673" s="11"/>
      <c r="N673" s="11"/>
      <c r="O673" s="11"/>
      <c r="P673" s="11"/>
      <c r="Q673" s="11"/>
      <c r="R673" s="11"/>
      <c r="S673" s="11"/>
      <c r="T673" s="11"/>
      <c r="U673" s="11"/>
      <c r="V673" s="11"/>
      <c r="W673" s="11"/>
      <c r="X673" s="11"/>
      <c r="Y673" s="11"/>
      <c r="Z673" s="11"/>
    </row>
    <row r="674" spans="1:26" ht="14.25" customHeight="1">
      <c r="A674" s="11"/>
      <c r="B674" s="11"/>
      <c r="C674" s="11"/>
      <c r="D674" s="11"/>
      <c r="E674" s="11"/>
      <c r="F674" s="11"/>
      <c r="G674" s="11"/>
      <c r="H674" s="11"/>
      <c r="I674" s="46"/>
      <c r="J674" s="11"/>
      <c r="K674" s="11"/>
      <c r="L674" s="11"/>
      <c r="M674" s="11"/>
      <c r="N674" s="11"/>
      <c r="O674" s="11"/>
      <c r="P674" s="11"/>
      <c r="Q674" s="11"/>
      <c r="R674" s="11"/>
      <c r="S674" s="11"/>
      <c r="T674" s="11"/>
      <c r="U674" s="11"/>
      <c r="V674" s="11"/>
      <c r="W674" s="11"/>
      <c r="X674" s="11"/>
      <c r="Y674" s="11"/>
      <c r="Z674" s="11"/>
    </row>
    <row r="675" spans="1:26" ht="14.25" customHeight="1">
      <c r="A675" s="11"/>
      <c r="B675" s="11"/>
      <c r="C675" s="11"/>
      <c r="D675" s="11"/>
      <c r="E675" s="11"/>
      <c r="F675" s="11"/>
      <c r="G675" s="11"/>
      <c r="H675" s="11"/>
      <c r="I675" s="46"/>
      <c r="J675" s="11"/>
      <c r="K675" s="11"/>
      <c r="L675" s="11"/>
      <c r="M675" s="11"/>
      <c r="N675" s="11"/>
      <c r="O675" s="11"/>
      <c r="P675" s="11"/>
      <c r="Q675" s="11"/>
      <c r="R675" s="11"/>
      <c r="S675" s="11"/>
      <c r="T675" s="11"/>
      <c r="U675" s="11"/>
      <c r="V675" s="11"/>
      <c r="W675" s="11"/>
      <c r="X675" s="11"/>
      <c r="Y675" s="11"/>
      <c r="Z675" s="11"/>
    </row>
    <row r="676" spans="1:26" ht="14.25" customHeight="1">
      <c r="A676" s="11"/>
      <c r="B676" s="11"/>
      <c r="C676" s="11"/>
      <c r="D676" s="11"/>
      <c r="E676" s="11"/>
      <c r="F676" s="11"/>
      <c r="G676" s="11"/>
      <c r="H676" s="11"/>
      <c r="I676" s="46"/>
      <c r="J676" s="11"/>
      <c r="K676" s="11"/>
      <c r="L676" s="11"/>
      <c r="M676" s="11"/>
      <c r="N676" s="11"/>
      <c r="O676" s="11"/>
      <c r="P676" s="11"/>
      <c r="Q676" s="11"/>
      <c r="R676" s="11"/>
      <c r="S676" s="11"/>
      <c r="T676" s="11"/>
      <c r="U676" s="11"/>
      <c r="V676" s="11"/>
      <c r="W676" s="11"/>
      <c r="X676" s="11"/>
      <c r="Y676" s="11"/>
      <c r="Z676" s="11"/>
    </row>
    <row r="677" spans="1:26" ht="14.25" customHeight="1">
      <c r="A677" s="11"/>
      <c r="B677" s="11"/>
      <c r="C677" s="11"/>
      <c r="D677" s="11"/>
      <c r="E677" s="11"/>
      <c r="F677" s="11"/>
      <c r="G677" s="11"/>
      <c r="H677" s="11"/>
      <c r="I677" s="46"/>
      <c r="J677" s="11"/>
      <c r="K677" s="11"/>
      <c r="L677" s="11"/>
      <c r="M677" s="11"/>
      <c r="N677" s="11"/>
      <c r="O677" s="11"/>
      <c r="P677" s="11"/>
      <c r="Q677" s="11"/>
      <c r="R677" s="11"/>
      <c r="S677" s="11"/>
      <c r="T677" s="11"/>
      <c r="U677" s="11"/>
      <c r="V677" s="11"/>
      <c r="W677" s="11"/>
      <c r="X677" s="11"/>
      <c r="Y677" s="11"/>
      <c r="Z677" s="11"/>
    </row>
    <row r="678" spans="1:26" ht="14.25" customHeight="1">
      <c r="A678" s="11"/>
      <c r="B678" s="11"/>
      <c r="C678" s="11"/>
      <c r="D678" s="11"/>
      <c r="E678" s="11"/>
      <c r="F678" s="11"/>
      <c r="G678" s="11"/>
      <c r="H678" s="11"/>
      <c r="I678" s="46"/>
      <c r="J678" s="11"/>
      <c r="K678" s="11"/>
      <c r="L678" s="11"/>
      <c r="M678" s="11"/>
      <c r="N678" s="11"/>
      <c r="O678" s="11"/>
      <c r="P678" s="11"/>
      <c r="Q678" s="11"/>
      <c r="R678" s="11"/>
      <c r="S678" s="11"/>
      <c r="T678" s="11"/>
      <c r="U678" s="11"/>
      <c r="V678" s="11"/>
      <c r="W678" s="11"/>
      <c r="X678" s="11"/>
      <c r="Y678" s="11"/>
      <c r="Z678" s="11"/>
    </row>
    <row r="679" spans="1:26" ht="14.25" customHeight="1">
      <c r="A679" s="11"/>
      <c r="B679" s="11"/>
      <c r="C679" s="11"/>
      <c r="D679" s="11"/>
      <c r="E679" s="11"/>
      <c r="F679" s="11"/>
      <c r="G679" s="11"/>
      <c r="H679" s="11"/>
      <c r="I679" s="46"/>
      <c r="J679" s="11"/>
      <c r="K679" s="11"/>
      <c r="L679" s="11"/>
      <c r="M679" s="11"/>
      <c r="N679" s="11"/>
      <c r="O679" s="11"/>
      <c r="P679" s="11"/>
      <c r="Q679" s="11"/>
      <c r="R679" s="11"/>
      <c r="S679" s="11"/>
      <c r="T679" s="11"/>
      <c r="U679" s="11"/>
      <c r="V679" s="11"/>
      <c r="W679" s="11"/>
      <c r="X679" s="11"/>
      <c r="Y679" s="11"/>
      <c r="Z679" s="11"/>
    </row>
    <row r="680" spans="1:26" ht="14.25" customHeight="1">
      <c r="A680" s="11"/>
      <c r="B680" s="11"/>
      <c r="C680" s="11"/>
      <c r="D680" s="11"/>
      <c r="E680" s="11"/>
      <c r="F680" s="11"/>
      <c r="G680" s="11"/>
      <c r="H680" s="11"/>
      <c r="I680" s="46"/>
      <c r="J680" s="11"/>
      <c r="K680" s="11"/>
      <c r="L680" s="11"/>
      <c r="M680" s="11"/>
      <c r="N680" s="11"/>
      <c r="O680" s="11"/>
      <c r="P680" s="11"/>
      <c r="Q680" s="11"/>
      <c r="R680" s="11"/>
      <c r="S680" s="11"/>
      <c r="T680" s="11"/>
      <c r="U680" s="11"/>
      <c r="V680" s="11"/>
      <c r="W680" s="11"/>
      <c r="X680" s="11"/>
      <c r="Y680" s="11"/>
      <c r="Z680" s="11"/>
    </row>
    <row r="681" spans="1:26" ht="14.25" customHeight="1">
      <c r="A681" s="11"/>
      <c r="B681" s="11"/>
      <c r="C681" s="11"/>
      <c r="D681" s="11"/>
      <c r="E681" s="11"/>
      <c r="F681" s="11"/>
      <c r="G681" s="11"/>
      <c r="H681" s="11"/>
      <c r="I681" s="46"/>
      <c r="J681" s="11"/>
      <c r="K681" s="11"/>
      <c r="L681" s="11"/>
      <c r="M681" s="11"/>
      <c r="N681" s="11"/>
      <c r="O681" s="11"/>
      <c r="P681" s="11"/>
      <c r="Q681" s="11"/>
      <c r="R681" s="11"/>
      <c r="S681" s="11"/>
      <c r="T681" s="11"/>
      <c r="U681" s="11"/>
      <c r="V681" s="11"/>
      <c r="W681" s="11"/>
      <c r="X681" s="11"/>
      <c r="Y681" s="11"/>
      <c r="Z681" s="11"/>
    </row>
    <row r="682" spans="1:26" ht="14.25" customHeight="1">
      <c r="A682" s="11"/>
      <c r="B682" s="11"/>
      <c r="C682" s="11"/>
      <c r="D682" s="11"/>
      <c r="E682" s="11"/>
      <c r="F682" s="11"/>
      <c r="G682" s="11"/>
      <c r="H682" s="11"/>
      <c r="I682" s="46"/>
      <c r="J682" s="11"/>
      <c r="K682" s="11"/>
      <c r="L682" s="11"/>
      <c r="M682" s="11"/>
      <c r="N682" s="11"/>
      <c r="O682" s="11"/>
      <c r="P682" s="11"/>
      <c r="Q682" s="11"/>
      <c r="R682" s="11"/>
      <c r="S682" s="11"/>
      <c r="T682" s="11"/>
      <c r="U682" s="11"/>
      <c r="V682" s="11"/>
      <c r="W682" s="11"/>
      <c r="X682" s="11"/>
      <c r="Y682" s="11"/>
      <c r="Z682" s="11"/>
    </row>
    <row r="683" spans="1:26" ht="14.25" customHeight="1">
      <c r="A683" s="11"/>
      <c r="B683" s="11"/>
      <c r="C683" s="11"/>
      <c r="D683" s="11"/>
      <c r="E683" s="11"/>
      <c r="F683" s="11"/>
      <c r="G683" s="11"/>
      <c r="H683" s="11"/>
      <c r="I683" s="46"/>
      <c r="J683" s="11"/>
      <c r="K683" s="11"/>
      <c r="L683" s="11"/>
      <c r="M683" s="11"/>
      <c r="N683" s="11"/>
      <c r="O683" s="11"/>
      <c r="P683" s="11"/>
      <c r="Q683" s="11"/>
      <c r="R683" s="11"/>
      <c r="S683" s="11"/>
      <c r="T683" s="11"/>
      <c r="U683" s="11"/>
      <c r="V683" s="11"/>
      <c r="W683" s="11"/>
      <c r="X683" s="11"/>
      <c r="Y683" s="11"/>
      <c r="Z683" s="11"/>
    </row>
    <row r="684" spans="1:26" ht="14.25" customHeight="1">
      <c r="A684" s="11"/>
      <c r="B684" s="11"/>
      <c r="C684" s="11"/>
      <c r="D684" s="11"/>
      <c r="E684" s="11"/>
      <c r="F684" s="11"/>
      <c r="G684" s="11"/>
      <c r="H684" s="11"/>
      <c r="I684" s="46"/>
      <c r="J684" s="11"/>
      <c r="K684" s="11"/>
      <c r="L684" s="11"/>
      <c r="M684" s="11"/>
      <c r="N684" s="11"/>
      <c r="O684" s="11"/>
      <c r="P684" s="11"/>
      <c r="Q684" s="11"/>
      <c r="R684" s="11"/>
      <c r="S684" s="11"/>
      <c r="T684" s="11"/>
      <c r="U684" s="11"/>
      <c r="V684" s="11"/>
      <c r="W684" s="11"/>
      <c r="X684" s="11"/>
      <c r="Y684" s="11"/>
      <c r="Z684" s="11"/>
    </row>
    <row r="685" spans="1:26" ht="14.25" customHeight="1">
      <c r="A685" s="11"/>
      <c r="B685" s="11"/>
      <c r="C685" s="11"/>
      <c r="D685" s="11"/>
      <c r="E685" s="11"/>
      <c r="F685" s="11"/>
      <c r="G685" s="11"/>
      <c r="H685" s="11"/>
      <c r="I685" s="46"/>
      <c r="J685" s="11"/>
      <c r="K685" s="11"/>
      <c r="L685" s="11"/>
      <c r="M685" s="11"/>
      <c r="N685" s="11"/>
      <c r="O685" s="11"/>
      <c r="P685" s="11"/>
      <c r="Q685" s="11"/>
      <c r="R685" s="11"/>
      <c r="S685" s="11"/>
      <c r="T685" s="11"/>
      <c r="U685" s="11"/>
      <c r="V685" s="11"/>
      <c r="W685" s="11"/>
      <c r="X685" s="11"/>
      <c r="Y685" s="11"/>
      <c r="Z685" s="11"/>
    </row>
    <row r="686" spans="1:26" ht="14.25" customHeight="1">
      <c r="A686" s="11"/>
      <c r="B686" s="11"/>
      <c r="C686" s="11"/>
      <c r="D686" s="11"/>
      <c r="E686" s="11"/>
      <c r="F686" s="11"/>
      <c r="G686" s="11"/>
      <c r="H686" s="11"/>
      <c r="I686" s="46"/>
      <c r="J686" s="11"/>
      <c r="K686" s="11"/>
      <c r="L686" s="11"/>
      <c r="M686" s="11"/>
      <c r="N686" s="11"/>
      <c r="O686" s="11"/>
      <c r="P686" s="11"/>
      <c r="Q686" s="11"/>
      <c r="R686" s="11"/>
      <c r="S686" s="11"/>
      <c r="T686" s="11"/>
      <c r="U686" s="11"/>
      <c r="V686" s="11"/>
      <c r="W686" s="11"/>
      <c r="X686" s="11"/>
      <c r="Y686" s="11"/>
      <c r="Z686" s="11"/>
    </row>
    <row r="687" spans="1:26" ht="14.25" customHeight="1">
      <c r="A687" s="11"/>
      <c r="B687" s="11"/>
      <c r="C687" s="11"/>
      <c r="D687" s="11"/>
      <c r="E687" s="11"/>
      <c r="F687" s="11"/>
      <c r="G687" s="11"/>
      <c r="H687" s="11"/>
      <c r="I687" s="46"/>
      <c r="J687" s="11"/>
      <c r="K687" s="11"/>
      <c r="L687" s="11"/>
      <c r="M687" s="11"/>
      <c r="N687" s="11"/>
      <c r="O687" s="11"/>
      <c r="P687" s="11"/>
      <c r="Q687" s="11"/>
      <c r="R687" s="11"/>
      <c r="S687" s="11"/>
      <c r="T687" s="11"/>
      <c r="U687" s="11"/>
      <c r="V687" s="11"/>
      <c r="W687" s="11"/>
      <c r="X687" s="11"/>
      <c r="Y687" s="11"/>
      <c r="Z687" s="11"/>
    </row>
    <row r="688" spans="1:26" ht="14.25" customHeight="1">
      <c r="A688" s="11"/>
      <c r="B688" s="11"/>
      <c r="C688" s="11"/>
      <c r="D688" s="11"/>
      <c r="E688" s="11"/>
      <c r="F688" s="11"/>
      <c r="G688" s="11"/>
      <c r="H688" s="11"/>
      <c r="I688" s="46"/>
      <c r="J688" s="11"/>
      <c r="K688" s="11"/>
      <c r="L688" s="11"/>
      <c r="M688" s="11"/>
      <c r="N688" s="11"/>
      <c r="O688" s="11"/>
      <c r="P688" s="11"/>
      <c r="Q688" s="11"/>
      <c r="R688" s="11"/>
      <c r="S688" s="11"/>
      <c r="T688" s="11"/>
      <c r="U688" s="11"/>
      <c r="V688" s="11"/>
      <c r="W688" s="11"/>
      <c r="X688" s="11"/>
      <c r="Y688" s="11"/>
      <c r="Z688" s="11"/>
    </row>
    <row r="689" spans="1:26" ht="14.25" customHeight="1">
      <c r="A689" s="11"/>
      <c r="B689" s="11"/>
      <c r="C689" s="11"/>
      <c r="D689" s="11"/>
      <c r="E689" s="11"/>
      <c r="F689" s="11"/>
      <c r="G689" s="11"/>
      <c r="H689" s="11"/>
      <c r="I689" s="46"/>
      <c r="J689" s="11"/>
      <c r="K689" s="11"/>
      <c r="L689" s="11"/>
      <c r="M689" s="11"/>
      <c r="N689" s="11"/>
      <c r="O689" s="11"/>
      <c r="P689" s="11"/>
      <c r="Q689" s="11"/>
      <c r="R689" s="11"/>
      <c r="S689" s="11"/>
      <c r="T689" s="11"/>
      <c r="U689" s="11"/>
      <c r="V689" s="11"/>
      <c r="W689" s="11"/>
      <c r="X689" s="11"/>
      <c r="Y689" s="11"/>
      <c r="Z689" s="11"/>
    </row>
    <row r="690" spans="1:26" ht="14.25" customHeight="1">
      <c r="A690" s="11"/>
      <c r="B690" s="11"/>
      <c r="C690" s="11"/>
      <c r="D690" s="11"/>
      <c r="E690" s="11"/>
      <c r="F690" s="11"/>
      <c r="G690" s="11"/>
      <c r="H690" s="11"/>
      <c r="I690" s="46"/>
      <c r="J690" s="11"/>
      <c r="K690" s="11"/>
      <c r="L690" s="11"/>
      <c r="M690" s="11"/>
      <c r="N690" s="11"/>
      <c r="O690" s="11"/>
      <c r="P690" s="11"/>
      <c r="Q690" s="11"/>
      <c r="R690" s="11"/>
      <c r="S690" s="11"/>
      <c r="T690" s="11"/>
      <c r="U690" s="11"/>
      <c r="V690" s="11"/>
      <c r="W690" s="11"/>
      <c r="X690" s="11"/>
      <c r="Y690" s="11"/>
      <c r="Z690" s="11"/>
    </row>
    <row r="691" spans="1:26" ht="14.25" customHeight="1">
      <c r="A691" s="11"/>
      <c r="B691" s="11"/>
      <c r="C691" s="11"/>
      <c r="D691" s="11"/>
      <c r="E691" s="11"/>
      <c r="F691" s="11"/>
      <c r="G691" s="11"/>
      <c r="H691" s="11"/>
      <c r="I691" s="46"/>
      <c r="J691" s="11"/>
      <c r="K691" s="11"/>
      <c r="L691" s="11"/>
      <c r="M691" s="11"/>
      <c r="N691" s="11"/>
      <c r="O691" s="11"/>
      <c r="P691" s="11"/>
      <c r="Q691" s="11"/>
      <c r="R691" s="11"/>
      <c r="S691" s="11"/>
      <c r="T691" s="11"/>
      <c r="U691" s="11"/>
      <c r="V691" s="11"/>
      <c r="W691" s="11"/>
      <c r="X691" s="11"/>
      <c r="Y691" s="11"/>
      <c r="Z691" s="11"/>
    </row>
    <row r="692" spans="1:26" ht="14.25" customHeight="1">
      <c r="A692" s="11"/>
      <c r="B692" s="11"/>
      <c r="C692" s="11"/>
      <c r="D692" s="11"/>
      <c r="E692" s="11"/>
      <c r="F692" s="11"/>
      <c r="G692" s="11"/>
      <c r="H692" s="11"/>
      <c r="I692" s="46"/>
      <c r="J692" s="11"/>
      <c r="K692" s="11"/>
      <c r="L692" s="11"/>
      <c r="M692" s="11"/>
      <c r="N692" s="11"/>
      <c r="O692" s="11"/>
      <c r="P692" s="11"/>
      <c r="Q692" s="11"/>
      <c r="R692" s="11"/>
      <c r="S692" s="11"/>
      <c r="T692" s="11"/>
      <c r="U692" s="11"/>
      <c r="V692" s="11"/>
      <c r="W692" s="11"/>
      <c r="X692" s="11"/>
      <c r="Y692" s="11"/>
      <c r="Z692" s="11"/>
    </row>
    <row r="693" spans="1:26" ht="14.25" customHeight="1">
      <c r="A693" s="11"/>
      <c r="B693" s="11"/>
      <c r="C693" s="11"/>
      <c r="D693" s="11"/>
      <c r="E693" s="11"/>
      <c r="F693" s="11"/>
      <c r="G693" s="11"/>
      <c r="H693" s="11"/>
      <c r="I693" s="46"/>
      <c r="J693" s="11"/>
      <c r="K693" s="11"/>
      <c r="L693" s="11"/>
      <c r="M693" s="11"/>
      <c r="N693" s="11"/>
      <c r="O693" s="11"/>
      <c r="P693" s="11"/>
      <c r="Q693" s="11"/>
      <c r="R693" s="11"/>
      <c r="S693" s="11"/>
      <c r="T693" s="11"/>
      <c r="U693" s="11"/>
      <c r="V693" s="11"/>
      <c r="W693" s="11"/>
      <c r="X693" s="11"/>
      <c r="Y693" s="11"/>
      <c r="Z693" s="11"/>
    </row>
    <row r="694" spans="1:26" ht="14.25" customHeight="1">
      <c r="A694" s="11"/>
      <c r="B694" s="11"/>
      <c r="C694" s="11"/>
      <c r="D694" s="11"/>
      <c r="E694" s="11"/>
      <c r="F694" s="11"/>
      <c r="G694" s="11"/>
      <c r="H694" s="11"/>
      <c r="I694" s="46"/>
      <c r="J694" s="11"/>
      <c r="K694" s="11"/>
      <c r="L694" s="11"/>
      <c r="M694" s="11"/>
      <c r="N694" s="11"/>
      <c r="O694" s="11"/>
      <c r="P694" s="11"/>
      <c r="Q694" s="11"/>
      <c r="R694" s="11"/>
      <c r="S694" s="11"/>
      <c r="T694" s="11"/>
      <c r="U694" s="11"/>
      <c r="V694" s="11"/>
      <c r="W694" s="11"/>
      <c r="X694" s="11"/>
      <c r="Y694" s="11"/>
      <c r="Z694" s="11"/>
    </row>
    <row r="695" spans="1:26" ht="14.25" customHeight="1">
      <c r="A695" s="11"/>
      <c r="B695" s="11"/>
      <c r="C695" s="11"/>
      <c r="D695" s="11"/>
      <c r="E695" s="11"/>
      <c r="F695" s="11"/>
      <c r="G695" s="11"/>
      <c r="H695" s="11"/>
      <c r="I695" s="46"/>
      <c r="J695" s="11"/>
      <c r="K695" s="11"/>
      <c r="L695" s="11"/>
      <c r="M695" s="11"/>
      <c r="N695" s="11"/>
      <c r="O695" s="11"/>
      <c r="P695" s="11"/>
      <c r="Q695" s="11"/>
      <c r="R695" s="11"/>
      <c r="S695" s="11"/>
      <c r="T695" s="11"/>
      <c r="U695" s="11"/>
      <c r="V695" s="11"/>
      <c r="W695" s="11"/>
      <c r="X695" s="11"/>
      <c r="Y695" s="11"/>
      <c r="Z695" s="11"/>
    </row>
    <row r="696" spans="1:26" ht="14.25" customHeight="1">
      <c r="A696" s="11"/>
      <c r="B696" s="11"/>
      <c r="C696" s="11"/>
      <c r="D696" s="11"/>
      <c r="E696" s="11"/>
      <c r="F696" s="11"/>
      <c r="G696" s="11"/>
      <c r="H696" s="11"/>
      <c r="I696" s="46"/>
      <c r="J696" s="11"/>
      <c r="K696" s="11"/>
      <c r="L696" s="11"/>
      <c r="M696" s="11"/>
      <c r="N696" s="11"/>
      <c r="O696" s="11"/>
      <c r="P696" s="11"/>
      <c r="Q696" s="11"/>
      <c r="R696" s="11"/>
      <c r="S696" s="11"/>
      <c r="T696" s="11"/>
      <c r="U696" s="11"/>
      <c r="V696" s="11"/>
      <c r="W696" s="11"/>
      <c r="X696" s="11"/>
      <c r="Y696" s="11"/>
      <c r="Z696" s="11"/>
    </row>
    <row r="697" spans="1:26" ht="14.25" customHeight="1">
      <c r="A697" s="11"/>
      <c r="B697" s="11"/>
      <c r="C697" s="11"/>
      <c r="D697" s="11"/>
      <c r="E697" s="11"/>
      <c r="F697" s="11"/>
      <c r="G697" s="11"/>
      <c r="H697" s="11"/>
      <c r="I697" s="46"/>
      <c r="J697" s="11"/>
      <c r="K697" s="11"/>
      <c r="L697" s="11"/>
      <c r="M697" s="11"/>
      <c r="N697" s="11"/>
      <c r="O697" s="11"/>
      <c r="P697" s="11"/>
      <c r="Q697" s="11"/>
      <c r="R697" s="11"/>
      <c r="S697" s="11"/>
      <c r="T697" s="11"/>
      <c r="U697" s="11"/>
      <c r="V697" s="11"/>
      <c r="W697" s="11"/>
      <c r="X697" s="11"/>
      <c r="Y697" s="11"/>
      <c r="Z697" s="11"/>
    </row>
    <row r="698" spans="1:26" ht="14.25" customHeight="1">
      <c r="A698" s="11"/>
      <c r="B698" s="11"/>
      <c r="C698" s="11"/>
      <c r="D698" s="11"/>
      <c r="E698" s="11"/>
      <c r="F698" s="11"/>
      <c r="G698" s="11"/>
      <c r="H698" s="11"/>
      <c r="I698" s="46"/>
      <c r="J698" s="11"/>
      <c r="K698" s="11"/>
      <c r="L698" s="11"/>
      <c r="M698" s="11"/>
      <c r="N698" s="11"/>
      <c r="O698" s="11"/>
      <c r="P698" s="11"/>
      <c r="Q698" s="11"/>
      <c r="R698" s="11"/>
      <c r="S698" s="11"/>
      <c r="T698" s="11"/>
      <c r="U698" s="11"/>
      <c r="V698" s="11"/>
      <c r="W698" s="11"/>
      <c r="X698" s="11"/>
      <c r="Y698" s="11"/>
      <c r="Z698" s="11"/>
    </row>
    <row r="699" spans="1:26" ht="14.25" customHeight="1">
      <c r="A699" s="11"/>
      <c r="B699" s="11"/>
      <c r="C699" s="11"/>
      <c r="D699" s="11"/>
      <c r="E699" s="11"/>
      <c r="F699" s="11"/>
      <c r="G699" s="11"/>
      <c r="H699" s="11"/>
      <c r="I699" s="46"/>
      <c r="J699" s="11"/>
      <c r="K699" s="11"/>
      <c r="L699" s="11"/>
      <c r="M699" s="11"/>
      <c r="N699" s="11"/>
      <c r="O699" s="11"/>
      <c r="P699" s="11"/>
      <c r="Q699" s="11"/>
      <c r="R699" s="11"/>
      <c r="S699" s="11"/>
      <c r="T699" s="11"/>
      <c r="U699" s="11"/>
      <c r="V699" s="11"/>
      <c r="W699" s="11"/>
      <c r="X699" s="11"/>
      <c r="Y699" s="11"/>
      <c r="Z699" s="11"/>
    </row>
    <row r="700" spans="1:26" ht="14.25" customHeight="1">
      <c r="A700" s="11"/>
      <c r="B700" s="11"/>
      <c r="C700" s="11"/>
      <c r="D700" s="11"/>
      <c r="E700" s="11"/>
      <c r="F700" s="11"/>
      <c r="G700" s="11"/>
      <c r="H700" s="11"/>
      <c r="I700" s="46"/>
      <c r="J700" s="11"/>
      <c r="K700" s="11"/>
      <c r="L700" s="11"/>
      <c r="M700" s="11"/>
      <c r="N700" s="11"/>
      <c r="O700" s="11"/>
      <c r="P700" s="11"/>
      <c r="Q700" s="11"/>
      <c r="R700" s="11"/>
      <c r="S700" s="11"/>
      <c r="T700" s="11"/>
      <c r="U700" s="11"/>
      <c r="V700" s="11"/>
      <c r="W700" s="11"/>
      <c r="X700" s="11"/>
      <c r="Y700" s="11"/>
      <c r="Z700" s="11"/>
    </row>
    <row r="701" spans="1:26" ht="14.25" customHeight="1">
      <c r="A701" s="11"/>
      <c r="B701" s="11"/>
      <c r="C701" s="11"/>
      <c r="D701" s="11"/>
      <c r="E701" s="11"/>
      <c r="F701" s="11"/>
      <c r="G701" s="11"/>
      <c r="H701" s="11"/>
      <c r="I701" s="46"/>
      <c r="J701" s="11"/>
      <c r="K701" s="11"/>
      <c r="L701" s="11"/>
      <c r="M701" s="11"/>
      <c r="N701" s="11"/>
      <c r="O701" s="11"/>
      <c r="P701" s="11"/>
      <c r="Q701" s="11"/>
      <c r="R701" s="11"/>
      <c r="S701" s="11"/>
      <c r="T701" s="11"/>
      <c r="U701" s="11"/>
      <c r="V701" s="11"/>
      <c r="W701" s="11"/>
      <c r="X701" s="11"/>
      <c r="Y701" s="11"/>
      <c r="Z701" s="11"/>
    </row>
    <row r="702" spans="1:26" ht="14.25" customHeight="1">
      <c r="A702" s="11"/>
      <c r="B702" s="11"/>
      <c r="C702" s="11"/>
      <c r="D702" s="11"/>
      <c r="E702" s="11"/>
      <c r="F702" s="11"/>
      <c r="G702" s="11"/>
      <c r="H702" s="11"/>
      <c r="I702" s="46"/>
      <c r="J702" s="11"/>
      <c r="K702" s="11"/>
      <c r="L702" s="11"/>
      <c r="M702" s="11"/>
      <c r="N702" s="11"/>
      <c r="O702" s="11"/>
      <c r="P702" s="11"/>
      <c r="Q702" s="11"/>
      <c r="R702" s="11"/>
      <c r="S702" s="11"/>
      <c r="T702" s="11"/>
      <c r="U702" s="11"/>
      <c r="V702" s="11"/>
      <c r="W702" s="11"/>
      <c r="X702" s="11"/>
      <c r="Y702" s="11"/>
      <c r="Z702" s="11"/>
    </row>
    <row r="703" spans="1:26" ht="14.25" customHeight="1">
      <c r="A703" s="11"/>
      <c r="B703" s="11"/>
      <c r="C703" s="11"/>
      <c r="D703" s="11"/>
      <c r="E703" s="11"/>
      <c r="F703" s="11"/>
      <c r="G703" s="11"/>
      <c r="H703" s="11"/>
      <c r="I703" s="46"/>
      <c r="J703" s="11"/>
      <c r="K703" s="11"/>
      <c r="L703" s="11"/>
      <c r="M703" s="11"/>
      <c r="N703" s="11"/>
      <c r="O703" s="11"/>
      <c r="P703" s="11"/>
      <c r="Q703" s="11"/>
      <c r="R703" s="11"/>
      <c r="S703" s="11"/>
      <c r="T703" s="11"/>
      <c r="U703" s="11"/>
      <c r="V703" s="11"/>
      <c r="W703" s="11"/>
      <c r="X703" s="11"/>
      <c r="Y703" s="11"/>
      <c r="Z703" s="11"/>
    </row>
    <row r="704" spans="1:26" ht="14.25" customHeight="1">
      <c r="A704" s="11"/>
      <c r="B704" s="11"/>
      <c r="C704" s="11"/>
      <c r="D704" s="11"/>
      <c r="E704" s="11"/>
      <c r="F704" s="11"/>
      <c r="G704" s="11"/>
      <c r="H704" s="11"/>
      <c r="I704" s="46"/>
      <c r="J704" s="11"/>
      <c r="K704" s="11"/>
      <c r="L704" s="11"/>
      <c r="M704" s="11"/>
      <c r="N704" s="11"/>
      <c r="O704" s="11"/>
      <c r="P704" s="11"/>
      <c r="Q704" s="11"/>
      <c r="R704" s="11"/>
      <c r="S704" s="11"/>
      <c r="T704" s="11"/>
      <c r="U704" s="11"/>
      <c r="V704" s="11"/>
      <c r="W704" s="11"/>
      <c r="X704" s="11"/>
      <c r="Y704" s="11"/>
      <c r="Z704" s="11"/>
    </row>
    <row r="705" spans="1:26" ht="14.25" customHeight="1">
      <c r="A705" s="11"/>
      <c r="B705" s="11"/>
      <c r="C705" s="11"/>
      <c r="D705" s="11"/>
      <c r="E705" s="11"/>
      <c r="F705" s="11"/>
      <c r="G705" s="11"/>
      <c r="H705" s="11"/>
      <c r="I705" s="46"/>
      <c r="J705" s="11"/>
      <c r="K705" s="11"/>
      <c r="L705" s="11"/>
      <c r="M705" s="11"/>
      <c r="N705" s="11"/>
      <c r="O705" s="11"/>
      <c r="P705" s="11"/>
      <c r="Q705" s="11"/>
      <c r="R705" s="11"/>
      <c r="S705" s="11"/>
      <c r="T705" s="11"/>
      <c r="U705" s="11"/>
      <c r="V705" s="11"/>
      <c r="W705" s="11"/>
      <c r="X705" s="11"/>
      <c r="Y705" s="11"/>
      <c r="Z705" s="11"/>
    </row>
    <row r="706" spans="1:26" ht="14.25" customHeight="1">
      <c r="A706" s="11"/>
      <c r="B706" s="11"/>
      <c r="C706" s="11"/>
      <c r="D706" s="11"/>
      <c r="E706" s="11"/>
      <c r="F706" s="11"/>
      <c r="G706" s="11"/>
      <c r="H706" s="11"/>
      <c r="I706" s="46"/>
      <c r="J706" s="11"/>
      <c r="K706" s="11"/>
      <c r="L706" s="11"/>
      <c r="M706" s="11"/>
      <c r="N706" s="11"/>
      <c r="O706" s="11"/>
      <c r="P706" s="11"/>
      <c r="Q706" s="11"/>
      <c r="R706" s="11"/>
      <c r="S706" s="11"/>
      <c r="T706" s="11"/>
      <c r="U706" s="11"/>
      <c r="V706" s="11"/>
      <c r="W706" s="11"/>
      <c r="X706" s="11"/>
      <c r="Y706" s="11"/>
      <c r="Z706" s="11"/>
    </row>
    <row r="707" spans="1:26" ht="14.25" customHeight="1">
      <c r="A707" s="11"/>
      <c r="B707" s="11"/>
      <c r="C707" s="11"/>
      <c r="D707" s="11"/>
      <c r="E707" s="11"/>
      <c r="F707" s="11"/>
      <c r="G707" s="11"/>
      <c r="H707" s="11"/>
      <c r="I707" s="46"/>
      <c r="J707" s="11"/>
      <c r="K707" s="11"/>
      <c r="L707" s="11"/>
      <c r="M707" s="11"/>
      <c r="N707" s="11"/>
      <c r="O707" s="11"/>
      <c r="P707" s="11"/>
      <c r="Q707" s="11"/>
      <c r="R707" s="11"/>
      <c r="S707" s="11"/>
      <c r="T707" s="11"/>
      <c r="U707" s="11"/>
      <c r="V707" s="11"/>
      <c r="W707" s="11"/>
      <c r="X707" s="11"/>
      <c r="Y707" s="11"/>
      <c r="Z707" s="11"/>
    </row>
    <row r="708" spans="1:26" ht="14.25" customHeight="1">
      <c r="A708" s="11"/>
      <c r="B708" s="11"/>
      <c r="C708" s="11"/>
      <c r="D708" s="11"/>
      <c r="E708" s="11"/>
      <c r="F708" s="11"/>
      <c r="G708" s="11"/>
      <c r="H708" s="11"/>
      <c r="I708" s="46"/>
      <c r="J708" s="11"/>
      <c r="K708" s="11"/>
      <c r="L708" s="11"/>
      <c r="M708" s="11"/>
      <c r="N708" s="11"/>
      <c r="O708" s="11"/>
      <c r="P708" s="11"/>
      <c r="Q708" s="11"/>
      <c r="R708" s="11"/>
      <c r="S708" s="11"/>
      <c r="T708" s="11"/>
      <c r="U708" s="11"/>
      <c r="V708" s="11"/>
      <c r="W708" s="11"/>
      <c r="X708" s="11"/>
      <c r="Y708" s="11"/>
      <c r="Z708" s="11"/>
    </row>
    <row r="709" spans="1:26" ht="14.25" customHeight="1">
      <c r="A709" s="11"/>
      <c r="B709" s="11"/>
      <c r="C709" s="11"/>
      <c r="D709" s="11"/>
      <c r="E709" s="11"/>
      <c r="F709" s="11"/>
      <c r="G709" s="11"/>
      <c r="H709" s="11"/>
      <c r="I709" s="46"/>
      <c r="J709" s="11"/>
      <c r="K709" s="11"/>
      <c r="L709" s="11"/>
      <c r="M709" s="11"/>
      <c r="N709" s="11"/>
      <c r="O709" s="11"/>
      <c r="P709" s="11"/>
      <c r="Q709" s="11"/>
      <c r="R709" s="11"/>
      <c r="S709" s="11"/>
      <c r="T709" s="11"/>
      <c r="U709" s="11"/>
      <c r="V709" s="11"/>
      <c r="W709" s="11"/>
      <c r="X709" s="11"/>
      <c r="Y709" s="11"/>
      <c r="Z709" s="11"/>
    </row>
    <row r="710" spans="1:26" ht="14.25" customHeight="1">
      <c r="A710" s="11"/>
      <c r="B710" s="11"/>
      <c r="C710" s="11"/>
      <c r="D710" s="11"/>
      <c r="E710" s="11"/>
      <c r="F710" s="11"/>
      <c r="G710" s="11"/>
      <c r="H710" s="11"/>
      <c r="I710" s="46"/>
      <c r="J710" s="11"/>
      <c r="K710" s="11"/>
      <c r="L710" s="11"/>
      <c r="M710" s="11"/>
      <c r="N710" s="11"/>
      <c r="O710" s="11"/>
      <c r="P710" s="11"/>
      <c r="Q710" s="11"/>
      <c r="R710" s="11"/>
      <c r="S710" s="11"/>
      <c r="T710" s="11"/>
      <c r="U710" s="11"/>
      <c r="V710" s="11"/>
      <c r="W710" s="11"/>
      <c r="X710" s="11"/>
      <c r="Y710" s="11"/>
      <c r="Z710" s="11"/>
    </row>
    <row r="711" spans="1:26" ht="14.25" customHeight="1">
      <c r="A711" s="11"/>
      <c r="B711" s="11"/>
      <c r="C711" s="11"/>
      <c r="D711" s="11"/>
      <c r="E711" s="11"/>
      <c r="F711" s="11"/>
      <c r="G711" s="11"/>
      <c r="H711" s="11"/>
      <c r="I711" s="46"/>
      <c r="J711" s="11"/>
      <c r="K711" s="11"/>
      <c r="L711" s="11"/>
      <c r="M711" s="11"/>
      <c r="N711" s="11"/>
      <c r="O711" s="11"/>
      <c r="P711" s="11"/>
      <c r="Q711" s="11"/>
      <c r="R711" s="11"/>
      <c r="S711" s="11"/>
      <c r="T711" s="11"/>
      <c r="U711" s="11"/>
      <c r="V711" s="11"/>
      <c r="W711" s="11"/>
      <c r="X711" s="11"/>
      <c r="Y711" s="11"/>
      <c r="Z711" s="11"/>
    </row>
    <row r="712" spans="1:26" ht="14.25" customHeight="1">
      <c r="A712" s="11"/>
      <c r="B712" s="11"/>
      <c r="C712" s="11"/>
      <c r="D712" s="11"/>
      <c r="E712" s="11"/>
      <c r="F712" s="11"/>
      <c r="G712" s="11"/>
      <c r="H712" s="11"/>
      <c r="I712" s="46"/>
      <c r="J712" s="11"/>
      <c r="K712" s="11"/>
      <c r="L712" s="11"/>
      <c r="M712" s="11"/>
      <c r="N712" s="11"/>
      <c r="O712" s="11"/>
      <c r="P712" s="11"/>
      <c r="Q712" s="11"/>
      <c r="R712" s="11"/>
      <c r="S712" s="11"/>
      <c r="T712" s="11"/>
      <c r="U712" s="11"/>
      <c r="V712" s="11"/>
      <c r="W712" s="11"/>
      <c r="X712" s="11"/>
      <c r="Y712" s="11"/>
      <c r="Z712" s="11"/>
    </row>
    <row r="713" spans="1:26" ht="14.25" customHeight="1">
      <c r="A713" s="11"/>
      <c r="B713" s="11"/>
      <c r="C713" s="11"/>
      <c r="D713" s="11"/>
      <c r="E713" s="11"/>
      <c r="F713" s="11"/>
      <c r="G713" s="11"/>
      <c r="H713" s="11"/>
      <c r="I713" s="46"/>
      <c r="J713" s="11"/>
      <c r="K713" s="11"/>
      <c r="L713" s="11"/>
      <c r="M713" s="11"/>
      <c r="N713" s="11"/>
      <c r="O713" s="11"/>
      <c r="P713" s="11"/>
      <c r="Q713" s="11"/>
      <c r="R713" s="11"/>
      <c r="S713" s="11"/>
      <c r="T713" s="11"/>
      <c r="U713" s="11"/>
      <c r="V713" s="11"/>
      <c r="W713" s="11"/>
      <c r="X713" s="11"/>
      <c r="Y713" s="11"/>
      <c r="Z713" s="11"/>
    </row>
    <row r="714" spans="1:26" ht="14.25" customHeight="1">
      <c r="A714" s="11"/>
      <c r="B714" s="11"/>
      <c r="C714" s="11"/>
      <c r="D714" s="11"/>
      <c r="E714" s="11"/>
      <c r="F714" s="11"/>
      <c r="G714" s="11"/>
      <c r="H714" s="11"/>
      <c r="I714" s="46"/>
      <c r="J714" s="11"/>
      <c r="K714" s="11"/>
      <c r="L714" s="11"/>
      <c r="M714" s="11"/>
      <c r="N714" s="11"/>
      <c r="O714" s="11"/>
      <c r="P714" s="11"/>
      <c r="Q714" s="11"/>
      <c r="R714" s="11"/>
      <c r="S714" s="11"/>
      <c r="T714" s="11"/>
      <c r="U714" s="11"/>
      <c r="V714" s="11"/>
      <c r="W714" s="11"/>
      <c r="X714" s="11"/>
      <c r="Y714" s="11"/>
      <c r="Z714" s="11"/>
    </row>
    <row r="715" spans="1:26" ht="14.25" customHeight="1">
      <c r="A715" s="11"/>
      <c r="B715" s="11"/>
      <c r="C715" s="11"/>
      <c r="D715" s="11"/>
      <c r="E715" s="11"/>
      <c r="F715" s="11"/>
      <c r="G715" s="11"/>
      <c r="H715" s="11"/>
      <c r="I715" s="46"/>
      <c r="J715" s="11"/>
      <c r="K715" s="11"/>
      <c r="L715" s="11"/>
      <c r="M715" s="11"/>
      <c r="N715" s="11"/>
      <c r="O715" s="11"/>
      <c r="P715" s="11"/>
      <c r="Q715" s="11"/>
      <c r="R715" s="11"/>
      <c r="S715" s="11"/>
      <c r="T715" s="11"/>
      <c r="U715" s="11"/>
      <c r="V715" s="11"/>
      <c r="W715" s="11"/>
      <c r="X715" s="11"/>
      <c r="Y715" s="11"/>
      <c r="Z715" s="11"/>
    </row>
    <row r="716" spans="1:26" ht="14.25" customHeight="1">
      <c r="A716" s="11"/>
      <c r="B716" s="11"/>
      <c r="C716" s="11"/>
      <c r="D716" s="11"/>
      <c r="E716" s="11"/>
      <c r="F716" s="11"/>
      <c r="G716" s="11"/>
      <c r="H716" s="11"/>
      <c r="I716" s="46"/>
      <c r="J716" s="11"/>
      <c r="K716" s="11"/>
      <c r="L716" s="11"/>
      <c r="M716" s="11"/>
      <c r="N716" s="11"/>
      <c r="O716" s="11"/>
      <c r="P716" s="11"/>
      <c r="Q716" s="11"/>
      <c r="R716" s="11"/>
      <c r="S716" s="11"/>
      <c r="T716" s="11"/>
      <c r="U716" s="11"/>
      <c r="V716" s="11"/>
      <c r="W716" s="11"/>
      <c r="X716" s="11"/>
      <c r="Y716" s="11"/>
      <c r="Z716" s="11"/>
    </row>
    <row r="717" spans="1:26" ht="14.25" customHeight="1">
      <c r="A717" s="11"/>
      <c r="B717" s="11"/>
      <c r="C717" s="11"/>
      <c r="D717" s="11"/>
      <c r="E717" s="11"/>
      <c r="F717" s="11"/>
      <c r="G717" s="11"/>
      <c r="H717" s="11"/>
      <c r="I717" s="46"/>
      <c r="J717" s="11"/>
      <c r="K717" s="11"/>
      <c r="L717" s="11"/>
      <c r="M717" s="11"/>
      <c r="N717" s="11"/>
      <c r="O717" s="11"/>
      <c r="P717" s="11"/>
      <c r="Q717" s="11"/>
      <c r="R717" s="11"/>
      <c r="S717" s="11"/>
      <c r="T717" s="11"/>
      <c r="U717" s="11"/>
      <c r="V717" s="11"/>
      <c r="W717" s="11"/>
      <c r="X717" s="11"/>
      <c r="Y717" s="11"/>
      <c r="Z717" s="11"/>
    </row>
    <row r="718" spans="1:26" ht="14.25" customHeight="1">
      <c r="A718" s="11"/>
      <c r="B718" s="11"/>
      <c r="C718" s="11"/>
      <c r="D718" s="11"/>
      <c r="E718" s="11"/>
      <c r="F718" s="11"/>
      <c r="G718" s="11"/>
      <c r="H718" s="11"/>
      <c r="I718" s="46"/>
      <c r="J718" s="11"/>
      <c r="K718" s="11"/>
      <c r="L718" s="11"/>
      <c r="M718" s="11"/>
      <c r="N718" s="11"/>
      <c r="O718" s="11"/>
      <c r="P718" s="11"/>
      <c r="Q718" s="11"/>
      <c r="R718" s="11"/>
      <c r="S718" s="11"/>
      <c r="T718" s="11"/>
      <c r="U718" s="11"/>
      <c r="V718" s="11"/>
      <c r="W718" s="11"/>
      <c r="X718" s="11"/>
      <c r="Y718" s="11"/>
      <c r="Z718" s="11"/>
    </row>
    <row r="719" spans="1:26" ht="14.25" customHeight="1">
      <c r="A719" s="11"/>
      <c r="B719" s="11"/>
      <c r="C719" s="11"/>
      <c r="D719" s="11"/>
      <c r="E719" s="11"/>
      <c r="F719" s="11"/>
      <c r="G719" s="11"/>
      <c r="H719" s="11"/>
      <c r="I719" s="46"/>
      <c r="J719" s="11"/>
      <c r="K719" s="11"/>
      <c r="L719" s="11"/>
      <c r="M719" s="11"/>
      <c r="N719" s="11"/>
      <c r="O719" s="11"/>
      <c r="P719" s="11"/>
      <c r="Q719" s="11"/>
      <c r="R719" s="11"/>
      <c r="S719" s="11"/>
      <c r="T719" s="11"/>
      <c r="U719" s="11"/>
      <c r="V719" s="11"/>
      <c r="W719" s="11"/>
      <c r="X719" s="11"/>
      <c r="Y719" s="11"/>
      <c r="Z719" s="11"/>
    </row>
    <row r="720" spans="1:26" ht="14.25" customHeight="1">
      <c r="A720" s="11"/>
      <c r="B720" s="11"/>
      <c r="C720" s="11"/>
      <c r="D720" s="11"/>
      <c r="E720" s="11"/>
      <c r="F720" s="11"/>
      <c r="G720" s="11"/>
      <c r="H720" s="11"/>
      <c r="I720" s="46"/>
      <c r="J720" s="11"/>
      <c r="K720" s="11"/>
      <c r="L720" s="11"/>
      <c r="M720" s="11"/>
      <c r="N720" s="11"/>
      <c r="O720" s="11"/>
      <c r="P720" s="11"/>
      <c r="Q720" s="11"/>
      <c r="R720" s="11"/>
      <c r="S720" s="11"/>
      <c r="T720" s="11"/>
      <c r="U720" s="11"/>
      <c r="V720" s="11"/>
      <c r="W720" s="11"/>
      <c r="X720" s="11"/>
      <c r="Y720" s="11"/>
      <c r="Z720" s="11"/>
    </row>
    <row r="721" spans="1:26" ht="14.25" customHeight="1">
      <c r="A721" s="11"/>
      <c r="B721" s="11"/>
      <c r="C721" s="11"/>
      <c r="D721" s="11"/>
      <c r="E721" s="11"/>
      <c r="F721" s="11"/>
      <c r="G721" s="11"/>
      <c r="H721" s="11"/>
      <c r="I721" s="46"/>
      <c r="J721" s="11"/>
      <c r="K721" s="11"/>
      <c r="L721" s="11"/>
      <c r="M721" s="11"/>
      <c r="N721" s="11"/>
      <c r="O721" s="11"/>
      <c r="P721" s="11"/>
      <c r="Q721" s="11"/>
      <c r="R721" s="11"/>
      <c r="S721" s="11"/>
      <c r="T721" s="11"/>
      <c r="U721" s="11"/>
      <c r="V721" s="11"/>
      <c r="W721" s="11"/>
      <c r="X721" s="11"/>
      <c r="Y721" s="11"/>
      <c r="Z721" s="11"/>
    </row>
    <row r="722" spans="1:26" ht="14.25" customHeight="1">
      <c r="A722" s="11"/>
      <c r="B722" s="11"/>
      <c r="C722" s="11"/>
      <c r="D722" s="11"/>
      <c r="E722" s="11"/>
      <c r="F722" s="11"/>
      <c r="G722" s="11"/>
      <c r="H722" s="11"/>
      <c r="I722" s="46"/>
      <c r="J722" s="11"/>
      <c r="K722" s="11"/>
      <c r="L722" s="11"/>
      <c r="M722" s="11"/>
      <c r="N722" s="11"/>
      <c r="O722" s="11"/>
      <c r="P722" s="11"/>
      <c r="Q722" s="11"/>
      <c r="R722" s="11"/>
      <c r="S722" s="11"/>
      <c r="T722" s="11"/>
      <c r="U722" s="11"/>
      <c r="V722" s="11"/>
      <c r="W722" s="11"/>
      <c r="X722" s="11"/>
      <c r="Y722" s="11"/>
      <c r="Z722" s="11"/>
    </row>
    <row r="723" spans="1:26" ht="14.25" customHeight="1">
      <c r="A723" s="11"/>
      <c r="B723" s="11"/>
      <c r="C723" s="11"/>
      <c r="D723" s="11"/>
      <c r="E723" s="11"/>
      <c r="F723" s="11"/>
      <c r="G723" s="11"/>
      <c r="H723" s="11"/>
      <c r="I723" s="46"/>
      <c r="J723" s="11"/>
      <c r="K723" s="11"/>
      <c r="L723" s="11"/>
      <c r="M723" s="11"/>
      <c r="N723" s="11"/>
      <c r="O723" s="11"/>
      <c r="P723" s="11"/>
      <c r="Q723" s="11"/>
      <c r="R723" s="11"/>
      <c r="S723" s="11"/>
      <c r="T723" s="11"/>
      <c r="U723" s="11"/>
      <c r="V723" s="11"/>
      <c r="W723" s="11"/>
      <c r="X723" s="11"/>
      <c r="Y723" s="11"/>
      <c r="Z723" s="11"/>
    </row>
    <row r="724" spans="1:26" ht="14.25" customHeight="1">
      <c r="A724" s="11"/>
      <c r="B724" s="11"/>
      <c r="C724" s="11"/>
      <c r="D724" s="11"/>
      <c r="E724" s="11"/>
      <c r="F724" s="11"/>
      <c r="G724" s="11"/>
      <c r="H724" s="11"/>
      <c r="I724" s="46"/>
      <c r="J724" s="11"/>
      <c r="K724" s="11"/>
      <c r="L724" s="11"/>
      <c r="M724" s="11"/>
      <c r="N724" s="11"/>
      <c r="O724" s="11"/>
      <c r="P724" s="11"/>
      <c r="Q724" s="11"/>
      <c r="R724" s="11"/>
      <c r="S724" s="11"/>
      <c r="T724" s="11"/>
      <c r="U724" s="11"/>
      <c r="V724" s="11"/>
      <c r="W724" s="11"/>
      <c r="X724" s="11"/>
      <c r="Y724" s="11"/>
      <c r="Z724" s="11"/>
    </row>
    <row r="725" spans="1:26" ht="14.25" customHeight="1">
      <c r="A725" s="11"/>
      <c r="B725" s="11"/>
      <c r="C725" s="11"/>
      <c r="D725" s="11"/>
      <c r="E725" s="11"/>
      <c r="F725" s="11"/>
      <c r="G725" s="11"/>
      <c r="H725" s="11"/>
      <c r="I725" s="46"/>
      <c r="J725" s="11"/>
      <c r="K725" s="11"/>
      <c r="L725" s="11"/>
      <c r="M725" s="11"/>
      <c r="N725" s="11"/>
      <c r="O725" s="11"/>
      <c r="P725" s="11"/>
      <c r="Q725" s="11"/>
      <c r="R725" s="11"/>
      <c r="S725" s="11"/>
      <c r="T725" s="11"/>
      <c r="U725" s="11"/>
      <c r="V725" s="11"/>
      <c r="W725" s="11"/>
      <c r="X725" s="11"/>
      <c r="Y725" s="11"/>
      <c r="Z725" s="11"/>
    </row>
    <row r="726" spans="1:26" ht="14.25" customHeight="1">
      <c r="A726" s="11"/>
      <c r="B726" s="11"/>
      <c r="C726" s="11"/>
      <c r="D726" s="11"/>
      <c r="E726" s="11"/>
      <c r="F726" s="11"/>
      <c r="G726" s="11"/>
      <c r="H726" s="11"/>
      <c r="I726" s="46"/>
      <c r="J726" s="11"/>
      <c r="K726" s="11"/>
      <c r="L726" s="11"/>
      <c r="M726" s="11"/>
      <c r="N726" s="11"/>
      <c r="O726" s="11"/>
      <c r="P726" s="11"/>
      <c r="Q726" s="11"/>
      <c r="R726" s="11"/>
      <c r="S726" s="11"/>
      <c r="T726" s="11"/>
      <c r="U726" s="11"/>
      <c r="V726" s="11"/>
      <c r="W726" s="11"/>
      <c r="X726" s="11"/>
      <c r="Y726" s="11"/>
      <c r="Z726" s="11"/>
    </row>
    <row r="727" spans="1:26" ht="14.25" customHeight="1">
      <c r="A727" s="11"/>
      <c r="B727" s="11"/>
      <c r="C727" s="11"/>
      <c r="D727" s="11"/>
      <c r="E727" s="11"/>
      <c r="F727" s="11"/>
      <c r="G727" s="11"/>
      <c r="H727" s="11"/>
      <c r="I727" s="46"/>
      <c r="J727" s="11"/>
      <c r="K727" s="11"/>
      <c r="L727" s="11"/>
      <c r="M727" s="11"/>
      <c r="N727" s="11"/>
      <c r="O727" s="11"/>
      <c r="P727" s="11"/>
      <c r="Q727" s="11"/>
      <c r="R727" s="11"/>
      <c r="S727" s="11"/>
      <c r="T727" s="11"/>
      <c r="U727" s="11"/>
      <c r="V727" s="11"/>
      <c r="W727" s="11"/>
      <c r="X727" s="11"/>
      <c r="Y727" s="11"/>
      <c r="Z727" s="11"/>
    </row>
    <row r="728" spans="1:26" ht="14.25" customHeight="1">
      <c r="A728" s="11"/>
      <c r="B728" s="11"/>
      <c r="C728" s="11"/>
      <c r="D728" s="11"/>
      <c r="E728" s="11"/>
      <c r="F728" s="11"/>
      <c r="G728" s="11"/>
      <c r="H728" s="11"/>
      <c r="I728" s="46"/>
      <c r="J728" s="11"/>
      <c r="K728" s="11"/>
      <c r="L728" s="11"/>
      <c r="M728" s="11"/>
      <c r="N728" s="11"/>
      <c r="O728" s="11"/>
      <c r="P728" s="11"/>
      <c r="Q728" s="11"/>
      <c r="R728" s="11"/>
      <c r="S728" s="11"/>
      <c r="T728" s="11"/>
      <c r="U728" s="11"/>
      <c r="V728" s="11"/>
      <c r="W728" s="11"/>
      <c r="X728" s="11"/>
      <c r="Y728" s="11"/>
      <c r="Z728" s="11"/>
    </row>
    <row r="729" spans="1:26" ht="14.25" customHeight="1">
      <c r="A729" s="11"/>
      <c r="B729" s="11"/>
      <c r="C729" s="11"/>
      <c r="D729" s="11"/>
      <c r="E729" s="11"/>
      <c r="F729" s="11"/>
      <c r="G729" s="11"/>
      <c r="H729" s="11"/>
      <c r="I729" s="46"/>
      <c r="J729" s="11"/>
      <c r="K729" s="11"/>
      <c r="L729" s="11"/>
      <c r="M729" s="11"/>
      <c r="N729" s="11"/>
      <c r="O729" s="11"/>
      <c r="P729" s="11"/>
      <c r="Q729" s="11"/>
      <c r="R729" s="11"/>
      <c r="S729" s="11"/>
      <c r="T729" s="11"/>
      <c r="U729" s="11"/>
      <c r="V729" s="11"/>
      <c r="W729" s="11"/>
      <c r="X729" s="11"/>
      <c r="Y729" s="11"/>
      <c r="Z729" s="11"/>
    </row>
    <row r="730" spans="1:26" ht="14.25" customHeight="1">
      <c r="A730" s="11"/>
      <c r="B730" s="11"/>
      <c r="C730" s="11"/>
      <c r="D730" s="11"/>
      <c r="E730" s="11"/>
      <c r="F730" s="11"/>
      <c r="G730" s="11"/>
      <c r="H730" s="11"/>
      <c r="I730" s="46"/>
      <c r="J730" s="11"/>
      <c r="K730" s="11"/>
      <c r="L730" s="11"/>
      <c r="M730" s="11"/>
      <c r="N730" s="11"/>
      <c r="O730" s="11"/>
      <c r="P730" s="11"/>
      <c r="Q730" s="11"/>
      <c r="R730" s="11"/>
      <c r="S730" s="11"/>
      <c r="T730" s="11"/>
      <c r="U730" s="11"/>
      <c r="V730" s="11"/>
      <c r="W730" s="11"/>
      <c r="X730" s="11"/>
      <c r="Y730" s="11"/>
      <c r="Z730" s="11"/>
    </row>
    <row r="731" spans="1:26" ht="14.25" customHeight="1">
      <c r="A731" s="11"/>
      <c r="B731" s="11"/>
      <c r="C731" s="11"/>
      <c r="D731" s="11"/>
      <c r="E731" s="11"/>
      <c r="F731" s="11"/>
      <c r="G731" s="11"/>
      <c r="H731" s="11"/>
      <c r="I731" s="46"/>
      <c r="J731" s="11"/>
      <c r="K731" s="11"/>
      <c r="L731" s="11"/>
      <c r="M731" s="11"/>
      <c r="N731" s="11"/>
      <c r="O731" s="11"/>
      <c r="P731" s="11"/>
      <c r="Q731" s="11"/>
      <c r="R731" s="11"/>
      <c r="S731" s="11"/>
      <c r="T731" s="11"/>
      <c r="U731" s="11"/>
      <c r="V731" s="11"/>
      <c r="W731" s="11"/>
      <c r="X731" s="11"/>
      <c r="Y731" s="11"/>
      <c r="Z731" s="11"/>
    </row>
    <row r="732" spans="1:26" ht="14.25" customHeight="1">
      <c r="A732" s="11"/>
      <c r="B732" s="11"/>
      <c r="C732" s="11"/>
      <c r="D732" s="11"/>
      <c r="E732" s="11"/>
      <c r="F732" s="11"/>
      <c r="G732" s="11"/>
      <c r="H732" s="11"/>
      <c r="I732" s="46"/>
      <c r="J732" s="11"/>
      <c r="K732" s="11"/>
      <c r="L732" s="11"/>
      <c r="M732" s="11"/>
      <c r="N732" s="11"/>
      <c r="O732" s="11"/>
      <c r="P732" s="11"/>
      <c r="Q732" s="11"/>
      <c r="R732" s="11"/>
      <c r="S732" s="11"/>
      <c r="T732" s="11"/>
      <c r="U732" s="11"/>
      <c r="V732" s="11"/>
      <c r="W732" s="11"/>
      <c r="X732" s="11"/>
      <c r="Y732" s="11"/>
      <c r="Z732" s="11"/>
    </row>
    <row r="733" spans="1:26" ht="14.25" customHeight="1">
      <c r="A733" s="11"/>
      <c r="B733" s="11"/>
      <c r="C733" s="11"/>
      <c r="D733" s="11"/>
      <c r="E733" s="11"/>
      <c r="F733" s="11"/>
      <c r="G733" s="11"/>
      <c r="H733" s="11"/>
      <c r="I733" s="46"/>
      <c r="J733" s="11"/>
      <c r="K733" s="11"/>
      <c r="L733" s="11"/>
      <c r="M733" s="11"/>
      <c r="N733" s="11"/>
      <c r="O733" s="11"/>
      <c r="P733" s="11"/>
      <c r="Q733" s="11"/>
      <c r="R733" s="11"/>
      <c r="S733" s="11"/>
      <c r="T733" s="11"/>
      <c r="U733" s="11"/>
      <c r="V733" s="11"/>
      <c r="W733" s="11"/>
      <c r="X733" s="11"/>
      <c r="Y733" s="11"/>
      <c r="Z733" s="11"/>
    </row>
    <row r="734" spans="1:26" ht="14.25" customHeight="1">
      <c r="A734" s="11"/>
      <c r="B734" s="11"/>
      <c r="C734" s="11"/>
      <c r="D734" s="11"/>
      <c r="E734" s="11"/>
      <c r="F734" s="11"/>
      <c r="G734" s="11"/>
      <c r="H734" s="11"/>
      <c r="I734" s="46"/>
      <c r="J734" s="11"/>
      <c r="K734" s="11"/>
      <c r="L734" s="11"/>
      <c r="M734" s="11"/>
      <c r="N734" s="11"/>
      <c r="O734" s="11"/>
      <c r="P734" s="11"/>
      <c r="Q734" s="11"/>
      <c r="R734" s="11"/>
      <c r="S734" s="11"/>
      <c r="T734" s="11"/>
      <c r="U734" s="11"/>
      <c r="V734" s="11"/>
      <c r="W734" s="11"/>
      <c r="X734" s="11"/>
      <c r="Y734" s="11"/>
      <c r="Z734" s="11"/>
    </row>
    <row r="735" spans="1:26" ht="14.25" customHeight="1">
      <c r="A735" s="11"/>
      <c r="B735" s="11"/>
      <c r="C735" s="11"/>
      <c r="D735" s="11"/>
      <c r="E735" s="11"/>
      <c r="F735" s="11"/>
      <c r="G735" s="11"/>
      <c r="H735" s="11"/>
      <c r="I735" s="46"/>
      <c r="J735" s="11"/>
      <c r="K735" s="11"/>
      <c r="L735" s="11"/>
      <c r="M735" s="11"/>
      <c r="N735" s="11"/>
      <c r="O735" s="11"/>
      <c r="P735" s="11"/>
      <c r="Q735" s="11"/>
      <c r="R735" s="11"/>
      <c r="S735" s="11"/>
      <c r="T735" s="11"/>
      <c r="U735" s="11"/>
      <c r="V735" s="11"/>
      <c r="W735" s="11"/>
      <c r="X735" s="11"/>
      <c r="Y735" s="11"/>
      <c r="Z735" s="11"/>
    </row>
    <row r="736" spans="1:26" ht="14.25" customHeight="1">
      <c r="A736" s="11"/>
      <c r="B736" s="11"/>
      <c r="C736" s="11"/>
      <c r="D736" s="11"/>
      <c r="E736" s="11"/>
      <c r="F736" s="11"/>
      <c r="G736" s="11"/>
      <c r="H736" s="11"/>
      <c r="I736" s="46"/>
      <c r="J736" s="11"/>
      <c r="K736" s="11"/>
      <c r="L736" s="11"/>
      <c r="M736" s="11"/>
      <c r="N736" s="11"/>
      <c r="O736" s="11"/>
      <c r="P736" s="11"/>
      <c r="Q736" s="11"/>
      <c r="R736" s="11"/>
      <c r="S736" s="11"/>
      <c r="T736" s="11"/>
      <c r="U736" s="11"/>
      <c r="V736" s="11"/>
      <c r="W736" s="11"/>
      <c r="X736" s="11"/>
      <c r="Y736" s="11"/>
      <c r="Z736" s="11"/>
    </row>
    <row r="737" spans="1:26" ht="14.25" customHeight="1">
      <c r="A737" s="11"/>
      <c r="B737" s="11"/>
      <c r="C737" s="11"/>
      <c r="D737" s="11"/>
      <c r="E737" s="11"/>
      <c r="F737" s="11"/>
      <c r="G737" s="11"/>
      <c r="H737" s="11"/>
      <c r="I737" s="46"/>
      <c r="J737" s="11"/>
      <c r="K737" s="11"/>
      <c r="L737" s="11"/>
      <c r="M737" s="11"/>
      <c r="N737" s="11"/>
      <c r="O737" s="11"/>
      <c r="P737" s="11"/>
      <c r="Q737" s="11"/>
      <c r="R737" s="11"/>
      <c r="S737" s="11"/>
      <c r="T737" s="11"/>
      <c r="U737" s="11"/>
      <c r="V737" s="11"/>
      <c r="W737" s="11"/>
      <c r="X737" s="11"/>
      <c r="Y737" s="11"/>
      <c r="Z737" s="11"/>
    </row>
    <row r="738" spans="1:26" ht="14.25" customHeight="1">
      <c r="A738" s="11"/>
      <c r="B738" s="11"/>
      <c r="C738" s="11"/>
      <c r="D738" s="11"/>
      <c r="E738" s="11"/>
      <c r="F738" s="11"/>
      <c r="G738" s="11"/>
      <c r="H738" s="11"/>
      <c r="I738" s="46"/>
      <c r="J738" s="11"/>
      <c r="K738" s="11"/>
      <c r="L738" s="11"/>
      <c r="M738" s="11"/>
      <c r="N738" s="11"/>
      <c r="O738" s="11"/>
      <c r="P738" s="11"/>
      <c r="Q738" s="11"/>
      <c r="R738" s="11"/>
      <c r="S738" s="11"/>
      <c r="T738" s="11"/>
      <c r="U738" s="11"/>
      <c r="V738" s="11"/>
      <c r="W738" s="11"/>
      <c r="X738" s="11"/>
      <c r="Y738" s="11"/>
      <c r="Z738" s="11"/>
    </row>
    <row r="739" spans="1:26" ht="14.25" customHeight="1">
      <c r="A739" s="11"/>
      <c r="B739" s="11"/>
      <c r="C739" s="11"/>
      <c r="D739" s="11"/>
      <c r="E739" s="11"/>
      <c r="F739" s="11"/>
      <c r="G739" s="11"/>
      <c r="H739" s="11"/>
      <c r="I739" s="46"/>
      <c r="J739" s="11"/>
      <c r="K739" s="11"/>
      <c r="L739" s="11"/>
      <c r="M739" s="11"/>
      <c r="N739" s="11"/>
      <c r="O739" s="11"/>
      <c r="P739" s="11"/>
      <c r="Q739" s="11"/>
      <c r="R739" s="11"/>
      <c r="S739" s="11"/>
      <c r="T739" s="11"/>
      <c r="U739" s="11"/>
      <c r="V739" s="11"/>
      <c r="W739" s="11"/>
      <c r="X739" s="11"/>
      <c r="Y739" s="11"/>
      <c r="Z739" s="11"/>
    </row>
    <row r="740" spans="1:26" ht="14.25" customHeight="1">
      <c r="A740" s="11"/>
      <c r="B740" s="11"/>
      <c r="C740" s="11"/>
      <c r="D740" s="11"/>
      <c r="E740" s="11"/>
      <c r="F740" s="11"/>
      <c r="G740" s="11"/>
      <c r="H740" s="11"/>
      <c r="I740" s="46"/>
      <c r="J740" s="11"/>
      <c r="K740" s="11"/>
      <c r="L740" s="11"/>
      <c r="M740" s="11"/>
      <c r="N740" s="11"/>
      <c r="O740" s="11"/>
      <c r="P740" s="11"/>
      <c r="Q740" s="11"/>
      <c r="R740" s="11"/>
      <c r="S740" s="11"/>
      <c r="T740" s="11"/>
      <c r="U740" s="11"/>
      <c r="V740" s="11"/>
      <c r="W740" s="11"/>
      <c r="X740" s="11"/>
      <c r="Y740" s="11"/>
      <c r="Z740" s="11"/>
    </row>
    <row r="741" spans="1:26" ht="14.25" customHeight="1">
      <c r="A741" s="11"/>
      <c r="B741" s="11"/>
      <c r="C741" s="11"/>
      <c r="D741" s="11"/>
      <c r="E741" s="11"/>
      <c r="F741" s="11"/>
      <c r="G741" s="11"/>
      <c r="H741" s="11"/>
      <c r="I741" s="46"/>
      <c r="J741" s="11"/>
      <c r="K741" s="11"/>
      <c r="L741" s="11"/>
      <c r="M741" s="11"/>
      <c r="N741" s="11"/>
      <c r="O741" s="11"/>
      <c r="P741" s="11"/>
      <c r="Q741" s="11"/>
      <c r="R741" s="11"/>
      <c r="S741" s="11"/>
      <c r="T741" s="11"/>
      <c r="U741" s="11"/>
      <c r="V741" s="11"/>
      <c r="W741" s="11"/>
      <c r="X741" s="11"/>
      <c r="Y741" s="11"/>
      <c r="Z741" s="11"/>
    </row>
    <row r="742" spans="1:26" ht="14.25" customHeight="1">
      <c r="A742" s="11"/>
      <c r="B742" s="11"/>
      <c r="C742" s="11"/>
      <c r="D742" s="11"/>
      <c r="E742" s="11"/>
      <c r="F742" s="11"/>
      <c r="G742" s="11"/>
      <c r="H742" s="11"/>
      <c r="I742" s="46"/>
      <c r="J742" s="11"/>
      <c r="K742" s="11"/>
      <c r="L742" s="11"/>
      <c r="M742" s="11"/>
      <c r="N742" s="11"/>
      <c r="O742" s="11"/>
      <c r="P742" s="11"/>
      <c r="Q742" s="11"/>
      <c r="R742" s="11"/>
      <c r="S742" s="11"/>
      <c r="T742" s="11"/>
      <c r="U742" s="11"/>
      <c r="V742" s="11"/>
      <c r="W742" s="11"/>
      <c r="X742" s="11"/>
      <c r="Y742" s="11"/>
      <c r="Z742" s="11"/>
    </row>
    <row r="743" spans="1:26" ht="14.25" customHeight="1">
      <c r="A743" s="11"/>
      <c r="B743" s="11"/>
      <c r="C743" s="11"/>
      <c r="D743" s="11"/>
      <c r="E743" s="11"/>
      <c r="F743" s="11"/>
      <c r="G743" s="11"/>
      <c r="H743" s="11"/>
      <c r="I743" s="46"/>
      <c r="J743" s="11"/>
      <c r="K743" s="11"/>
      <c r="L743" s="11"/>
      <c r="M743" s="11"/>
      <c r="N743" s="11"/>
      <c r="O743" s="11"/>
      <c r="P743" s="11"/>
      <c r="Q743" s="11"/>
      <c r="R743" s="11"/>
      <c r="S743" s="11"/>
      <c r="T743" s="11"/>
      <c r="U743" s="11"/>
      <c r="V743" s="11"/>
      <c r="W743" s="11"/>
      <c r="X743" s="11"/>
      <c r="Y743" s="11"/>
      <c r="Z743" s="11"/>
    </row>
    <row r="744" spans="1:26" ht="14.25" customHeight="1">
      <c r="A744" s="11"/>
      <c r="B744" s="11"/>
      <c r="C744" s="11"/>
      <c r="D744" s="11"/>
      <c r="E744" s="11"/>
      <c r="F744" s="11"/>
      <c r="G744" s="11"/>
      <c r="H744" s="11"/>
      <c r="I744" s="46"/>
      <c r="J744" s="11"/>
      <c r="K744" s="11"/>
      <c r="L744" s="11"/>
      <c r="M744" s="11"/>
      <c r="N744" s="11"/>
      <c r="O744" s="11"/>
      <c r="P744" s="11"/>
      <c r="Q744" s="11"/>
      <c r="R744" s="11"/>
      <c r="S744" s="11"/>
      <c r="T744" s="11"/>
      <c r="U744" s="11"/>
      <c r="V744" s="11"/>
      <c r="W744" s="11"/>
      <c r="X744" s="11"/>
      <c r="Y744" s="11"/>
      <c r="Z744" s="11"/>
    </row>
    <row r="745" spans="1:26" ht="14.25" customHeight="1">
      <c r="A745" s="11"/>
      <c r="B745" s="11"/>
      <c r="C745" s="11"/>
      <c r="D745" s="11"/>
      <c r="E745" s="11"/>
      <c r="F745" s="11"/>
      <c r="G745" s="11"/>
      <c r="H745" s="11"/>
      <c r="I745" s="46"/>
      <c r="J745" s="11"/>
      <c r="K745" s="11"/>
      <c r="L745" s="11"/>
      <c r="M745" s="11"/>
      <c r="N745" s="11"/>
      <c r="O745" s="11"/>
      <c r="P745" s="11"/>
      <c r="Q745" s="11"/>
      <c r="R745" s="11"/>
      <c r="S745" s="11"/>
      <c r="T745" s="11"/>
      <c r="U745" s="11"/>
      <c r="V745" s="11"/>
      <c r="W745" s="11"/>
      <c r="X745" s="11"/>
      <c r="Y745" s="11"/>
      <c r="Z745" s="11"/>
    </row>
    <row r="746" spans="1:26" ht="14.25" customHeight="1">
      <c r="A746" s="11"/>
      <c r="B746" s="11"/>
      <c r="C746" s="11"/>
      <c r="D746" s="11"/>
      <c r="E746" s="11"/>
      <c r="F746" s="11"/>
      <c r="G746" s="11"/>
      <c r="H746" s="11"/>
      <c r="I746" s="46"/>
      <c r="J746" s="11"/>
      <c r="K746" s="11"/>
      <c r="L746" s="11"/>
      <c r="M746" s="11"/>
      <c r="N746" s="11"/>
      <c r="O746" s="11"/>
      <c r="P746" s="11"/>
      <c r="Q746" s="11"/>
      <c r="R746" s="11"/>
      <c r="S746" s="11"/>
      <c r="T746" s="11"/>
      <c r="U746" s="11"/>
      <c r="V746" s="11"/>
      <c r="W746" s="11"/>
      <c r="X746" s="11"/>
      <c r="Y746" s="11"/>
      <c r="Z746" s="11"/>
    </row>
    <row r="747" spans="1:26" ht="14.25" customHeight="1">
      <c r="A747" s="11"/>
      <c r="B747" s="11"/>
      <c r="C747" s="11"/>
      <c r="D747" s="11"/>
      <c r="E747" s="11"/>
      <c r="F747" s="11"/>
      <c r="G747" s="11"/>
      <c r="H747" s="11"/>
      <c r="I747" s="46"/>
      <c r="J747" s="11"/>
      <c r="K747" s="11"/>
      <c r="L747" s="11"/>
      <c r="M747" s="11"/>
      <c r="N747" s="11"/>
      <c r="O747" s="11"/>
      <c r="P747" s="11"/>
      <c r="Q747" s="11"/>
      <c r="R747" s="11"/>
      <c r="S747" s="11"/>
      <c r="T747" s="11"/>
      <c r="U747" s="11"/>
      <c r="V747" s="11"/>
      <c r="W747" s="11"/>
      <c r="X747" s="11"/>
      <c r="Y747" s="11"/>
      <c r="Z747" s="11"/>
    </row>
    <row r="748" spans="1:26" ht="14.25" customHeight="1">
      <c r="A748" s="11"/>
      <c r="B748" s="11"/>
      <c r="C748" s="11"/>
      <c r="D748" s="11"/>
      <c r="E748" s="11"/>
      <c r="F748" s="11"/>
      <c r="G748" s="11"/>
      <c r="H748" s="11"/>
      <c r="I748" s="46"/>
      <c r="J748" s="11"/>
      <c r="K748" s="11"/>
      <c r="L748" s="11"/>
      <c r="M748" s="11"/>
      <c r="N748" s="11"/>
      <c r="O748" s="11"/>
      <c r="P748" s="11"/>
      <c r="Q748" s="11"/>
      <c r="R748" s="11"/>
      <c r="S748" s="11"/>
      <c r="T748" s="11"/>
      <c r="U748" s="11"/>
      <c r="V748" s="11"/>
      <c r="W748" s="11"/>
      <c r="X748" s="11"/>
      <c r="Y748" s="11"/>
      <c r="Z748" s="11"/>
    </row>
    <row r="749" spans="1:26" ht="14.25" customHeight="1">
      <c r="A749" s="11"/>
      <c r="B749" s="11"/>
      <c r="C749" s="11"/>
      <c r="D749" s="11"/>
      <c r="E749" s="11"/>
      <c r="F749" s="11"/>
      <c r="G749" s="11"/>
      <c r="H749" s="11"/>
      <c r="I749" s="46"/>
      <c r="J749" s="11"/>
      <c r="K749" s="11"/>
      <c r="L749" s="11"/>
      <c r="M749" s="11"/>
      <c r="N749" s="11"/>
      <c r="O749" s="11"/>
      <c r="P749" s="11"/>
      <c r="Q749" s="11"/>
      <c r="R749" s="11"/>
      <c r="S749" s="11"/>
      <c r="T749" s="11"/>
      <c r="U749" s="11"/>
      <c r="V749" s="11"/>
      <c r="W749" s="11"/>
      <c r="X749" s="11"/>
      <c r="Y749" s="11"/>
      <c r="Z749" s="11"/>
    </row>
    <row r="750" spans="1:26" ht="14.25" customHeight="1">
      <c r="A750" s="11"/>
      <c r="B750" s="11"/>
      <c r="C750" s="11"/>
      <c r="D750" s="11"/>
      <c r="E750" s="11"/>
      <c r="F750" s="11"/>
      <c r="G750" s="11"/>
      <c r="H750" s="11"/>
      <c r="I750" s="46"/>
      <c r="J750" s="11"/>
      <c r="K750" s="11"/>
      <c r="L750" s="11"/>
      <c r="M750" s="11"/>
      <c r="N750" s="11"/>
      <c r="O750" s="11"/>
      <c r="P750" s="11"/>
      <c r="Q750" s="11"/>
      <c r="R750" s="11"/>
      <c r="S750" s="11"/>
      <c r="T750" s="11"/>
      <c r="U750" s="11"/>
      <c r="V750" s="11"/>
      <c r="W750" s="11"/>
      <c r="X750" s="11"/>
      <c r="Y750" s="11"/>
      <c r="Z750" s="11"/>
    </row>
    <row r="751" spans="1:26" ht="14.25" customHeight="1">
      <c r="A751" s="11"/>
      <c r="B751" s="11"/>
      <c r="C751" s="11"/>
      <c r="D751" s="11"/>
      <c r="E751" s="11"/>
      <c r="F751" s="11"/>
      <c r="G751" s="11"/>
      <c r="H751" s="11"/>
      <c r="I751" s="46"/>
      <c r="J751" s="11"/>
      <c r="K751" s="11"/>
      <c r="L751" s="11"/>
      <c r="M751" s="11"/>
      <c r="N751" s="11"/>
      <c r="O751" s="11"/>
      <c r="P751" s="11"/>
      <c r="Q751" s="11"/>
      <c r="R751" s="11"/>
      <c r="S751" s="11"/>
      <c r="T751" s="11"/>
      <c r="U751" s="11"/>
      <c r="V751" s="11"/>
      <c r="W751" s="11"/>
      <c r="X751" s="11"/>
      <c r="Y751" s="11"/>
      <c r="Z751" s="11"/>
    </row>
    <row r="752" spans="1:26" ht="14.25" customHeight="1">
      <c r="A752" s="11"/>
      <c r="B752" s="11"/>
      <c r="C752" s="11"/>
      <c r="D752" s="11"/>
      <c r="E752" s="11"/>
      <c r="F752" s="11"/>
      <c r="G752" s="11"/>
      <c r="H752" s="11"/>
      <c r="I752" s="46"/>
      <c r="J752" s="11"/>
      <c r="K752" s="11"/>
      <c r="L752" s="11"/>
      <c r="M752" s="11"/>
      <c r="N752" s="11"/>
      <c r="O752" s="11"/>
      <c r="P752" s="11"/>
      <c r="Q752" s="11"/>
      <c r="R752" s="11"/>
      <c r="S752" s="11"/>
      <c r="T752" s="11"/>
      <c r="U752" s="11"/>
      <c r="V752" s="11"/>
      <c r="W752" s="11"/>
      <c r="X752" s="11"/>
      <c r="Y752" s="11"/>
      <c r="Z752" s="11"/>
    </row>
    <row r="753" spans="1:26" ht="14.25" customHeight="1">
      <c r="A753" s="11"/>
      <c r="B753" s="11"/>
      <c r="C753" s="11"/>
      <c r="D753" s="11"/>
      <c r="E753" s="11"/>
      <c r="F753" s="11"/>
      <c r="G753" s="11"/>
      <c r="H753" s="11"/>
      <c r="I753" s="46"/>
      <c r="J753" s="11"/>
      <c r="K753" s="11"/>
      <c r="L753" s="11"/>
      <c r="M753" s="11"/>
      <c r="N753" s="11"/>
      <c r="O753" s="11"/>
      <c r="P753" s="11"/>
      <c r="Q753" s="11"/>
      <c r="R753" s="11"/>
      <c r="S753" s="11"/>
      <c r="T753" s="11"/>
      <c r="U753" s="11"/>
      <c r="V753" s="11"/>
      <c r="W753" s="11"/>
      <c r="X753" s="11"/>
      <c r="Y753" s="11"/>
      <c r="Z753" s="11"/>
    </row>
    <row r="754" spans="1:26" ht="14.25" customHeight="1">
      <c r="A754" s="11"/>
      <c r="B754" s="11"/>
      <c r="C754" s="11"/>
      <c r="D754" s="11"/>
      <c r="E754" s="11"/>
      <c r="F754" s="11"/>
      <c r="G754" s="11"/>
      <c r="H754" s="11"/>
      <c r="I754" s="46"/>
      <c r="J754" s="11"/>
      <c r="K754" s="11"/>
      <c r="L754" s="11"/>
      <c r="M754" s="11"/>
      <c r="N754" s="11"/>
      <c r="O754" s="11"/>
      <c r="P754" s="11"/>
      <c r="Q754" s="11"/>
      <c r="R754" s="11"/>
      <c r="S754" s="11"/>
      <c r="T754" s="11"/>
      <c r="U754" s="11"/>
      <c r="V754" s="11"/>
      <c r="W754" s="11"/>
      <c r="X754" s="11"/>
      <c r="Y754" s="11"/>
      <c r="Z754" s="11"/>
    </row>
    <row r="755" spans="1:26" ht="14.25" customHeight="1">
      <c r="A755" s="11"/>
      <c r="B755" s="11"/>
      <c r="C755" s="11"/>
      <c r="D755" s="11"/>
      <c r="E755" s="11"/>
      <c r="F755" s="11"/>
      <c r="G755" s="11"/>
      <c r="H755" s="11"/>
      <c r="I755" s="46"/>
      <c r="J755" s="11"/>
      <c r="K755" s="11"/>
      <c r="L755" s="11"/>
      <c r="M755" s="11"/>
      <c r="N755" s="11"/>
      <c r="O755" s="11"/>
      <c r="P755" s="11"/>
      <c r="Q755" s="11"/>
      <c r="R755" s="11"/>
      <c r="S755" s="11"/>
      <c r="T755" s="11"/>
      <c r="U755" s="11"/>
      <c r="V755" s="11"/>
      <c r="W755" s="11"/>
      <c r="X755" s="11"/>
      <c r="Y755" s="11"/>
      <c r="Z755" s="11"/>
    </row>
    <row r="756" spans="1:26" ht="14.25" customHeight="1">
      <c r="A756" s="11"/>
      <c r="B756" s="11"/>
      <c r="C756" s="11"/>
      <c r="D756" s="11"/>
      <c r="E756" s="11"/>
      <c r="F756" s="11"/>
      <c r="G756" s="11"/>
      <c r="H756" s="11"/>
      <c r="I756" s="46"/>
      <c r="J756" s="11"/>
      <c r="K756" s="11"/>
      <c r="L756" s="11"/>
      <c r="M756" s="11"/>
      <c r="N756" s="11"/>
      <c r="O756" s="11"/>
      <c r="P756" s="11"/>
      <c r="Q756" s="11"/>
      <c r="R756" s="11"/>
      <c r="S756" s="11"/>
      <c r="T756" s="11"/>
      <c r="U756" s="11"/>
      <c r="V756" s="11"/>
      <c r="W756" s="11"/>
      <c r="X756" s="11"/>
      <c r="Y756" s="11"/>
      <c r="Z756" s="11"/>
    </row>
    <row r="757" spans="1:26" ht="14.25" customHeight="1">
      <c r="A757" s="11"/>
      <c r="B757" s="11"/>
      <c r="C757" s="11"/>
      <c r="D757" s="11"/>
      <c r="E757" s="11"/>
      <c r="F757" s="11"/>
      <c r="G757" s="11"/>
      <c r="H757" s="11"/>
      <c r="I757" s="46"/>
      <c r="J757" s="11"/>
      <c r="K757" s="11"/>
      <c r="L757" s="11"/>
      <c r="M757" s="11"/>
      <c r="N757" s="11"/>
      <c r="O757" s="11"/>
      <c r="P757" s="11"/>
      <c r="Q757" s="11"/>
      <c r="R757" s="11"/>
      <c r="S757" s="11"/>
      <c r="T757" s="11"/>
      <c r="U757" s="11"/>
      <c r="V757" s="11"/>
      <c r="W757" s="11"/>
      <c r="X757" s="11"/>
      <c r="Y757" s="11"/>
      <c r="Z757" s="11"/>
    </row>
    <row r="758" spans="1:26" ht="14.25" customHeight="1">
      <c r="A758" s="11"/>
      <c r="B758" s="11"/>
      <c r="C758" s="11"/>
      <c r="D758" s="11"/>
      <c r="E758" s="11"/>
      <c r="F758" s="11"/>
      <c r="G758" s="11"/>
      <c r="H758" s="11"/>
      <c r="I758" s="46"/>
      <c r="J758" s="11"/>
      <c r="K758" s="11"/>
      <c r="L758" s="11"/>
      <c r="M758" s="11"/>
      <c r="N758" s="11"/>
      <c r="O758" s="11"/>
      <c r="P758" s="11"/>
      <c r="Q758" s="11"/>
      <c r="R758" s="11"/>
      <c r="S758" s="11"/>
      <c r="T758" s="11"/>
      <c r="U758" s="11"/>
      <c r="V758" s="11"/>
      <c r="W758" s="11"/>
      <c r="X758" s="11"/>
      <c r="Y758" s="11"/>
      <c r="Z758" s="11"/>
    </row>
    <row r="759" spans="1:26" ht="14.25" customHeight="1">
      <c r="A759" s="11"/>
      <c r="B759" s="11"/>
      <c r="C759" s="11"/>
      <c r="D759" s="11"/>
      <c r="E759" s="11"/>
      <c r="F759" s="11"/>
      <c r="G759" s="11"/>
      <c r="H759" s="11"/>
      <c r="I759" s="46"/>
      <c r="J759" s="11"/>
      <c r="K759" s="11"/>
      <c r="L759" s="11"/>
      <c r="M759" s="11"/>
      <c r="N759" s="11"/>
      <c r="O759" s="11"/>
      <c r="P759" s="11"/>
      <c r="Q759" s="11"/>
      <c r="R759" s="11"/>
      <c r="S759" s="11"/>
      <c r="T759" s="11"/>
      <c r="U759" s="11"/>
      <c r="V759" s="11"/>
      <c r="W759" s="11"/>
      <c r="X759" s="11"/>
      <c r="Y759" s="11"/>
      <c r="Z759" s="11"/>
    </row>
    <row r="760" spans="1:26" ht="14.25" customHeight="1">
      <c r="A760" s="11"/>
      <c r="B760" s="11"/>
      <c r="C760" s="11"/>
      <c r="D760" s="11"/>
      <c r="E760" s="11"/>
      <c r="F760" s="11"/>
      <c r="G760" s="11"/>
      <c r="H760" s="11"/>
      <c r="I760" s="46"/>
      <c r="J760" s="11"/>
      <c r="K760" s="11"/>
      <c r="L760" s="11"/>
      <c r="M760" s="11"/>
      <c r="N760" s="11"/>
      <c r="O760" s="11"/>
      <c r="P760" s="11"/>
      <c r="Q760" s="11"/>
      <c r="R760" s="11"/>
      <c r="S760" s="11"/>
      <c r="T760" s="11"/>
      <c r="U760" s="11"/>
      <c r="V760" s="11"/>
      <c r="W760" s="11"/>
      <c r="X760" s="11"/>
      <c r="Y760" s="11"/>
      <c r="Z760" s="11"/>
    </row>
    <row r="761" spans="1:26" ht="14.25" customHeight="1">
      <c r="A761" s="11"/>
      <c r="B761" s="11"/>
      <c r="C761" s="11"/>
      <c r="D761" s="11"/>
      <c r="E761" s="11"/>
      <c r="F761" s="11"/>
      <c r="G761" s="11"/>
      <c r="H761" s="11"/>
      <c r="I761" s="46"/>
      <c r="J761" s="11"/>
      <c r="K761" s="11"/>
      <c r="L761" s="11"/>
      <c r="M761" s="11"/>
      <c r="N761" s="11"/>
      <c r="O761" s="11"/>
      <c r="P761" s="11"/>
      <c r="Q761" s="11"/>
      <c r="R761" s="11"/>
      <c r="S761" s="11"/>
      <c r="T761" s="11"/>
      <c r="U761" s="11"/>
      <c r="V761" s="11"/>
      <c r="W761" s="11"/>
      <c r="X761" s="11"/>
      <c r="Y761" s="11"/>
      <c r="Z761" s="11"/>
    </row>
    <row r="762" spans="1:26" ht="14.25" customHeight="1">
      <c r="A762" s="11"/>
      <c r="B762" s="11"/>
      <c r="C762" s="11"/>
      <c r="D762" s="11"/>
      <c r="E762" s="11"/>
      <c r="F762" s="11"/>
      <c r="G762" s="11"/>
      <c r="H762" s="11"/>
      <c r="I762" s="46"/>
      <c r="J762" s="11"/>
      <c r="K762" s="11"/>
      <c r="L762" s="11"/>
      <c r="M762" s="11"/>
      <c r="N762" s="11"/>
      <c r="O762" s="11"/>
      <c r="P762" s="11"/>
      <c r="Q762" s="11"/>
      <c r="R762" s="11"/>
      <c r="S762" s="11"/>
      <c r="T762" s="11"/>
      <c r="U762" s="11"/>
      <c r="V762" s="11"/>
      <c r="W762" s="11"/>
      <c r="X762" s="11"/>
      <c r="Y762" s="11"/>
      <c r="Z762" s="11"/>
    </row>
    <row r="763" spans="1:26" ht="14.25" customHeight="1">
      <c r="A763" s="11"/>
      <c r="B763" s="11"/>
      <c r="C763" s="11"/>
      <c r="D763" s="11"/>
      <c r="E763" s="11"/>
      <c r="F763" s="11"/>
      <c r="G763" s="11"/>
      <c r="H763" s="11"/>
      <c r="I763" s="46"/>
      <c r="J763" s="11"/>
      <c r="K763" s="11"/>
      <c r="L763" s="11"/>
      <c r="M763" s="11"/>
      <c r="N763" s="11"/>
      <c r="O763" s="11"/>
      <c r="P763" s="11"/>
      <c r="Q763" s="11"/>
      <c r="R763" s="11"/>
      <c r="S763" s="11"/>
      <c r="T763" s="11"/>
      <c r="U763" s="11"/>
      <c r="V763" s="11"/>
      <c r="W763" s="11"/>
      <c r="X763" s="11"/>
      <c r="Y763" s="11"/>
      <c r="Z763" s="11"/>
    </row>
    <row r="764" spans="1:26" ht="14.25" customHeight="1">
      <c r="A764" s="11"/>
      <c r="B764" s="11"/>
      <c r="C764" s="11"/>
      <c r="D764" s="11"/>
      <c r="E764" s="11"/>
      <c r="F764" s="11"/>
      <c r="G764" s="11"/>
      <c r="H764" s="11"/>
      <c r="I764" s="46"/>
      <c r="J764" s="11"/>
      <c r="K764" s="11"/>
      <c r="L764" s="11"/>
      <c r="M764" s="11"/>
      <c r="N764" s="11"/>
      <c r="O764" s="11"/>
      <c r="P764" s="11"/>
      <c r="Q764" s="11"/>
      <c r="R764" s="11"/>
      <c r="S764" s="11"/>
      <c r="T764" s="11"/>
      <c r="U764" s="11"/>
      <c r="V764" s="11"/>
      <c r="W764" s="11"/>
      <c r="X764" s="11"/>
      <c r="Y764" s="11"/>
      <c r="Z764" s="11"/>
    </row>
    <row r="765" spans="1:26" ht="14.25" customHeight="1">
      <c r="A765" s="11"/>
      <c r="B765" s="11"/>
      <c r="C765" s="11"/>
      <c r="D765" s="11"/>
      <c r="E765" s="11"/>
      <c r="F765" s="11"/>
      <c r="G765" s="11"/>
      <c r="H765" s="11"/>
      <c r="I765" s="46"/>
      <c r="J765" s="11"/>
      <c r="K765" s="11"/>
      <c r="L765" s="11"/>
      <c r="M765" s="11"/>
      <c r="N765" s="11"/>
      <c r="O765" s="11"/>
      <c r="P765" s="11"/>
      <c r="Q765" s="11"/>
      <c r="R765" s="11"/>
      <c r="S765" s="11"/>
      <c r="T765" s="11"/>
      <c r="U765" s="11"/>
      <c r="V765" s="11"/>
      <c r="W765" s="11"/>
      <c r="X765" s="11"/>
      <c r="Y765" s="11"/>
      <c r="Z765" s="11"/>
    </row>
    <row r="766" spans="1:26" ht="14.25" customHeight="1">
      <c r="A766" s="11"/>
      <c r="B766" s="11"/>
      <c r="C766" s="11"/>
      <c r="D766" s="11"/>
      <c r="E766" s="11"/>
      <c r="F766" s="11"/>
      <c r="G766" s="11"/>
      <c r="H766" s="11"/>
      <c r="I766" s="46"/>
      <c r="J766" s="11"/>
      <c r="K766" s="11"/>
      <c r="L766" s="11"/>
      <c r="M766" s="11"/>
      <c r="N766" s="11"/>
      <c r="O766" s="11"/>
      <c r="P766" s="11"/>
      <c r="Q766" s="11"/>
      <c r="R766" s="11"/>
      <c r="S766" s="11"/>
      <c r="T766" s="11"/>
      <c r="U766" s="11"/>
      <c r="V766" s="11"/>
      <c r="W766" s="11"/>
      <c r="X766" s="11"/>
      <c r="Y766" s="11"/>
      <c r="Z766" s="11"/>
    </row>
    <row r="767" spans="1:26" ht="14.25" customHeight="1">
      <c r="A767" s="11"/>
      <c r="B767" s="11"/>
      <c r="C767" s="11"/>
      <c r="D767" s="11"/>
      <c r="E767" s="11"/>
      <c r="F767" s="11"/>
      <c r="G767" s="11"/>
      <c r="H767" s="11"/>
      <c r="I767" s="46"/>
      <c r="J767" s="11"/>
      <c r="K767" s="11"/>
      <c r="L767" s="11"/>
      <c r="M767" s="11"/>
      <c r="N767" s="11"/>
      <c r="O767" s="11"/>
      <c r="P767" s="11"/>
      <c r="Q767" s="11"/>
      <c r="R767" s="11"/>
      <c r="S767" s="11"/>
      <c r="T767" s="11"/>
      <c r="U767" s="11"/>
      <c r="V767" s="11"/>
      <c r="W767" s="11"/>
      <c r="X767" s="11"/>
      <c r="Y767" s="11"/>
      <c r="Z767" s="11"/>
    </row>
    <row r="768" spans="1:26" ht="14.25" customHeight="1">
      <c r="A768" s="11"/>
      <c r="B768" s="11"/>
      <c r="C768" s="11"/>
      <c r="D768" s="11"/>
      <c r="E768" s="11"/>
      <c r="F768" s="11"/>
      <c r="G768" s="11"/>
      <c r="H768" s="11"/>
      <c r="I768" s="46"/>
      <c r="J768" s="11"/>
      <c r="K768" s="11"/>
      <c r="L768" s="11"/>
      <c r="M768" s="11"/>
      <c r="N768" s="11"/>
      <c r="O768" s="11"/>
      <c r="P768" s="11"/>
      <c r="Q768" s="11"/>
      <c r="R768" s="11"/>
      <c r="S768" s="11"/>
      <c r="T768" s="11"/>
      <c r="U768" s="11"/>
      <c r="V768" s="11"/>
      <c r="W768" s="11"/>
      <c r="X768" s="11"/>
      <c r="Y768" s="11"/>
      <c r="Z768" s="11"/>
    </row>
    <row r="769" spans="1:26" ht="14.25" customHeight="1">
      <c r="A769" s="11"/>
      <c r="B769" s="11"/>
      <c r="C769" s="11"/>
      <c r="D769" s="11"/>
      <c r="E769" s="11"/>
      <c r="F769" s="11"/>
      <c r="G769" s="11"/>
      <c r="H769" s="11"/>
      <c r="I769" s="46"/>
      <c r="J769" s="11"/>
      <c r="K769" s="11"/>
      <c r="L769" s="11"/>
      <c r="M769" s="11"/>
      <c r="N769" s="11"/>
      <c r="O769" s="11"/>
      <c r="P769" s="11"/>
      <c r="Q769" s="11"/>
      <c r="R769" s="11"/>
      <c r="S769" s="11"/>
      <c r="T769" s="11"/>
      <c r="U769" s="11"/>
      <c r="V769" s="11"/>
      <c r="W769" s="11"/>
      <c r="X769" s="11"/>
      <c r="Y769" s="11"/>
      <c r="Z769" s="11"/>
    </row>
    <row r="770" spans="1:26" ht="14.25" customHeight="1">
      <c r="A770" s="11"/>
      <c r="B770" s="11"/>
      <c r="C770" s="11"/>
      <c r="D770" s="11"/>
      <c r="E770" s="11"/>
      <c r="F770" s="11"/>
      <c r="G770" s="11"/>
      <c r="H770" s="11"/>
      <c r="I770" s="46"/>
      <c r="J770" s="11"/>
      <c r="K770" s="11"/>
      <c r="L770" s="11"/>
      <c r="M770" s="11"/>
      <c r="N770" s="11"/>
      <c r="O770" s="11"/>
      <c r="P770" s="11"/>
      <c r="Q770" s="11"/>
      <c r="R770" s="11"/>
      <c r="S770" s="11"/>
      <c r="T770" s="11"/>
      <c r="U770" s="11"/>
      <c r="V770" s="11"/>
      <c r="W770" s="11"/>
      <c r="X770" s="11"/>
      <c r="Y770" s="11"/>
      <c r="Z770" s="11"/>
    </row>
    <row r="771" spans="1:26" ht="14.25" customHeight="1">
      <c r="A771" s="11"/>
      <c r="B771" s="11"/>
      <c r="C771" s="11"/>
      <c r="D771" s="11"/>
      <c r="E771" s="11"/>
      <c r="F771" s="11"/>
      <c r="G771" s="11"/>
      <c r="H771" s="11"/>
      <c r="I771" s="46"/>
      <c r="J771" s="11"/>
      <c r="K771" s="11"/>
      <c r="L771" s="11"/>
      <c r="M771" s="11"/>
      <c r="N771" s="11"/>
      <c r="O771" s="11"/>
      <c r="P771" s="11"/>
      <c r="Q771" s="11"/>
      <c r="R771" s="11"/>
      <c r="S771" s="11"/>
      <c r="T771" s="11"/>
      <c r="U771" s="11"/>
      <c r="V771" s="11"/>
      <c r="W771" s="11"/>
      <c r="X771" s="11"/>
      <c r="Y771" s="11"/>
      <c r="Z771" s="11"/>
    </row>
    <row r="772" spans="1:26" ht="14.25" customHeight="1">
      <c r="A772" s="11"/>
      <c r="B772" s="11"/>
      <c r="C772" s="11"/>
      <c r="D772" s="11"/>
      <c r="E772" s="11"/>
      <c r="F772" s="11"/>
      <c r="G772" s="11"/>
      <c r="H772" s="11"/>
      <c r="I772" s="46"/>
      <c r="J772" s="11"/>
      <c r="K772" s="11"/>
      <c r="L772" s="11"/>
      <c r="M772" s="11"/>
      <c r="N772" s="11"/>
      <c r="O772" s="11"/>
      <c r="P772" s="11"/>
      <c r="Q772" s="11"/>
      <c r="R772" s="11"/>
      <c r="S772" s="11"/>
      <c r="T772" s="11"/>
      <c r="U772" s="11"/>
      <c r="V772" s="11"/>
      <c r="W772" s="11"/>
      <c r="X772" s="11"/>
      <c r="Y772" s="11"/>
      <c r="Z772" s="11"/>
    </row>
    <row r="773" spans="1:26" ht="14.25" customHeight="1">
      <c r="A773" s="11"/>
      <c r="B773" s="11"/>
      <c r="C773" s="11"/>
      <c r="D773" s="11"/>
      <c r="E773" s="11"/>
      <c r="F773" s="11"/>
      <c r="G773" s="11"/>
      <c r="H773" s="11"/>
      <c r="I773" s="46"/>
      <c r="J773" s="11"/>
      <c r="K773" s="11"/>
      <c r="L773" s="11"/>
      <c r="M773" s="11"/>
      <c r="N773" s="11"/>
      <c r="O773" s="11"/>
      <c r="P773" s="11"/>
      <c r="Q773" s="11"/>
      <c r="R773" s="11"/>
      <c r="S773" s="11"/>
      <c r="T773" s="11"/>
      <c r="U773" s="11"/>
      <c r="V773" s="11"/>
      <c r="W773" s="11"/>
      <c r="X773" s="11"/>
      <c r="Y773" s="11"/>
      <c r="Z773" s="11"/>
    </row>
    <row r="774" spans="1:26" ht="14.25" customHeight="1">
      <c r="A774" s="11"/>
      <c r="B774" s="11"/>
      <c r="C774" s="11"/>
      <c r="D774" s="11"/>
      <c r="E774" s="11"/>
      <c r="F774" s="11"/>
      <c r="G774" s="11"/>
      <c r="H774" s="11"/>
      <c r="I774" s="46"/>
      <c r="J774" s="11"/>
      <c r="K774" s="11"/>
      <c r="L774" s="11"/>
      <c r="M774" s="11"/>
      <c r="N774" s="11"/>
      <c r="O774" s="11"/>
      <c r="P774" s="11"/>
      <c r="Q774" s="11"/>
      <c r="R774" s="11"/>
      <c r="S774" s="11"/>
      <c r="T774" s="11"/>
      <c r="U774" s="11"/>
      <c r="V774" s="11"/>
      <c r="W774" s="11"/>
      <c r="X774" s="11"/>
      <c r="Y774" s="11"/>
      <c r="Z774" s="11"/>
    </row>
    <row r="775" spans="1:26" ht="14.25" customHeight="1">
      <c r="A775" s="11"/>
      <c r="B775" s="11"/>
      <c r="C775" s="11"/>
      <c r="D775" s="11"/>
      <c r="E775" s="11"/>
      <c r="F775" s="11"/>
      <c r="G775" s="11"/>
      <c r="H775" s="11"/>
      <c r="I775" s="46"/>
      <c r="J775" s="11"/>
      <c r="K775" s="11"/>
      <c r="L775" s="11"/>
      <c r="M775" s="11"/>
      <c r="N775" s="11"/>
      <c r="O775" s="11"/>
      <c r="P775" s="11"/>
      <c r="Q775" s="11"/>
      <c r="R775" s="11"/>
      <c r="S775" s="11"/>
      <c r="T775" s="11"/>
      <c r="U775" s="11"/>
      <c r="V775" s="11"/>
      <c r="W775" s="11"/>
      <c r="X775" s="11"/>
      <c r="Y775" s="11"/>
      <c r="Z775" s="11"/>
    </row>
    <row r="776" spans="1:26" ht="14.25" customHeight="1">
      <c r="A776" s="11"/>
      <c r="B776" s="11"/>
      <c r="C776" s="11"/>
      <c r="D776" s="11"/>
      <c r="E776" s="11"/>
      <c r="F776" s="11"/>
      <c r="G776" s="11"/>
      <c r="H776" s="11"/>
      <c r="I776" s="46"/>
      <c r="J776" s="11"/>
      <c r="K776" s="11"/>
      <c r="L776" s="11"/>
      <c r="M776" s="11"/>
      <c r="N776" s="11"/>
      <c r="O776" s="11"/>
      <c r="P776" s="11"/>
      <c r="Q776" s="11"/>
      <c r="R776" s="11"/>
      <c r="S776" s="11"/>
      <c r="T776" s="11"/>
      <c r="U776" s="11"/>
      <c r="V776" s="11"/>
      <c r="W776" s="11"/>
      <c r="X776" s="11"/>
      <c r="Y776" s="11"/>
      <c r="Z776" s="11"/>
    </row>
    <row r="777" spans="1:26" ht="14.25" customHeight="1">
      <c r="A777" s="11"/>
      <c r="B777" s="11"/>
      <c r="C777" s="11"/>
      <c r="D777" s="11"/>
      <c r="E777" s="11"/>
      <c r="F777" s="11"/>
      <c r="G777" s="11"/>
      <c r="H777" s="11"/>
      <c r="I777" s="46"/>
      <c r="J777" s="11"/>
      <c r="K777" s="11"/>
      <c r="L777" s="11"/>
      <c r="M777" s="11"/>
      <c r="N777" s="11"/>
      <c r="O777" s="11"/>
      <c r="P777" s="11"/>
      <c r="Q777" s="11"/>
      <c r="R777" s="11"/>
      <c r="S777" s="11"/>
      <c r="T777" s="11"/>
      <c r="U777" s="11"/>
      <c r="V777" s="11"/>
      <c r="W777" s="11"/>
      <c r="X777" s="11"/>
      <c r="Y777" s="11"/>
      <c r="Z777" s="11"/>
    </row>
    <row r="778" spans="1:26" ht="14.25" customHeight="1">
      <c r="A778" s="11"/>
      <c r="B778" s="11"/>
      <c r="C778" s="11"/>
      <c r="D778" s="11"/>
      <c r="E778" s="11"/>
      <c r="F778" s="11"/>
      <c r="G778" s="11"/>
      <c r="H778" s="11"/>
      <c r="I778" s="46"/>
      <c r="J778" s="11"/>
      <c r="K778" s="11"/>
      <c r="L778" s="11"/>
      <c r="M778" s="11"/>
      <c r="N778" s="11"/>
      <c r="O778" s="11"/>
      <c r="P778" s="11"/>
      <c r="Q778" s="11"/>
      <c r="R778" s="11"/>
      <c r="S778" s="11"/>
      <c r="T778" s="11"/>
      <c r="U778" s="11"/>
      <c r="V778" s="11"/>
      <c r="W778" s="11"/>
      <c r="X778" s="11"/>
      <c r="Y778" s="11"/>
      <c r="Z778" s="11"/>
    </row>
    <row r="779" spans="1:26" ht="14.25" customHeight="1">
      <c r="A779" s="11"/>
      <c r="B779" s="11"/>
      <c r="C779" s="11"/>
      <c r="D779" s="11"/>
      <c r="E779" s="11"/>
      <c r="F779" s="11"/>
      <c r="G779" s="11"/>
      <c r="H779" s="11"/>
      <c r="I779" s="46"/>
      <c r="J779" s="11"/>
      <c r="K779" s="11"/>
      <c r="L779" s="11"/>
      <c r="M779" s="11"/>
      <c r="N779" s="11"/>
      <c r="O779" s="11"/>
      <c r="P779" s="11"/>
      <c r="Q779" s="11"/>
      <c r="R779" s="11"/>
      <c r="S779" s="11"/>
      <c r="T779" s="11"/>
      <c r="U779" s="11"/>
      <c r="V779" s="11"/>
      <c r="W779" s="11"/>
      <c r="X779" s="11"/>
      <c r="Y779" s="11"/>
      <c r="Z779" s="11"/>
    </row>
    <row r="780" spans="1:26" ht="14.25" customHeight="1">
      <c r="A780" s="11"/>
      <c r="B780" s="11"/>
      <c r="C780" s="11"/>
      <c r="D780" s="11"/>
      <c r="E780" s="11"/>
      <c r="F780" s="11"/>
      <c r="G780" s="11"/>
      <c r="H780" s="11"/>
      <c r="I780" s="46"/>
      <c r="J780" s="11"/>
      <c r="K780" s="11"/>
      <c r="L780" s="11"/>
      <c r="M780" s="11"/>
      <c r="N780" s="11"/>
      <c r="O780" s="11"/>
      <c r="P780" s="11"/>
      <c r="Q780" s="11"/>
      <c r="R780" s="11"/>
      <c r="S780" s="11"/>
      <c r="T780" s="11"/>
      <c r="U780" s="11"/>
      <c r="V780" s="11"/>
      <c r="W780" s="11"/>
      <c r="X780" s="11"/>
      <c r="Y780" s="11"/>
      <c r="Z780" s="11"/>
    </row>
    <row r="781" spans="1:26" ht="14.25" customHeight="1">
      <c r="A781" s="11"/>
      <c r="B781" s="11"/>
      <c r="C781" s="11"/>
      <c r="D781" s="11"/>
      <c r="E781" s="11"/>
      <c r="F781" s="11"/>
      <c r="G781" s="11"/>
      <c r="H781" s="11"/>
      <c r="I781" s="46"/>
      <c r="J781" s="11"/>
      <c r="K781" s="11"/>
      <c r="L781" s="11"/>
      <c r="M781" s="11"/>
      <c r="N781" s="11"/>
      <c r="O781" s="11"/>
      <c r="P781" s="11"/>
      <c r="Q781" s="11"/>
      <c r="R781" s="11"/>
      <c r="S781" s="11"/>
      <c r="T781" s="11"/>
      <c r="U781" s="11"/>
      <c r="V781" s="11"/>
      <c r="W781" s="11"/>
      <c r="X781" s="11"/>
      <c r="Y781" s="11"/>
      <c r="Z781" s="11"/>
    </row>
    <row r="782" spans="1:26" ht="14.25" customHeight="1">
      <c r="A782" s="11"/>
      <c r="B782" s="11"/>
      <c r="C782" s="11"/>
      <c r="D782" s="11"/>
      <c r="E782" s="11"/>
      <c r="F782" s="11"/>
      <c r="G782" s="11"/>
      <c r="H782" s="11"/>
      <c r="I782" s="46"/>
      <c r="J782" s="11"/>
      <c r="K782" s="11"/>
      <c r="L782" s="11"/>
      <c r="M782" s="11"/>
      <c r="N782" s="11"/>
      <c r="O782" s="11"/>
      <c r="P782" s="11"/>
      <c r="Q782" s="11"/>
      <c r="R782" s="11"/>
      <c r="S782" s="11"/>
      <c r="T782" s="11"/>
      <c r="U782" s="11"/>
      <c r="V782" s="11"/>
      <c r="W782" s="11"/>
      <c r="X782" s="11"/>
      <c r="Y782" s="11"/>
      <c r="Z782" s="11"/>
    </row>
    <row r="783" spans="1:26" ht="14.25" customHeight="1">
      <c r="A783" s="11"/>
      <c r="B783" s="11"/>
      <c r="C783" s="11"/>
      <c r="D783" s="11"/>
      <c r="E783" s="11"/>
      <c r="F783" s="11"/>
      <c r="G783" s="11"/>
      <c r="H783" s="11"/>
      <c r="I783" s="46"/>
      <c r="J783" s="11"/>
      <c r="K783" s="11"/>
      <c r="L783" s="11"/>
      <c r="M783" s="11"/>
      <c r="N783" s="11"/>
      <c r="O783" s="11"/>
      <c r="P783" s="11"/>
      <c r="Q783" s="11"/>
      <c r="R783" s="11"/>
      <c r="S783" s="11"/>
      <c r="T783" s="11"/>
      <c r="U783" s="11"/>
      <c r="V783" s="11"/>
      <c r="W783" s="11"/>
      <c r="X783" s="11"/>
      <c r="Y783" s="11"/>
      <c r="Z783" s="11"/>
    </row>
    <row r="784" spans="1:26" ht="14.25" customHeight="1">
      <c r="A784" s="11"/>
      <c r="B784" s="11"/>
      <c r="C784" s="11"/>
      <c r="D784" s="11"/>
      <c r="E784" s="11"/>
      <c r="F784" s="11"/>
      <c r="G784" s="11"/>
      <c r="H784" s="11"/>
      <c r="I784" s="46"/>
      <c r="J784" s="11"/>
      <c r="K784" s="11"/>
      <c r="L784" s="11"/>
      <c r="M784" s="11"/>
      <c r="N784" s="11"/>
      <c r="O784" s="11"/>
      <c r="P784" s="11"/>
      <c r="Q784" s="11"/>
      <c r="R784" s="11"/>
      <c r="S784" s="11"/>
      <c r="T784" s="11"/>
      <c r="U784" s="11"/>
      <c r="V784" s="11"/>
      <c r="W784" s="11"/>
      <c r="X784" s="11"/>
      <c r="Y784" s="11"/>
      <c r="Z784" s="11"/>
    </row>
    <row r="785" spans="1:26" ht="14.25" customHeight="1">
      <c r="A785" s="11"/>
      <c r="B785" s="11"/>
      <c r="C785" s="11"/>
      <c r="D785" s="11"/>
      <c r="E785" s="11"/>
      <c r="F785" s="11"/>
      <c r="G785" s="11"/>
      <c r="H785" s="11"/>
      <c r="I785" s="46"/>
      <c r="J785" s="11"/>
      <c r="K785" s="11"/>
      <c r="L785" s="11"/>
      <c r="M785" s="11"/>
      <c r="N785" s="11"/>
      <c r="O785" s="11"/>
      <c r="P785" s="11"/>
      <c r="Q785" s="11"/>
      <c r="R785" s="11"/>
      <c r="S785" s="11"/>
      <c r="T785" s="11"/>
      <c r="U785" s="11"/>
      <c r="V785" s="11"/>
      <c r="W785" s="11"/>
      <c r="X785" s="11"/>
      <c r="Y785" s="11"/>
      <c r="Z785" s="11"/>
    </row>
    <row r="786" spans="1:26" ht="14.25" customHeight="1">
      <c r="A786" s="11"/>
      <c r="B786" s="11"/>
      <c r="C786" s="11"/>
      <c r="D786" s="11"/>
      <c r="E786" s="11"/>
      <c r="F786" s="11"/>
      <c r="G786" s="11"/>
      <c r="H786" s="11"/>
      <c r="I786" s="46"/>
      <c r="J786" s="11"/>
      <c r="K786" s="11"/>
      <c r="L786" s="11"/>
      <c r="M786" s="11"/>
      <c r="N786" s="11"/>
      <c r="O786" s="11"/>
      <c r="P786" s="11"/>
      <c r="Q786" s="11"/>
      <c r="R786" s="11"/>
      <c r="S786" s="11"/>
      <c r="T786" s="11"/>
      <c r="U786" s="11"/>
      <c r="V786" s="11"/>
      <c r="W786" s="11"/>
      <c r="X786" s="11"/>
      <c r="Y786" s="11"/>
      <c r="Z786" s="11"/>
    </row>
    <row r="787" spans="1:26" ht="14.25" customHeight="1">
      <c r="A787" s="11"/>
      <c r="B787" s="11"/>
      <c r="C787" s="11"/>
      <c r="D787" s="11"/>
      <c r="E787" s="11"/>
      <c r="F787" s="11"/>
      <c r="G787" s="11"/>
      <c r="H787" s="11"/>
      <c r="I787" s="46"/>
      <c r="J787" s="11"/>
      <c r="K787" s="11"/>
      <c r="L787" s="11"/>
      <c r="M787" s="11"/>
      <c r="N787" s="11"/>
      <c r="O787" s="11"/>
      <c r="P787" s="11"/>
      <c r="Q787" s="11"/>
      <c r="R787" s="11"/>
      <c r="S787" s="11"/>
      <c r="T787" s="11"/>
      <c r="U787" s="11"/>
      <c r="V787" s="11"/>
      <c r="W787" s="11"/>
      <c r="X787" s="11"/>
      <c r="Y787" s="11"/>
      <c r="Z787" s="11"/>
    </row>
    <row r="788" spans="1:26" ht="14.25" customHeight="1">
      <c r="A788" s="11"/>
      <c r="B788" s="11"/>
      <c r="C788" s="11"/>
      <c r="D788" s="11"/>
      <c r="E788" s="11"/>
      <c r="F788" s="11"/>
      <c r="G788" s="11"/>
      <c r="H788" s="11"/>
      <c r="I788" s="46"/>
      <c r="J788" s="11"/>
      <c r="K788" s="11"/>
      <c r="L788" s="11"/>
      <c r="M788" s="11"/>
      <c r="N788" s="11"/>
      <c r="O788" s="11"/>
      <c r="P788" s="11"/>
      <c r="Q788" s="11"/>
      <c r="R788" s="11"/>
      <c r="S788" s="11"/>
      <c r="T788" s="11"/>
      <c r="U788" s="11"/>
      <c r="V788" s="11"/>
      <c r="W788" s="11"/>
      <c r="X788" s="11"/>
      <c r="Y788" s="11"/>
      <c r="Z788" s="11"/>
    </row>
    <row r="789" spans="1:26" ht="14.25" customHeight="1">
      <c r="A789" s="11"/>
      <c r="B789" s="11"/>
      <c r="C789" s="11"/>
      <c r="D789" s="11"/>
      <c r="E789" s="11"/>
      <c r="F789" s="11"/>
      <c r="G789" s="11"/>
      <c r="H789" s="11"/>
      <c r="I789" s="46"/>
      <c r="J789" s="11"/>
      <c r="K789" s="11"/>
      <c r="L789" s="11"/>
      <c r="M789" s="11"/>
      <c r="N789" s="11"/>
      <c r="O789" s="11"/>
      <c r="P789" s="11"/>
      <c r="Q789" s="11"/>
      <c r="R789" s="11"/>
      <c r="S789" s="11"/>
      <c r="T789" s="11"/>
      <c r="U789" s="11"/>
      <c r="V789" s="11"/>
      <c r="W789" s="11"/>
      <c r="X789" s="11"/>
      <c r="Y789" s="11"/>
      <c r="Z789" s="11"/>
    </row>
    <row r="790" spans="1:26" ht="14.25" customHeight="1">
      <c r="A790" s="11"/>
      <c r="B790" s="11"/>
      <c r="C790" s="11"/>
      <c r="D790" s="11"/>
      <c r="E790" s="11"/>
      <c r="F790" s="11"/>
      <c r="G790" s="11"/>
      <c r="H790" s="11"/>
      <c r="I790" s="46"/>
      <c r="J790" s="11"/>
      <c r="K790" s="11"/>
      <c r="L790" s="11"/>
      <c r="M790" s="11"/>
      <c r="N790" s="11"/>
      <c r="O790" s="11"/>
      <c r="P790" s="11"/>
      <c r="Q790" s="11"/>
      <c r="R790" s="11"/>
      <c r="S790" s="11"/>
      <c r="T790" s="11"/>
      <c r="U790" s="11"/>
      <c r="V790" s="11"/>
      <c r="W790" s="11"/>
      <c r="X790" s="11"/>
      <c r="Y790" s="11"/>
      <c r="Z790" s="11"/>
    </row>
    <row r="791" spans="1:26" ht="14.25" customHeight="1">
      <c r="A791" s="11"/>
      <c r="B791" s="11"/>
      <c r="C791" s="11"/>
      <c r="D791" s="11"/>
      <c r="E791" s="11"/>
      <c r="F791" s="11"/>
      <c r="G791" s="11"/>
      <c r="H791" s="11"/>
      <c r="I791" s="46"/>
      <c r="J791" s="11"/>
      <c r="K791" s="11"/>
      <c r="L791" s="11"/>
      <c r="M791" s="11"/>
      <c r="N791" s="11"/>
      <c r="O791" s="11"/>
      <c r="P791" s="11"/>
      <c r="Q791" s="11"/>
      <c r="R791" s="11"/>
      <c r="S791" s="11"/>
      <c r="T791" s="11"/>
      <c r="U791" s="11"/>
      <c r="V791" s="11"/>
      <c r="W791" s="11"/>
      <c r="X791" s="11"/>
      <c r="Y791" s="11"/>
      <c r="Z791" s="11"/>
    </row>
    <row r="792" spans="1:26" ht="14.25" customHeight="1">
      <c r="A792" s="11"/>
      <c r="B792" s="11"/>
      <c r="C792" s="11"/>
      <c r="D792" s="11"/>
      <c r="E792" s="11"/>
      <c r="F792" s="11"/>
      <c r="G792" s="11"/>
      <c r="H792" s="11"/>
      <c r="I792" s="46"/>
      <c r="J792" s="11"/>
      <c r="K792" s="11"/>
      <c r="L792" s="11"/>
      <c r="M792" s="11"/>
      <c r="N792" s="11"/>
      <c r="O792" s="11"/>
      <c r="P792" s="11"/>
      <c r="Q792" s="11"/>
      <c r="R792" s="11"/>
      <c r="S792" s="11"/>
      <c r="T792" s="11"/>
      <c r="U792" s="11"/>
      <c r="V792" s="11"/>
      <c r="W792" s="11"/>
      <c r="X792" s="11"/>
      <c r="Y792" s="11"/>
      <c r="Z792" s="11"/>
    </row>
    <row r="793" spans="1:26" ht="14.25" customHeight="1">
      <c r="A793" s="11"/>
      <c r="B793" s="11"/>
      <c r="C793" s="11"/>
      <c r="D793" s="11"/>
      <c r="E793" s="11"/>
      <c r="F793" s="11"/>
      <c r="G793" s="11"/>
      <c r="H793" s="11"/>
      <c r="I793" s="46"/>
      <c r="J793" s="11"/>
      <c r="K793" s="11"/>
      <c r="L793" s="11"/>
      <c r="M793" s="11"/>
      <c r="N793" s="11"/>
      <c r="O793" s="11"/>
      <c r="P793" s="11"/>
      <c r="Q793" s="11"/>
      <c r="R793" s="11"/>
      <c r="S793" s="11"/>
      <c r="T793" s="11"/>
      <c r="U793" s="11"/>
      <c r="V793" s="11"/>
      <c r="W793" s="11"/>
      <c r="X793" s="11"/>
      <c r="Y793" s="11"/>
      <c r="Z793" s="11"/>
    </row>
    <row r="794" spans="1:26" ht="14.25" customHeight="1">
      <c r="A794" s="11"/>
      <c r="B794" s="11"/>
      <c r="C794" s="11"/>
      <c r="D794" s="11"/>
      <c r="E794" s="11"/>
      <c r="F794" s="11"/>
      <c r="G794" s="11"/>
      <c r="H794" s="11"/>
      <c r="I794" s="46"/>
      <c r="J794" s="11"/>
      <c r="K794" s="11"/>
      <c r="L794" s="11"/>
      <c r="M794" s="11"/>
      <c r="N794" s="11"/>
      <c r="O794" s="11"/>
      <c r="P794" s="11"/>
      <c r="Q794" s="11"/>
      <c r="R794" s="11"/>
      <c r="S794" s="11"/>
      <c r="T794" s="11"/>
      <c r="U794" s="11"/>
      <c r="V794" s="11"/>
      <c r="W794" s="11"/>
      <c r="X794" s="11"/>
      <c r="Y794" s="11"/>
      <c r="Z794" s="11"/>
    </row>
    <row r="795" spans="1:26" ht="14.25" customHeight="1">
      <c r="A795" s="11"/>
      <c r="B795" s="11"/>
      <c r="C795" s="11"/>
      <c r="D795" s="11"/>
      <c r="E795" s="11"/>
      <c r="F795" s="11"/>
      <c r="G795" s="11"/>
      <c r="H795" s="11"/>
      <c r="I795" s="46"/>
      <c r="J795" s="11"/>
      <c r="K795" s="11"/>
      <c r="L795" s="11"/>
      <c r="M795" s="11"/>
      <c r="N795" s="11"/>
      <c r="O795" s="11"/>
      <c r="P795" s="11"/>
      <c r="Q795" s="11"/>
      <c r="R795" s="11"/>
      <c r="S795" s="11"/>
      <c r="T795" s="11"/>
      <c r="U795" s="11"/>
      <c r="V795" s="11"/>
      <c r="W795" s="11"/>
      <c r="X795" s="11"/>
      <c r="Y795" s="11"/>
      <c r="Z795" s="11"/>
    </row>
    <row r="796" spans="1:26" ht="14.25" customHeight="1">
      <c r="A796" s="11"/>
      <c r="B796" s="11"/>
      <c r="C796" s="11"/>
      <c r="D796" s="11"/>
      <c r="E796" s="11"/>
      <c r="F796" s="11"/>
      <c r="G796" s="11"/>
      <c r="H796" s="11"/>
      <c r="I796" s="46"/>
      <c r="J796" s="11"/>
      <c r="K796" s="11"/>
      <c r="L796" s="11"/>
      <c r="M796" s="11"/>
      <c r="N796" s="11"/>
      <c r="O796" s="11"/>
      <c r="P796" s="11"/>
      <c r="Q796" s="11"/>
      <c r="R796" s="11"/>
      <c r="S796" s="11"/>
      <c r="T796" s="11"/>
      <c r="U796" s="11"/>
      <c r="V796" s="11"/>
      <c r="W796" s="11"/>
      <c r="X796" s="11"/>
      <c r="Y796" s="11"/>
      <c r="Z796" s="11"/>
    </row>
    <row r="797" spans="1:26" ht="14.25" customHeight="1">
      <c r="A797" s="11"/>
      <c r="B797" s="11"/>
      <c r="C797" s="11"/>
      <c r="D797" s="11"/>
      <c r="E797" s="11"/>
      <c r="F797" s="11"/>
      <c r="G797" s="11"/>
      <c r="H797" s="11"/>
      <c r="I797" s="46"/>
      <c r="J797" s="11"/>
      <c r="K797" s="11"/>
      <c r="L797" s="11"/>
      <c r="M797" s="11"/>
      <c r="N797" s="11"/>
      <c r="O797" s="11"/>
      <c r="P797" s="11"/>
      <c r="Q797" s="11"/>
      <c r="R797" s="11"/>
      <c r="S797" s="11"/>
      <c r="T797" s="11"/>
      <c r="U797" s="11"/>
      <c r="V797" s="11"/>
      <c r="W797" s="11"/>
      <c r="X797" s="11"/>
      <c r="Y797" s="11"/>
      <c r="Z797" s="11"/>
    </row>
    <row r="798" spans="1:26" ht="14.25" customHeight="1">
      <c r="A798" s="11"/>
      <c r="B798" s="11"/>
      <c r="C798" s="11"/>
      <c r="D798" s="11"/>
      <c r="E798" s="11"/>
      <c r="F798" s="11"/>
      <c r="G798" s="11"/>
      <c r="H798" s="11"/>
      <c r="I798" s="46"/>
      <c r="J798" s="11"/>
      <c r="K798" s="11"/>
      <c r="L798" s="11"/>
      <c r="M798" s="11"/>
      <c r="N798" s="11"/>
      <c r="O798" s="11"/>
      <c r="P798" s="11"/>
      <c r="Q798" s="11"/>
      <c r="R798" s="11"/>
      <c r="S798" s="11"/>
      <c r="T798" s="11"/>
      <c r="U798" s="11"/>
      <c r="V798" s="11"/>
      <c r="W798" s="11"/>
      <c r="X798" s="11"/>
      <c r="Y798" s="11"/>
      <c r="Z798" s="11"/>
    </row>
    <row r="799" spans="1:26" ht="14.25" customHeight="1">
      <c r="A799" s="11"/>
      <c r="B799" s="11"/>
      <c r="C799" s="11"/>
      <c r="D799" s="11"/>
      <c r="E799" s="11"/>
      <c r="F799" s="11"/>
      <c r="G799" s="11"/>
      <c r="H799" s="11"/>
      <c r="I799" s="46"/>
      <c r="J799" s="11"/>
      <c r="K799" s="11"/>
      <c r="L799" s="11"/>
      <c r="M799" s="11"/>
      <c r="N799" s="11"/>
      <c r="O799" s="11"/>
      <c r="P799" s="11"/>
      <c r="Q799" s="11"/>
      <c r="R799" s="11"/>
      <c r="S799" s="11"/>
      <c r="T799" s="11"/>
      <c r="U799" s="11"/>
      <c r="V799" s="11"/>
      <c r="W799" s="11"/>
      <c r="X799" s="11"/>
      <c r="Y799" s="11"/>
      <c r="Z799" s="11"/>
    </row>
    <row r="800" spans="1:26" ht="14.25" customHeight="1">
      <c r="A800" s="11"/>
      <c r="B800" s="11"/>
      <c r="C800" s="11"/>
      <c r="D800" s="11"/>
      <c r="E800" s="11"/>
      <c r="F800" s="11"/>
      <c r="G800" s="11"/>
      <c r="H800" s="11"/>
      <c r="I800" s="46"/>
      <c r="J800" s="11"/>
      <c r="K800" s="11"/>
      <c r="L800" s="11"/>
      <c r="M800" s="11"/>
      <c r="N800" s="11"/>
      <c r="O800" s="11"/>
      <c r="P800" s="11"/>
      <c r="Q800" s="11"/>
      <c r="R800" s="11"/>
      <c r="S800" s="11"/>
      <c r="T800" s="11"/>
      <c r="U800" s="11"/>
      <c r="V800" s="11"/>
      <c r="W800" s="11"/>
      <c r="X800" s="11"/>
      <c r="Y800" s="11"/>
      <c r="Z800" s="11"/>
    </row>
    <row r="801" spans="1:26" ht="14.25" customHeight="1">
      <c r="A801" s="11"/>
      <c r="B801" s="11"/>
      <c r="C801" s="11"/>
      <c r="D801" s="11"/>
      <c r="E801" s="11"/>
      <c r="F801" s="11"/>
      <c r="G801" s="11"/>
      <c r="H801" s="11"/>
      <c r="I801" s="46"/>
      <c r="J801" s="11"/>
      <c r="K801" s="11"/>
      <c r="L801" s="11"/>
      <c r="M801" s="11"/>
      <c r="N801" s="11"/>
      <c r="O801" s="11"/>
      <c r="P801" s="11"/>
      <c r="Q801" s="11"/>
      <c r="R801" s="11"/>
      <c r="S801" s="11"/>
      <c r="T801" s="11"/>
      <c r="U801" s="11"/>
      <c r="V801" s="11"/>
      <c r="W801" s="11"/>
      <c r="X801" s="11"/>
      <c r="Y801" s="11"/>
      <c r="Z801" s="11"/>
    </row>
    <row r="802" spans="1:26" ht="14.25" customHeight="1">
      <c r="A802" s="11"/>
      <c r="B802" s="11"/>
      <c r="C802" s="11"/>
      <c r="D802" s="11"/>
      <c r="E802" s="11"/>
      <c r="F802" s="11"/>
      <c r="G802" s="11"/>
      <c r="H802" s="11"/>
      <c r="I802" s="46"/>
      <c r="J802" s="11"/>
      <c r="K802" s="11"/>
      <c r="L802" s="11"/>
      <c r="M802" s="11"/>
      <c r="N802" s="11"/>
      <c r="O802" s="11"/>
      <c r="P802" s="11"/>
      <c r="Q802" s="11"/>
      <c r="R802" s="11"/>
      <c r="S802" s="11"/>
      <c r="T802" s="11"/>
      <c r="U802" s="11"/>
      <c r="V802" s="11"/>
      <c r="W802" s="11"/>
      <c r="X802" s="11"/>
      <c r="Y802" s="11"/>
      <c r="Z802" s="11"/>
    </row>
    <row r="803" spans="1:26" ht="14.25" customHeight="1">
      <c r="A803" s="11"/>
      <c r="B803" s="11"/>
      <c r="C803" s="11"/>
      <c r="D803" s="11"/>
      <c r="E803" s="11"/>
      <c r="F803" s="11"/>
      <c r="G803" s="11"/>
      <c r="H803" s="11"/>
      <c r="I803" s="46"/>
      <c r="J803" s="11"/>
      <c r="K803" s="11"/>
      <c r="L803" s="11"/>
      <c r="M803" s="11"/>
      <c r="N803" s="11"/>
      <c r="O803" s="11"/>
      <c r="P803" s="11"/>
      <c r="Q803" s="11"/>
      <c r="R803" s="11"/>
      <c r="S803" s="11"/>
      <c r="T803" s="11"/>
      <c r="U803" s="11"/>
      <c r="V803" s="11"/>
      <c r="W803" s="11"/>
      <c r="X803" s="11"/>
      <c r="Y803" s="11"/>
      <c r="Z803" s="11"/>
    </row>
    <row r="804" spans="1:26" ht="14.25" customHeight="1">
      <c r="A804" s="11"/>
      <c r="B804" s="11"/>
      <c r="C804" s="11"/>
      <c r="D804" s="11"/>
      <c r="E804" s="11"/>
      <c r="F804" s="11"/>
      <c r="G804" s="11"/>
      <c r="H804" s="11"/>
      <c r="I804" s="46"/>
      <c r="J804" s="11"/>
      <c r="K804" s="11"/>
      <c r="L804" s="11"/>
      <c r="M804" s="11"/>
      <c r="N804" s="11"/>
      <c r="O804" s="11"/>
      <c r="P804" s="11"/>
      <c r="Q804" s="11"/>
      <c r="R804" s="11"/>
      <c r="S804" s="11"/>
      <c r="T804" s="11"/>
      <c r="U804" s="11"/>
      <c r="V804" s="11"/>
      <c r="W804" s="11"/>
      <c r="X804" s="11"/>
      <c r="Y804" s="11"/>
      <c r="Z804" s="11"/>
    </row>
    <row r="805" spans="1:26" ht="14.25" customHeight="1">
      <c r="A805" s="11"/>
      <c r="B805" s="11"/>
      <c r="C805" s="11"/>
      <c r="D805" s="11"/>
      <c r="E805" s="11"/>
      <c r="F805" s="11"/>
      <c r="G805" s="11"/>
      <c r="H805" s="11"/>
      <c r="I805" s="46"/>
      <c r="J805" s="11"/>
      <c r="K805" s="11"/>
      <c r="L805" s="11"/>
      <c r="M805" s="11"/>
      <c r="N805" s="11"/>
      <c r="O805" s="11"/>
      <c r="P805" s="11"/>
      <c r="Q805" s="11"/>
      <c r="R805" s="11"/>
      <c r="S805" s="11"/>
      <c r="T805" s="11"/>
      <c r="U805" s="11"/>
      <c r="V805" s="11"/>
      <c r="W805" s="11"/>
      <c r="X805" s="11"/>
      <c r="Y805" s="11"/>
      <c r="Z805" s="11"/>
    </row>
    <row r="806" spans="1:26" ht="14.25" customHeight="1">
      <c r="A806" s="11"/>
      <c r="B806" s="11"/>
      <c r="C806" s="11"/>
      <c r="D806" s="11"/>
      <c r="E806" s="11"/>
      <c r="F806" s="11"/>
      <c r="G806" s="11"/>
      <c r="H806" s="11"/>
      <c r="I806" s="46"/>
      <c r="J806" s="11"/>
      <c r="K806" s="11"/>
      <c r="L806" s="11"/>
      <c r="M806" s="11"/>
      <c r="N806" s="11"/>
      <c r="O806" s="11"/>
      <c r="P806" s="11"/>
      <c r="Q806" s="11"/>
      <c r="R806" s="11"/>
      <c r="S806" s="11"/>
      <c r="T806" s="11"/>
      <c r="U806" s="11"/>
      <c r="V806" s="11"/>
      <c r="W806" s="11"/>
      <c r="X806" s="11"/>
      <c r="Y806" s="11"/>
      <c r="Z806" s="11"/>
    </row>
    <row r="807" spans="1:26" ht="14.25" customHeight="1">
      <c r="A807" s="11"/>
      <c r="B807" s="11"/>
      <c r="C807" s="11"/>
      <c r="D807" s="11"/>
      <c r="E807" s="11"/>
      <c r="F807" s="11"/>
      <c r="G807" s="11"/>
      <c r="H807" s="11"/>
      <c r="I807" s="46"/>
      <c r="J807" s="11"/>
      <c r="K807" s="11"/>
      <c r="L807" s="11"/>
      <c r="M807" s="11"/>
      <c r="N807" s="11"/>
      <c r="O807" s="11"/>
      <c r="P807" s="11"/>
      <c r="Q807" s="11"/>
      <c r="R807" s="11"/>
      <c r="S807" s="11"/>
      <c r="T807" s="11"/>
      <c r="U807" s="11"/>
      <c r="V807" s="11"/>
      <c r="W807" s="11"/>
      <c r="X807" s="11"/>
      <c r="Y807" s="11"/>
      <c r="Z807" s="11"/>
    </row>
    <row r="808" spans="1:26" ht="14.25" customHeight="1">
      <c r="A808" s="11"/>
      <c r="B808" s="11"/>
      <c r="C808" s="11"/>
      <c r="D808" s="11"/>
      <c r="E808" s="11"/>
      <c r="F808" s="11"/>
      <c r="G808" s="11"/>
      <c r="H808" s="11"/>
      <c r="I808" s="46"/>
      <c r="J808" s="11"/>
      <c r="K808" s="11"/>
      <c r="L808" s="11"/>
      <c r="M808" s="11"/>
      <c r="N808" s="11"/>
      <c r="O808" s="11"/>
      <c r="P808" s="11"/>
      <c r="Q808" s="11"/>
      <c r="R808" s="11"/>
      <c r="S808" s="11"/>
      <c r="T808" s="11"/>
      <c r="U808" s="11"/>
      <c r="V808" s="11"/>
      <c r="W808" s="11"/>
      <c r="X808" s="11"/>
      <c r="Y808" s="11"/>
      <c r="Z808" s="11"/>
    </row>
    <row r="809" spans="1:26" ht="14.25" customHeight="1">
      <c r="A809" s="11"/>
      <c r="B809" s="11"/>
      <c r="C809" s="11"/>
      <c r="D809" s="11"/>
      <c r="E809" s="11"/>
      <c r="F809" s="11"/>
      <c r="G809" s="11"/>
      <c r="H809" s="11"/>
      <c r="I809" s="46"/>
      <c r="J809" s="11"/>
      <c r="K809" s="11"/>
      <c r="L809" s="11"/>
      <c r="M809" s="11"/>
      <c r="N809" s="11"/>
      <c r="O809" s="11"/>
      <c r="P809" s="11"/>
      <c r="Q809" s="11"/>
      <c r="R809" s="11"/>
      <c r="S809" s="11"/>
      <c r="T809" s="11"/>
      <c r="U809" s="11"/>
      <c r="V809" s="11"/>
      <c r="W809" s="11"/>
      <c r="X809" s="11"/>
      <c r="Y809" s="11"/>
      <c r="Z809" s="11"/>
    </row>
    <row r="810" spans="1:26" ht="14.25" customHeight="1">
      <c r="A810" s="11"/>
      <c r="B810" s="11"/>
      <c r="C810" s="11"/>
      <c r="D810" s="11"/>
      <c r="E810" s="11"/>
      <c r="F810" s="11"/>
      <c r="G810" s="11"/>
      <c r="H810" s="11"/>
      <c r="I810" s="46"/>
      <c r="J810" s="11"/>
      <c r="K810" s="11"/>
      <c r="L810" s="11"/>
      <c r="M810" s="11"/>
      <c r="N810" s="11"/>
      <c r="O810" s="11"/>
      <c r="P810" s="11"/>
      <c r="Q810" s="11"/>
      <c r="R810" s="11"/>
      <c r="S810" s="11"/>
      <c r="T810" s="11"/>
      <c r="U810" s="11"/>
      <c r="V810" s="11"/>
      <c r="W810" s="11"/>
      <c r="X810" s="11"/>
      <c r="Y810" s="11"/>
      <c r="Z810" s="11"/>
    </row>
    <row r="811" spans="1:26" ht="14.25" customHeight="1">
      <c r="A811" s="11"/>
      <c r="B811" s="11"/>
      <c r="C811" s="11"/>
      <c r="D811" s="11"/>
      <c r="E811" s="11"/>
      <c r="F811" s="11"/>
      <c r="G811" s="11"/>
      <c r="H811" s="11"/>
      <c r="I811" s="46"/>
      <c r="J811" s="11"/>
      <c r="K811" s="11"/>
      <c r="L811" s="11"/>
      <c r="M811" s="11"/>
      <c r="N811" s="11"/>
      <c r="O811" s="11"/>
      <c r="P811" s="11"/>
      <c r="Q811" s="11"/>
      <c r="R811" s="11"/>
      <c r="S811" s="11"/>
      <c r="T811" s="11"/>
      <c r="U811" s="11"/>
      <c r="V811" s="11"/>
      <c r="W811" s="11"/>
      <c r="X811" s="11"/>
      <c r="Y811" s="11"/>
      <c r="Z811" s="11"/>
    </row>
    <row r="812" spans="1:26" ht="14.25" customHeight="1">
      <c r="A812" s="11"/>
      <c r="B812" s="11"/>
      <c r="C812" s="11"/>
      <c r="D812" s="11"/>
      <c r="E812" s="11"/>
      <c r="F812" s="11"/>
      <c r="G812" s="11"/>
      <c r="H812" s="11"/>
      <c r="I812" s="46"/>
      <c r="J812" s="11"/>
      <c r="K812" s="11"/>
      <c r="L812" s="11"/>
      <c r="M812" s="11"/>
      <c r="N812" s="11"/>
      <c r="O812" s="11"/>
      <c r="P812" s="11"/>
      <c r="Q812" s="11"/>
      <c r="R812" s="11"/>
      <c r="S812" s="11"/>
      <c r="T812" s="11"/>
      <c r="U812" s="11"/>
      <c r="V812" s="11"/>
      <c r="W812" s="11"/>
      <c r="X812" s="11"/>
      <c r="Y812" s="11"/>
      <c r="Z812" s="11"/>
    </row>
    <row r="813" spans="1:26" ht="14.25" customHeight="1">
      <c r="A813" s="11"/>
      <c r="B813" s="11"/>
      <c r="C813" s="11"/>
      <c r="D813" s="11"/>
      <c r="E813" s="11"/>
      <c r="F813" s="11"/>
      <c r="G813" s="11"/>
      <c r="H813" s="11"/>
      <c r="I813" s="46"/>
      <c r="J813" s="11"/>
      <c r="K813" s="11"/>
      <c r="L813" s="11"/>
      <c r="M813" s="11"/>
      <c r="N813" s="11"/>
      <c r="O813" s="11"/>
      <c r="P813" s="11"/>
      <c r="Q813" s="11"/>
      <c r="R813" s="11"/>
      <c r="S813" s="11"/>
      <c r="T813" s="11"/>
      <c r="U813" s="11"/>
      <c r="V813" s="11"/>
      <c r="W813" s="11"/>
      <c r="X813" s="11"/>
      <c r="Y813" s="11"/>
      <c r="Z813" s="11"/>
    </row>
    <row r="814" spans="1:26" ht="14.25" customHeight="1">
      <c r="A814" s="11"/>
      <c r="B814" s="11"/>
      <c r="C814" s="11"/>
      <c r="D814" s="11"/>
      <c r="E814" s="11"/>
      <c r="F814" s="11"/>
      <c r="G814" s="11"/>
      <c r="H814" s="11"/>
      <c r="I814" s="46"/>
      <c r="J814" s="11"/>
      <c r="K814" s="11"/>
      <c r="L814" s="11"/>
      <c r="M814" s="11"/>
      <c r="N814" s="11"/>
      <c r="O814" s="11"/>
      <c r="P814" s="11"/>
      <c r="Q814" s="11"/>
      <c r="R814" s="11"/>
      <c r="S814" s="11"/>
      <c r="T814" s="11"/>
      <c r="U814" s="11"/>
      <c r="V814" s="11"/>
      <c r="W814" s="11"/>
      <c r="X814" s="11"/>
      <c r="Y814" s="11"/>
      <c r="Z814" s="11"/>
    </row>
    <row r="815" spans="1:26" ht="14.25" customHeight="1">
      <c r="A815" s="11"/>
      <c r="B815" s="11"/>
      <c r="C815" s="11"/>
      <c r="D815" s="11"/>
      <c r="E815" s="11"/>
      <c r="F815" s="11"/>
      <c r="G815" s="11"/>
      <c r="H815" s="11"/>
      <c r="I815" s="46"/>
      <c r="J815" s="11"/>
      <c r="K815" s="11"/>
      <c r="L815" s="11"/>
      <c r="M815" s="11"/>
      <c r="N815" s="11"/>
      <c r="O815" s="11"/>
      <c r="P815" s="11"/>
      <c r="Q815" s="11"/>
      <c r="R815" s="11"/>
      <c r="S815" s="11"/>
      <c r="T815" s="11"/>
      <c r="U815" s="11"/>
      <c r="V815" s="11"/>
      <c r="W815" s="11"/>
      <c r="X815" s="11"/>
      <c r="Y815" s="11"/>
      <c r="Z815" s="11"/>
    </row>
    <row r="816" spans="1:26" ht="14.25" customHeight="1">
      <c r="A816" s="11"/>
      <c r="B816" s="11"/>
      <c r="C816" s="11"/>
      <c r="D816" s="11"/>
      <c r="E816" s="11"/>
      <c r="F816" s="11"/>
      <c r="G816" s="11"/>
      <c r="H816" s="11"/>
      <c r="I816" s="46"/>
      <c r="J816" s="11"/>
      <c r="K816" s="11"/>
      <c r="L816" s="11"/>
      <c r="M816" s="11"/>
      <c r="N816" s="11"/>
      <c r="O816" s="11"/>
      <c r="P816" s="11"/>
      <c r="Q816" s="11"/>
      <c r="R816" s="11"/>
      <c r="S816" s="11"/>
      <c r="T816" s="11"/>
      <c r="U816" s="11"/>
      <c r="V816" s="11"/>
      <c r="W816" s="11"/>
      <c r="X816" s="11"/>
      <c r="Y816" s="11"/>
      <c r="Z816" s="11"/>
    </row>
    <row r="817" spans="1:26" ht="14.25" customHeight="1">
      <c r="A817" s="11"/>
      <c r="B817" s="11"/>
      <c r="C817" s="11"/>
      <c r="D817" s="11"/>
      <c r="E817" s="11"/>
      <c r="F817" s="11"/>
      <c r="G817" s="11"/>
      <c r="H817" s="11"/>
      <c r="I817" s="46"/>
      <c r="J817" s="11"/>
      <c r="K817" s="11"/>
      <c r="L817" s="11"/>
      <c r="M817" s="11"/>
      <c r="N817" s="11"/>
      <c r="O817" s="11"/>
      <c r="P817" s="11"/>
      <c r="Q817" s="11"/>
      <c r="R817" s="11"/>
      <c r="S817" s="11"/>
      <c r="T817" s="11"/>
      <c r="U817" s="11"/>
      <c r="V817" s="11"/>
      <c r="W817" s="11"/>
      <c r="X817" s="11"/>
      <c r="Y817" s="11"/>
      <c r="Z817" s="11"/>
    </row>
    <row r="818" spans="1:26" ht="14.25" customHeight="1">
      <c r="A818" s="11"/>
      <c r="B818" s="11"/>
      <c r="C818" s="11"/>
      <c r="D818" s="11"/>
      <c r="E818" s="11"/>
      <c r="F818" s="11"/>
      <c r="G818" s="11"/>
      <c r="H818" s="11"/>
      <c r="I818" s="46"/>
      <c r="J818" s="11"/>
      <c r="K818" s="11"/>
      <c r="L818" s="11"/>
      <c r="M818" s="11"/>
      <c r="N818" s="11"/>
      <c r="O818" s="11"/>
      <c r="P818" s="11"/>
      <c r="Q818" s="11"/>
      <c r="R818" s="11"/>
      <c r="S818" s="11"/>
      <c r="T818" s="11"/>
      <c r="U818" s="11"/>
      <c r="V818" s="11"/>
      <c r="W818" s="11"/>
      <c r="X818" s="11"/>
      <c r="Y818" s="11"/>
      <c r="Z818" s="11"/>
    </row>
    <row r="819" spans="1:26" ht="14.25" customHeight="1">
      <c r="A819" s="11"/>
      <c r="B819" s="11"/>
      <c r="C819" s="11"/>
      <c r="D819" s="11"/>
      <c r="E819" s="11"/>
      <c r="F819" s="11"/>
      <c r="G819" s="11"/>
      <c r="H819" s="11"/>
      <c r="I819" s="46"/>
      <c r="J819" s="11"/>
      <c r="K819" s="11"/>
      <c r="L819" s="11"/>
      <c r="M819" s="11"/>
      <c r="N819" s="11"/>
      <c r="O819" s="11"/>
      <c r="P819" s="11"/>
      <c r="Q819" s="11"/>
      <c r="R819" s="11"/>
      <c r="S819" s="11"/>
      <c r="T819" s="11"/>
      <c r="U819" s="11"/>
      <c r="V819" s="11"/>
      <c r="W819" s="11"/>
      <c r="X819" s="11"/>
      <c r="Y819" s="11"/>
      <c r="Z819" s="11"/>
    </row>
    <row r="820" spans="1:26" ht="14.25" customHeight="1">
      <c r="A820" s="11"/>
      <c r="B820" s="11"/>
      <c r="C820" s="11"/>
      <c r="D820" s="11"/>
      <c r="E820" s="11"/>
      <c r="F820" s="11"/>
      <c r="G820" s="11"/>
      <c r="H820" s="11"/>
      <c r="I820" s="46"/>
      <c r="J820" s="11"/>
      <c r="K820" s="11"/>
      <c r="L820" s="11"/>
      <c r="M820" s="11"/>
      <c r="N820" s="11"/>
      <c r="O820" s="11"/>
      <c r="P820" s="11"/>
      <c r="Q820" s="11"/>
      <c r="R820" s="11"/>
      <c r="S820" s="11"/>
      <c r="T820" s="11"/>
      <c r="U820" s="11"/>
      <c r="V820" s="11"/>
      <c r="W820" s="11"/>
      <c r="X820" s="11"/>
      <c r="Y820" s="11"/>
      <c r="Z820" s="11"/>
    </row>
    <row r="821" spans="1:26" ht="14.25" customHeight="1">
      <c r="A821" s="11"/>
      <c r="B821" s="11"/>
      <c r="C821" s="11"/>
      <c r="D821" s="11"/>
      <c r="E821" s="11"/>
      <c r="F821" s="11"/>
      <c r="G821" s="11"/>
      <c r="H821" s="11"/>
      <c r="I821" s="46"/>
      <c r="J821" s="11"/>
      <c r="K821" s="11"/>
      <c r="L821" s="11"/>
      <c r="M821" s="11"/>
      <c r="N821" s="11"/>
      <c r="O821" s="11"/>
      <c r="P821" s="11"/>
      <c r="Q821" s="11"/>
      <c r="R821" s="11"/>
      <c r="S821" s="11"/>
      <c r="T821" s="11"/>
      <c r="U821" s="11"/>
      <c r="V821" s="11"/>
      <c r="W821" s="11"/>
      <c r="X821" s="11"/>
      <c r="Y821" s="11"/>
      <c r="Z821" s="11"/>
    </row>
    <row r="822" spans="1:26" ht="14.25" customHeight="1">
      <c r="A822" s="11"/>
      <c r="B822" s="11"/>
      <c r="C822" s="11"/>
      <c r="D822" s="11"/>
      <c r="E822" s="11"/>
      <c r="F822" s="11"/>
      <c r="G822" s="11"/>
      <c r="H822" s="11"/>
      <c r="I822" s="46"/>
      <c r="J822" s="11"/>
      <c r="K822" s="11"/>
      <c r="L822" s="11"/>
      <c r="M822" s="11"/>
      <c r="N822" s="11"/>
      <c r="O822" s="11"/>
      <c r="P822" s="11"/>
      <c r="Q822" s="11"/>
      <c r="R822" s="11"/>
      <c r="S822" s="11"/>
      <c r="T822" s="11"/>
      <c r="U822" s="11"/>
      <c r="V822" s="11"/>
      <c r="W822" s="11"/>
      <c r="X822" s="11"/>
      <c r="Y822" s="11"/>
      <c r="Z822" s="11"/>
    </row>
    <row r="823" spans="1:26" ht="14.25" customHeight="1">
      <c r="A823" s="11"/>
      <c r="B823" s="11"/>
      <c r="C823" s="11"/>
      <c r="D823" s="11"/>
      <c r="E823" s="11"/>
      <c r="F823" s="11"/>
      <c r="G823" s="11"/>
      <c r="H823" s="11"/>
      <c r="I823" s="46"/>
      <c r="J823" s="11"/>
      <c r="K823" s="11"/>
      <c r="L823" s="11"/>
      <c r="M823" s="11"/>
      <c r="N823" s="11"/>
      <c r="O823" s="11"/>
      <c r="P823" s="11"/>
      <c r="Q823" s="11"/>
      <c r="R823" s="11"/>
      <c r="S823" s="11"/>
      <c r="T823" s="11"/>
      <c r="U823" s="11"/>
      <c r="V823" s="11"/>
      <c r="W823" s="11"/>
      <c r="X823" s="11"/>
      <c r="Y823" s="11"/>
      <c r="Z823" s="11"/>
    </row>
    <row r="824" spans="1:26" ht="14.25" customHeight="1">
      <c r="A824" s="11"/>
      <c r="B824" s="11"/>
      <c r="C824" s="11"/>
      <c r="D824" s="11"/>
      <c r="E824" s="11"/>
      <c r="F824" s="11"/>
      <c r="G824" s="11"/>
      <c r="H824" s="11"/>
      <c r="I824" s="46"/>
      <c r="J824" s="11"/>
      <c r="K824" s="11"/>
      <c r="L824" s="11"/>
      <c r="M824" s="11"/>
      <c r="N824" s="11"/>
      <c r="O824" s="11"/>
      <c r="P824" s="11"/>
      <c r="Q824" s="11"/>
      <c r="R824" s="11"/>
      <c r="S824" s="11"/>
      <c r="T824" s="11"/>
      <c r="U824" s="11"/>
      <c r="V824" s="11"/>
      <c r="W824" s="11"/>
      <c r="X824" s="11"/>
      <c r="Y824" s="11"/>
      <c r="Z824" s="11"/>
    </row>
    <row r="825" spans="1:26" ht="14.25" customHeight="1">
      <c r="A825" s="11"/>
      <c r="B825" s="11"/>
      <c r="C825" s="11"/>
      <c r="D825" s="11"/>
      <c r="E825" s="11"/>
      <c r="F825" s="11"/>
      <c r="G825" s="11"/>
      <c r="H825" s="11"/>
      <c r="I825" s="46"/>
      <c r="J825" s="11"/>
      <c r="K825" s="11"/>
      <c r="L825" s="11"/>
      <c r="M825" s="11"/>
      <c r="N825" s="11"/>
      <c r="O825" s="11"/>
      <c r="P825" s="11"/>
      <c r="Q825" s="11"/>
      <c r="R825" s="11"/>
      <c r="S825" s="11"/>
      <c r="T825" s="11"/>
      <c r="U825" s="11"/>
      <c r="V825" s="11"/>
      <c r="W825" s="11"/>
      <c r="X825" s="11"/>
      <c r="Y825" s="11"/>
      <c r="Z825" s="11"/>
    </row>
    <row r="826" spans="1:26" ht="14.25" customHeight="1">
      <c r="A826" s="11"/>
      <c r="B826" s="11"/>
      <c r="C826" s="11"/>
      <c r="D826" s="11"/>
      <c r="E826" s="11"/>
      <c r="F826" s="11"/>
      <c r="G826" s="11"/>
      <c r="H826" s="11"/>
      <c r="I826" s="46"/>
      <c r="J826" s="11"/>
      <c r="K826" s="11"/>
      <c r="L826" s="11"/>
      <c r="M826" s="11"/>
      <c r="N826" s="11"/>
      <c r="O826" s="11"/>
      <c r="P826" s="11"/>
      <c r="Q826" s="11"/>
      <c r="R826" s="11"/>
      <c r="S826" s="11"/>
      <c r="T826" s="11"/>
      <c r="U826" s="11"/>
      <c r="V826" s="11"/>
      <c r="W826" s="11"/>
      <c r="X826" s="11"/>
      <c r="Y826" s="11"/>
      <c r="Z826" s="11"/>
    </row>
    <row r="827" spans="1:26" ht="14.25" customHeight="1">
      <c r="A827" s="11"/>
      <c r="B827" s="11"/>
      <c r="C827" s="11"/>
      <c r="D827" s="11"/>
      <c r="E827" s="11"/>
      <c r="F827" s="11"/>
      <c r="G827" s="11"/>
      <c r="H827" s="11"/>
      <c r="I827" s="46"/>
      <c r="J827" s="11"/>
      <c r="K827" s="11"/>
      <c r="L827" s="11"/>
      <c r="M827" s="11"/>
      <c r="N827" s="11"/>
      <c r="O827" s="11"/>
      <c r="P827" s="11"/>
      <c r="Q827" s="11"/>
      <c r="R827" s="11"/>
      <c r="S827" s="11"/>
      <c r="T827" s="11"/>
      <c r="U827" s="11"/>
      <c r="V827" s="11"/>
      <c r="W827" s="11"/>
      <c r="X827" s="11"/>
      <c r="Y827" s="11"/>
      <c r="Z827" s="11"/>
    </row>
    <row r="828" spans="1:26" ht="14.25" customHeight="1">
      <c r="A828" s="11"/>
      <c r="B828" s="11"/>
      <c r="C828" s="11"/>
      <c r="D828" s="11"/>
      <c r="E828" s="11"/>
      <c r="F828" s="11"/>
      <c r="G828" s="11"/>
      <c r="H828" s="11"/>
      <c r="I828" s="46"/>
      <c r="J828" s="11"/>
      <c r="K828" s="11"/>
      <c r="L828" s="11"/>
      <c r="M828" s="11"/>
      <c r="N828" s="11"/>
      <c r="O828" s="11"/>
      <c r="P828" s="11"/>
      <c r="Q828" s="11"/>
      <c r="R828" s="11"/>
      <c r="S828" s="11"/>
      <c r="T828" s="11"/>
      <c r="U828" s="11"/>
      <c r="V828" s="11"/>
      <c r="W828" s="11"/>
      <c r="X828" s="11"/>
      <c r="Y828" s="11"/>
      <c r="Z828" s="11"/>
    </row>
    <row r="829" spans="1:26" ht="14.25" customHeight="1">
      <c r="A829" s="11"/>
      <c r="B829" s="11"/>
      <c r="C829" s="11"/>
      <c r="D829" s="11"/>
      <c r="E829" s="11"/>
      <c r="F829" s="11"/>
      <c r="G829" s="11"/>
      <c r="H829" s="11"/>
      <c r="I829" s="46"/>
      <c r="J829" s="11"/>
      <c r="K829" s="11"/>
      <c r="L829" s="11"/>
      <c r="M829" s="11"/>
      <c r="N829" s="11"/>
      <c r="O829" s="11"/>
      <c r="P829" s="11"/>
      <c r="Q829" s="11"/>
      <c r="R829" s="11"/>
      <c r="S829" s="11"/>
      <c r="T829" s="11"/>
      <c r="U829" s="11"/>
      <c r="V829" s="11"/>
      <c r="W829" s="11"/>
      <c r="X829" s="11"/>
      <c r="Y829" s="11"/>
      <c r="Z829" s="11"/>
    </row>
    <row r="830" spans="1:26" ht="14.25" customHeight="1">
      <c r="A830" s="11"/>
      <c r="B830" s="11"/>
      <c r="C830" s="11"/>
      <c r="D830" s="11"/>
      <c r="E830" s="11"/>
      <c r="F830" s="11"/>
      <c r="G830" s="11"/>
      <c r="H830" s="11"/>
      <c r="I830" s="46"/>
      <c r="J830" s="11"/>
      <c r="K830" s="11"/>
      <c r="L830" s="11"/>
      <c r="M830" s="11"/>
      <c r="N830" s="11"/>
      <c r="O830" s="11"/>
      <c r="P830" s="11"/>
      <c r="Q830" s="11"/>
      <c r="R830" s="11"/>
      <c r="S830" s="11"/>
      <c r="T830" s="11"/>
      <c r="U830" s="11"/>
      <c r="V830" s="11"/>
      <c r="W830" s="11"/>
      <c r="X830" s="11"/>
      <c r="Y830" s="11"/>
      <c r="Z830" s="11"/>
    </row>
    <row r="831" spans="1:26" ht="14.25" customHeight="1">
      <c r="A831" s="11"/>
      <c r="B831" s="11"/>
      <c r="C831" s="11"/>
      <c r="D831" s="11"/>
      <c r="E831" s="11"/>
      <c r="F831" s="11"/>
      <c r="G831" s="11"/>
      <c r="H831" s="11"/>
      <c r="I831" s="46"/>
      <c r="J831" s="11"/>
      <c r="K831" s="11"/>
      <c r="L831" s="11"/>
      <c r="M831" s="11"/>
      <c r="N831" s="11"/>
      <c r="O831" s="11"/>
      <c r="P831" s="11"/>
      <c r="Q831" s="11"/>
      <c r="R831" s="11"/>
      <c r="S831" s="11"/>
      <c r="T831" s="11"/>
      <c r="U831" s="11"/>
      <c r="V831" s="11"/>
      <c r="W831" s="11"/>
      <c r="X831" s="11"/>
      <c r="Y831" s="11"/>
      <c r="Z831" s="11"/>
    </row>
    <row r="832" spans="1:26" ht="14.25" customHeight="1">
      <c r="A832" s="11"/>
      <c r="B832" s="11"/>
      <c r="C832" s="11"/>
      <c r="D832" s="11"/>
      <c r="E832" s="11"/>
      <c r="F832" s="11"/>
      <c r="G832" s="11"/>
      <c r="H832" s="11"/>
      <c r="I832" s="46"/>
      <c r="J832" s="11"/>
      <c r="K832" s="11"/>
      <c r="L832" s="11"/>
      <c r="M832" s="11"/>
      <c r="N832" s="11"/>
      <c r="O832" s="11"/>
      <c r="P832" s="11"/>
      <c r="Q832" s="11"/>
      <c r="R832" s="11"/>
      <c r="S832" s="11"/>
      <c r="T832" s="11"/>
      <c r="U832" s="11"/>
      <c r="V832" s="11"/>
      <c r="W832" s="11"/>
      <c r="X832" s="11"/>
      <c r="Y832" s="11"/>
      <c r="Z832" s="11"/>
    </row>
    <row r="833" spans="1:26" ht="14.25" customHeight="1">
      <c r="A833" s="11"/>
      <c r="B833" s="11"/>
      <c r="C833" s="11"/>
      <c r="D833" s="11"/>
      <c r="E833" s="11"/>
      <c r="F833" s="11"/>
      <c r="G833" s="11"/>
      <c r="H833" s="11"/>
      <c r="I833" s="46"/>
      <c r="J833" s="11"/>
      <c r="K833" s="11"/>
      <c r="L833" s="11"/>
      <c r="M833" s="11"/>
      <c r="N833" s="11"/>
      <c r="O833" s="11"/>
      <c r="P833" s="11"/>
      <c r="Q833" s="11"/>
      <c r="R833" s="11"/>
      <c r="S833" s="11"/>
      <c r="T833" s="11"/>
      <c r="U833" s="11"/>
      <c r="V833" s="11"/>
      <c r="W833" s="11"/>
      <c r="X833" s="11"/>
      <c r="Y833" s="11"/>
      <c r="Z833" s="11"/>
    </row>
    <row r="834" spans="1:26" ht="14.25" customHeight="1">
      <c r="A834" s="11"/>
      <c r="B834" s="11"/>
      <c r="C834" s="11"/>
      <c r="D834" s="11"/>
      <c r="E834" s="11"/>
      <c r="F834" s="11"/>
      <c r="G834" s="11"/>
      <c r="H834" s="11"/>
      <c r="I834" s="46"/>
      <c r="J834" s="11"/>
      <c r="K834" s="11"/>
      <c r="L834" s="11"/>
      <c r="M834" s="11"/>
      <c r="N834" s="11"/>
      <c r="O834" s="11"/>
      <c r="P834" s="11"/>
      <c r="Q834" s="11"/>
      <c r="R834" s="11"/>
      <c r="S834" s="11"/>
      <c r="T834" s="11"/>
      <c r="U834" s="11"/>
      <c r="V834" s="11"/>
      <c r="W834" s="11"/>
      <c r="X834" s="11"/>
      <c r="Y834" s="11"/>
      <c r="Z834" s="11"/>
    </row>
    <row r="835" spans="1:26" ht="14.25" customHeight="1">
      <c r="A835" s="11"/>
      <c r="B835" s="11"/>
      <c r="C835" s="11"/>
      <c r="D835" s="11"/>
      <c r="E835" s="11"/>
      <c r="F835" s="11"/>
      <c r="G835" s="11"/>
      <c r="H835" s="11"/>
      <c r="I835" s="46"/>
      <c r="J835" s="11"/>
      <c r="K835" s="11"/>
      <c r="L835" s="11"/>
      <c r="M835" s="11"/>
      <c r="N835" s="11"/>
      <c r="O835" s="11"/>
      <c r="P835" s="11"/>
      <c r="Q835" s="11"/>
      <c r="R835" s="11"/>
      <c r="S835" s="11"/>
      <c r="T835" s="11"/>
      <c r="U835" s="11"/>
      <c r="V835" s="11"/>
      <c r="W835" s="11"/>
      <c r="X835" s="11"/>
      <c r="Y835" s="11"/>
      <c r="Z835" s="11"/>
    </row>
    <row r="836" spans="1:26" ht="14.25" customHeight="1">
      <c r="A836" s="11"/>
      <c r="B836" s="11"/>
      <c r="C836" s="11"/>
      <c r="D836" s="11"/>
      <c r="E836" s="11"/>
      <c r="F836" s="11"/>
      <c r="G836" s="11"/>
      <c r="H836" s="11"/>
      <c r="I836" s="46"/>
      <c r="J836" s="11"/>
      <c r="K836" s="11"/>
      <c r="L836" s="11"/>
      <c r="M836" s="11"/>
      <c r="N836" s="11"/>
      <c r="O836" s="11"/>
      <c r="P836" s="11"/>
      <c r="Q836" s="11"/>
      <c r="R836" s="11"/>
      <c r="S836" s="11"/>
      <c r="T836" s="11"/>
      <c r="U836" s="11"/>
      <c r="V836" s="11"/>
      <c r="W836" s="11"/>
      <c r="X836" s="11"/>
      <c r="Y836" s="11"/>
      <c r="Z836" s="11"/>
    </row>
    <row r="837" spans="1:26" ht="14.25" customHeight="1">
      <c r="A837" s="11"/>
      <c r="B837" s="11"/>
      <c r="C837" s="11"/>
      <c r="D837" s="11"/>
      <c r="E837" s="11"/>
      <c r="F837" s="11"/>
      <c r="G837" s="11"/>
      <c r="H837" s="11"/>
      <c r="I837" s="46"/>
      <c r="J837" s="11"/>
      <c r="K837" s="11"/>
      <c r="L837" s="11"/>
      <c r="M837" s="11"/>
      <c r="N837" s="11"/>
      <c r="O837" s="11"/>
      <c r="P837" s="11"/>
      <c r="Q837" s="11"/>
      <c r="R837" s="11"/>
      <c r="S837" s="11"/>
      <c r="T837" s="11"/>
      <c r="U837" s="11"/>
      <c r="V837" s="11"/>
      <c r="W837" s="11"/>
      <c r="X837" s="11"/>
      <c r="Y837" s="11"/>
      <c r="Z837" s="11"/>
    </row>
    <row r="838" spans="1:26" ht="14.25" customHeight="1">
      <c r="A838" s="11"/>
      <c r="B838" s="11"/>
      <c r="C838" s="11"/>
      <c r="D838" s="11"/>
      <c r="E838" s="11"/>
      <c r="F838" s="11"/>
      <c r="G838" s="11"/>
      <c r="H838" s="11"/>
      <c r="I838" s="46"/>
      <c r="J838" s="11"/>
      <c r="K838" s="11"/>
      <c r="L838" s="11"/>
      <c r="M838" s="11"/>
      <c r="N838" s="11"/>
      <c r="O838" s="11"/>
      <c r="P838" s="11"/>
      <c r="Q838" s="11"/>
      <c r="R838" s="11"/>
      <c r="S838" s="11"/>
      <c r="T838" s="11"/>
      <c r="U838" s="11"/>
      <c r="V838" s="11"/>
      <c r="W838" s="11"/>
      <c r="X838" s="11"/>
      <c r="Y838" s="11"/>
      <c r="Z838" s="11"/>
    </row>
    <row r="839" spans="1:26" ht="14.25" customHeight="1">
      <c r="A839" s="11"/>
      <c r="B839" s="11"/>
      <c r="C839" s="11"/>
      <c r="D839" s="11"/>
      <c r="E839" s="11"/>
      <c r="F839" s="11"/>
      <c r="G839" s="11"/>
      <c r="H839" s="11"/>
      <c r="I839" s="46"/>
      <c r="J839" s="11"/>
      <c r="K839" s="11"/>
      <c r="L839" s="11"/>
      <c r="M839" s="11"/>
      <c r="N839" s="11"/>
      <c r="O839" s="11"/>
      <c r="P839" s="11"/>
      <c r="Q839" s="11"/>
      <c r="R839" s="11"/>
      <c r="S839" s="11"/>
      <c r="T839" s="11"/>
      <c r="U839" s="11"/>
      <c r="V839" s="11"/>
      <c r="W839" s="11"/>
      <c r="X839" s="11"/>
      <c r="Y839" s="11"/>
      <c r="Z839" s="11"/>
    </row>
    <row r="840" spans="1:26" ht="14.25" customHeight="1">
      <c r="A840" s="11"/>
      <c r="B840" s="11"/>
      <c r="C840" s="11"/>
      <c r="D840" s="11"/>
      <c r="E840" s="11"/>
      <c r="F840" s="11"/>
      <c r="G840" s="11"/>
      <c r="H840" s="11"/>
      <c r="I840" s="46"/>
      <c r="J840" s="11"/>
      <c r="K840" s="11"/>
      <c r="L840" s="11"/>
      <c r="M840" s="11"/>
      <c r="N840" s="11"/>
      <c r="O840" s="11"/>
      <c r="P840" s="11"/>
      <c r="Q840" s="11"/>
      <c r="R840" s="11"/>
      <c r="S840" s="11"/>
      <c r="T840" s="11"/>
      <c r="U840" s="11"/>
      <c r="V840" s="11"/>
      <c r="W840" s="11"/>
      <c r="X840" s="11"/>
      <c r="Y840" s="11"/>
      <c r="Z840" s="11"/>
    </row>
    <row r="841" spans="1:26" ht="14.25" customHeight="1">
      <c r="A841" s="11"/>
      <c r="B841" s="11"/>
      <c r="C841" s="11"/>
      <c r="D841" s="11"/>
      <c r="E841" s="11"/>
      <c r="F841" s="11"/>
      <c r="G841" s="11"/>
      <c r="H841" s="11"/>
      <c r="I841" s="46"/>
      <c r="J841" s="11"/>
      <c r="K841" s="11"/>
      <c r="L841" s="11"/>
      <c r="M841" s="11"/>
      <c r="N841" s="11"/>
      <c r="O841" s="11"/>
      <c r="P841" s="11"/>
      <c r="Q841" s="11"/>
      <c r="R841" s="11"/>
      <c r="S841" s="11"/>
      <c r="T841" s="11"/>
      <c r="U841" s="11"/>
      <c r="V841" s="11"/>
      <c r="W841" s="11"/>
      <c r="X841" s="11"/>
      <c r="Y841" s="11"/>
      <c r="Z841" s="11"/>
    </row>
    <row r="842" spans="1:26" ht="14.25" customHeight="1">
      <c r="A842" s="11"/>
      <c r="B842" s="11"/>
      <c r="C842" s="11"/>
      <c r="D842" s="11"/>
      <c r="E842" s="11"/>
      <c r="F842" s="11"/>
      <c r="G842" s="11"/>
      <c r="H842" s="11"/>
      <c r="I842" s="46"/>
      <c r="J842" s="11"/>
      <c r="K842" s="11"/>
      <c r="L842" s="11"/>
      <c r="M842" s="11"/>
      <c r="N842" s="11"/>
      <c r="O842" s="11"/>
      <c r="P842" s="11"/>
      <c r="Q842" s="11"/>
      <c r="R842" s="11"/>
      <c r="S842" s="11"/>
      <c r="T842" s="11"/>
      <c r="U842" s="11"/>
      <c r="V842" s="11"/>
      <c r="W842" s="11"/>
      <c r="X842" s="11"/>
      <c r="Y842" s="11"/>
      <c r="Z842" s="11"/>
    </row>
    <row r="843" spans="1:26" ht="14.25" customHeight="1">
      <c r="A843" s="11"/>
      <c r="B843" s="11"/>
      <c r="C843" s="11"/>
      <c r="D843" s="11"/>
      <c r="E843" s="11"/>
      <c r="F843" s="11"/>
      <c r="G843" s="11"/>
      <c r="H843" s="11"/>
      <c r="I843" s="46"/>
      <c r="J843" s="11"/>
      <c r="K843" s="11"/>
      <c r="L843" s="11"/>
      <c r="M843" s="11"/>
      <c r="N843" s="11"/>
      <c r="O843" s="11"/>
      <c r="P843" s="11"/>
      <c r="Q843" s="11"/>
      <c r="R843" s="11"/>
      <c r="S843" s="11"/>
      <c r="T843" s="11"/>
      <c r="U843" s="11"/>
      <c r="V843" s="11"/>
      <c r="W843" s="11"/>
      <c r="X843" s="11"/>
      <c r="Y843" s="11"/>
      <c r="Z843" s="11"/>
    </row>
    <row r="844" spans="1:26" ht="14.25" customHeight="1">
      <c r="A844" s="11"/>
      <c r="B844" s="11"/>
      <c r="C844" s="11"/>
      <c r="D844" s="11"/>
      <c r="E844" s="11"/>
      <c r="F844" s="11"/>
      <c r="G844" s="11"/>
      <c r="H844" s="11"/>
      <c r="I844" s="46"/>
      <c r="J844" s="11"/>
      <c r="K844" s="11"/>
      <c r="L844" s="11"/>
      <c r="M844" s="11"/>
      <c r="N844" s="11"/>
      <c r="O844" s="11"/>
      <c r="P844" s="11"/>
      <c r="Q844" s="11"/>
      <c r="R844" s="11"/>
      <c r="S844" s="11"/>
      <c r="T844" s="11"/>
      <c r="U844" s="11"/>
      <c r="V844" s="11"/>
      <c r="W844" s="11"/>
      <c r="X844" s="11"/>
      <c r="Y844" s="11"/>
      <c r="Z844" s="11"/>
    </row>
    <row r="845" spans="1:26" ht="14.25" customHeight="1">
      <c r="A845" s="11"/>
      <c r="B845" s="11"/>
      <c r="C845" s="11"/>
      <c r="D845" s="11"/>
      <c r="E845" s="11"/>
      <c r="F845" s="11"/>
      <c r="G845" s="11"/>
      <c r="H845" s="11"/>
      <c r="I845" s="46"/>
      <c r="J845" s="11"/>
      <c r="K845" s="11"/>
      <c r="L845" s="11"/>
      <c r="M845" s="11"/>
      <c r="N845" s="11"/>
      <c r="O845" s="11"/>
      <c r="P845" s="11"/>
      <c r="Q845" s="11"/>
      <c r="R845" s="11"/>
      <c r="S845" s="11"/>
      <c r="T845" s="11"/>
      <c r="U845" s="11"/>
      <c r="V845" s="11"/>
      <c r="W845" s="11"/>
      <c r="X845" s="11"/>
      <c r="Y845" s="11"/>
      <c r="Z845" s="11"/>
    </row>
    <row r="846" spans="1:26" ht="14.25" customHeight="1">
      <c r="A846" s="11"/>
      <c r="B846" s="11"/>
      <c r="C846" s="11"/>
      <c r="D846" s="11"/>
      <c r="E846" s="11"/>
      <c r="F846" s="11"/>
      <c r="G846" s="11"/>
      <c r="H846" s="11"/>
      <c r="I846" s="46"/>
      <c r="J846" s="11"/>
      <c r="K846" s="11"/>
      <c r="L846" s="11"/>
      <c r="M846" s="11"/>
      <c r="N846" s="11"/>
      <c r="O846" s="11"/>
      <c r="P846" s="11"/>
      <c r="Q846" s="11"/>
      <c r="R846" s="11"/>
      <c r="S846" s="11"/>
      <c r="T846" s="11"/>
      <c r="U846" s="11"/>
      <c r="V846" s="11"/>
      <c r="W846" s="11"/>
      <c r="X846" s="11"/>
      <c r="Y846" s="11"/>
      <c r="Z846" s="11"/>
    </row>
    <row r="847" spans="1:26" ht="14.25" customHeight="1">
      <c r="A847" s="11"/>
      <c r="B847" s="11"/>
      <c r="C847" s="11"/>
      <c r="D847" s="11"/>
      <c r="E847" s="11"/>
      <c r="F847" s="11"/>
      <c r="G847" s="11"/>
      <c r="H847" s="11"/>
      <c r="I847" s="46"/>
      <c r="J847" s="11"/>
      <c r="K847" s="11"/>
      <c r="L847" s="11"/>
      <c r="M847" s="11"/>
      <c r="N847" s="11"/>
      <c r="O847" s="11"/>
      <c r="P847" s="11"/>
      <c r="Q847" s="11"/>
      <c r="R847" s="11"/>
      <c r="S847" s="11"/>
      <c r="T847" s="11"/>
      <c r="U847" s="11"/>
      <c r="V847" s="11"/>
      <c r="W847" s="11"/>
      <c r="X847" s="11"/>
      <c r="Y847" s="11"/>
      <c r="Z847" s="11"/>
    </row>
    <row r="848" spans="1:26" ht="14.25" customHeight="1">
      <c r="A848" s="11"/>
      <c r="B848" s="11"/>
      <c r="C848" s="11"/>
      <c r="D848" s="11"/>
      <c r="E848" s="11"/>
      <c r="F848" s="11"/>
      <c r="G848" s="11"/>
      <c r="H848" s="11"/>
      <c r="I848" s="46"/>
      <c r="J848" s="11"/>
      <c r="K848" s="11"/>
      <c r="L848" s="11"/>
      <c r="M848" s="11"/>
      <c r="N848" s="11"/>
      <c r="O848" s="11"/>
      <c r="P848" s="11"/>
      <c r="Q848" s="11"/>
      <c r="R848" s="11"/>
      <c r="S848" s="11"/>
      <c r="T848" s="11"/>
      <c r="U848" s="11"/>
      <c r="V848" s="11"/>
      <c r="W848" s="11"/>
      <c r="X848" s="11"/>
      <c r="Y848" s="11"/>
      <c r="Z848" s="11"/>
    </row>
    <row r="849" spans="1:26" ht="14.25" customHeight="1">
      <c r="A849" s="11"/>
      <c r="B849" s="11"/>
      <c r="C849" s="11"/>
      <c r="D849" s="11"/>
      <c r="E849" s="11"/>
      <c r="F849" s="11"/>
      <c r="G849" s="11"/>
      <c r="H849" s="11"/>
      <c r="I849" s="46"/>
      <c r="J849" s="11"/>
      <c r="K849" s="11"/>
      <c r="L849" s="11"/>
      <c r="M849" s="11"/>
      <c r="N849" s="11"/>
      <c r="O849" s="11"/>
      <c r="P849" s="11"/>
      <c r="Q849" s="11"/>
      <c r="R849" s="11"/>
      <c r="S849" s="11"/>
      <c r="T849" s="11"/>
      <c r="U849" s="11"/>
      <c r="V849" s="11"/>
      <c r="W849" s="11"/>
      <c r="X849" s="11"/>
      <c r="Y849" s="11"/>
      <c r="Z849" s="11"/>
    </row>
    <row r="850" spans="1:26" ht="14.25" customHeight="1">
      <c r="A850" s="11"/>
      <c r="B850" s="11"/>
      <c r="C850" s="11"/>
      <c r="D850" s="11"/>
      <c r="E850" s="11"/>
      <c r="F850" s="11"/>
      <c r="G850" s="11"/>
      <c r="H850" s="11"/>
      <c r="I850" s="46"/>
      <c r="J850" s="11"/>
      <c r="K850" s="11"/>
      <c r="L850" s="11"/>
      <c r="M850" s="11"/>
      <c r="N850" s="11"/>
      <c r="O850" s="11"/>
      <c r="P850" s="11"/>
      <c r="Q850" s="11"/>
      <c r="R850" s="11"/>
      <c r="S850" s="11"/>
      <c r="T850" s="11"/>
      <c r="U850" s="11"/>
      <c r="V850" s="11"/>
      <c r="W850" s="11"/>
      <c r="X850" s="11"/>
      <c r="Y850" s="11"/>
      <c r="Z850" s="11"/>
    </row>
    <row r="851" spans="1:26" ht="14.25" customHeight="1">
      <c r="A851" s="11"/>
      <c r="B851" s="11"/>
      <c r="C851" s="11"/>
      <c r="D851" s="11"/>
      <c r="E851" s="11"/>
      <c r="F851" s="11"/>
      <c r="G851" s="11"/>
      <c r="H851" s="11"/>
      <c r="I851" s="46"/>
      <c r="J851" s="11"/>
      <c r="K851" s="11"/>
      <c r="L851" s="11"/>
      <c r="M851" s="11"/>
      <c r="N851" s="11"/>
      <c r="O851" s="11"/>
      <c r="P851" s="11"/>
      <c r="Q851" s="11"/>
      <c r="R851" s="11"/>
      <c r="S851" s="11"/>
      <c r="T851" s="11"/>
      <c r="U851" s="11"/>
      <c r="V851" s="11"/>
      <c r="W851" s="11"/>
      <c r="X851" s="11"/>
      <c r="Y851" s="11"/>
      <c r="Z851" s="11"/>
    </row>
    <row r="852" spans="1:26" ht="14.25" customHeight="1">
      <c r="A852" s="11"/>
      <c r="B852" s="11"/>
      <c r="C852" s="11"/>
      <c r="D852" s="11"/>
      <c r="E852" s="11"/>
      <c r="F852" s="11"/>
      <c r="G852" s="11"/>
      <c r="H852" s="11"/>
      <c r="I852" s="46"/>
      <c r="J852" s="11"/>
      <c r="K852" s="11"/>
      <c r="L852" s="11"/>
      <c r="M852" s="11"/>
      <c r="N852" s="11"/>
      <c r="O852" s="11"/>
      <c r="P852" s="11"/>
      <c r="Q852" s="11"/>
      <c r="R852" s="11"/>
      <c r="S852" s="11"/>
      <c r="T852" s="11"/>
      <c r="U852" s="11"/>
      <c r="V852" s="11"/>
      <c r="W852" s="11"/>
      <c r="X852" s="11"/>
      <c r="Y852" s="11"/>
      <c r="Z852" s="11"/>
    </row>
    <row r="853" spans="1:26" ht="14.25" customHeight="1">
      <c r="A853" s="11"/>
      <c r="B853" s="11"/>
      <c r="C853" s="11"/>
      <c r="D853" s="11"/>
      <c r="E853" s="11"/>
      <c r="F853" s="11"/>
      <c r="G853" s="11"/>
      <c r="H853" s="11"/>
      <c r="I853" s="46"/>
      <c r="J853" s="11"/>
      <c r="K853" s="11"/>
      <c r="L853" s="11"/>
      <c r="M853" s="11"/>
      <c r="N853" s="11"/>
      <c r="O853" s="11"/>
      <c r="P853" s="11"/>
      <c r="Q853" s="11"/>
      <c r="R853" s="11"/>
      <c r="S853" s="11"/>
      <c r="T853" s="11"/>
      <c r="U853" s="11"/>
      <c r="V853" s="11"/>
      <c r="W853" s="11"/>
      <c r="X853" s="11"/>
      <c r="Y853" s="11"/>
      <c r="Z853" s="11"/>
    </row>
    <row r="854" spans="1:26" ht="14.25" customHeight="1">
      <c r="A854" s="11"/>
      <c r="B854" s="11"/>
      <c r="C854" s="11"/>
      <c r="D854" s="11"/>
      <c r="E854" s="11"/>
      <c r="F854" s="11"/>
      <c r="G854" s="11"/>
      <c r="H854" s="11"/>
      <c r="I854" s="46"/>
      <c r="J854" s="11"/>
      <c r="K854" s="11"/>
      <c r="L854" s="11"/>
      <c r="M854" s="11"/>
      <c r="N854" s="11"/>
      <c r="O854" s="11"/>
      <c r="P854" s="11"/>
      <c r="Q854" s="11"/>
      <c r="R854" s="11"/>
      <c r="S854" s="11"/>
      <c r="T854" s="11"/>
      <c r="U854" s="11"/>
      <c r="V854" s="11"/>
      <c r="W854" s="11"/>
      <c r="X854" s="11"/>
      <c r="Y854" s="11"/>
      <c r="Z854" s="11"/>
    </row>
    <row r="855" spans="1:26" ht="14.25" customHeight="1">
      <c r="A855" s="11"/>
      <c r="B855" s="11"/>
      <c r="C855" s="11"/>
      <c r="D855" s="11"/>
      <c r="E855" s="11"/>
      <c r="F855" s="11"/>
      <c r="G855" s="11"/>
      <c r="H855" s="11"/>
      <c r="I855" s="46"/>
      <c r="J855" s="11"/>
      <c r="K855" s="11"/>
      <c r="L855" s="11"/>
      <c r="M855" s="11"/>
      <c r="N855" s="11"/>
      <c r="O855" s="11"/>
      <c r="P855" s="11"/>
      <c r="Q855" s="11"/>
      <c r="R855" s="11"/>
      <c r="S855" s="11"/>
      <c r="T855" s="11"/>
      <c r="U855" s="11"/>
      <c r="V855" s="11"/>
      <c r="W855" s="11"/>
      <c r="X855" s="11"/>
      <c r="Y855" s="11"/>
      <c r="Z855" s="11"/>
    </row>
    <row r="856" spans="1:26" ht="14.25" customHeight="1">
      <c r="A856" s="11"/>
      <c r="B856" s="11"/>
      <c r="C856" s="11"/>
      <c r="D856" s="11"/>
      <c r="E856" s="11"/>
      <c r="F856" s="11"/>
      <c r="G856" s="11"/>
      <c r="H856" s="11"/>
      <c r="I856" s="46"/>
      <c r="J856" s="11"/>
      <c r="K856" s="11"/>
      <c r="L856" s="11"/>
      <c r="M856" s="11"/>
      <c r="N856" s="11"/>
      <c r="O856" s="11"/>
      <c r="P856" s="11"/>
      <c r="Q856" s="11"/>
      <c r="R856" s="11"/>
      <c r="S856" s="11"/>
      <c r="T856" s="11"/>
      <c r="U856" s="11"/>
      <c r="V856" s="11"/>
      <c r="W856" s="11"/>
      <c r="X856" s="11"/>
      <c r="Y856" s="11"/>
      <c r="Z856" s="11"/>
    </row>
    <row r="857" spans="1:26" ht="14.25" customHeight="1">
      <c r="A857" s="11"/>
      <c r="B857" s="11"/>
      <c r="C857" s="11"/>
      <c r="D857" s="11"/>
      <c r="E857" s="11"/>
      <c r="F857" s="11"/>
      <c r="G857" s="11"/>
      <c r="H857" s="11"/>
      <c r="I857" s="46"/>
      <c r="J857" s="11"/>
      <c r="K857" s="11"/>
      <c r="L857" s="11"/>
      <c r="M857" s="11"/>
      <c r="N857" s="11"/>
      <c r="O857" s="11"/>
      <c r="P857" s="11"/>
      <c r="Q857" s="11"/>
      <c r="R857" s="11"/>
      <c r="S857" s="11"/>
      <c r="T857" s="11"/>
      <c r="U857" s="11"/>
      <c r="V857" s="11"/>
      <c r="W857" s="11"/>
      <c r="X857" s="11"/>
      <c r="Y857" s="11"/>
      <c r="Z857" s="11"/>
    </row>
    <row r="858" spans="1:26" ht="14.25" customHeight="1">
      <c r="A858" s="11"/>
      <c r="B858" s="11"/>
      <c r="C858" s="11"/>
      <c r="D858" s="11"/>
      <c r="E858" s="11"/>
      <c r="F858" s="11"/>
      <c r="G858" s="11"/>
      <c r="H858" s="11"/>
      <c r="I858" s="46"/>
      <c r="J858" s="11"/>
      <c r="K858" s="11"/>
      <c r="L858" s="11"/>
      <c r="M858" s="11"/>
      <c r="N858" s="11"/>
      <c r="O858" s="11"/>
      <c r="P858" s="11"/>
      <c r="Q858" s="11"/>
      <c r="R858" s="11"/>
      <c r="S858" s="11"/>
      <c r="T858" s="11"/>
      <c r="U858" s="11"/>
      <c r="V858" s="11"/>
      <c r="W858" s="11"/>
      <c r="X858" s="11"/>
      <c r="Y858" s="11"/>
      <c r="Z858" s="11"/>
    </row>
    <row r="859" spans="1:26" ht="14.25" customHeight="1">
      <c r="A859" s="11"/>
      <c r="B859" s="11"/>
      <c r="C859" s="11"/>
      <c r="D859" s="11"/>
      <c r="E859" s="11"/>
      <c r="F859" s="11"/>
      <c r="G859" s="11"/>
      <c r="H859" s="11"/>
      <c r="I859" s="46"/>
      <c r="J859" s="11"/>
      <c r="K859" s="11"/>
      <c r="L859" s="11"/>
      <c r="M859" s="11"/>
      <c r="N859" s="11"/>
      <c r="O859" s="11"/>
      <c r="P859" s="11"/>
      <c r="Q859" s="11"/>
      <c r="R859" s="11"/>
      <c r="S859" s="11"/>
      <c r="T859" s="11"/>
      <c r="U859" s="11"/>
      <c r="V859" s="11"/>
      <c r="W859" s="11"/>
      <c r="X859" s="11"/>
      <c r="Y859" s="11"/>
      <c r="Z859" s="11"/>
    </row>
    <row r="860" spans="1:26" ht="14.25" customHeight="1">
      <c r="A860" s="11"/>
      <c r="B860" s="11"/>
      <c r="C860" s="11"/>
      <c r="D860" s="11"/>
      <c r="E860" s="11"/>
      <c r="F860" s="11"/>
      <c r="G860" s="11"/>
      <c r="H860" s="11"/>
      <c r="I860" s="46"/>
      <c r="J860" s="11"/>
      <c r="K860" s="11"/>
      <c r="L860" s="11"/>
      <c r="M860" s="11"/>
      <c r="N860" s="11"/>
      <c r="O860" s="11"/>
      <c r="P860" s="11"/>
      <c r="Q860" s="11"/>
      <c r="R860" s="11"/>
      <c r="S860" s="11"/>
      <c r="T860" s="11"/>
      <c r="U860" s="11"/>
      <c r="V860" s="11"/>
      <c r="W860" s="11"/>
      <c r="X860" s="11"/>
      <c r="Y860" s="11"/>
      <c r="Z860" s="11"/>
    </row>
    <row r="861" spans="1:26" ht="14.25" customHeight="1">
      <c r="A861" s="11"/>
      <c r="B861" s="11"/>
      <c r="C861" s="11"/>
      <c r="D861" s="11"/>
      <c r="E861" s="11"/>
      <c r="F861" s="11"/>
      <c r="G861" s="11"/>
      <c r="H861" s="11"/>
      <c r="I861" s="46"/>
      <c r="J861" s="11"/>
      <c r="K861" s="11"/>
      <c r="L861" s="11"/>
      <c r="M861" s="11"/>
      <c r="N861" s="11"/>
      <c r="O861" s="11"/>
      <c r="P861" s="11"/>
      <c r="Q861" s="11"/>
      <c r="R861" s="11"/>
      <c r="S861" s="11"/>
      <c r="T861" s="11"/>
      <c r="U861" s="11"/>
      <c r="V861" s="11"/>
      <c r="W861" s="11"/>
      <c r="X861" s="11"/>
      <c r="Y861" s="11"/>
      <c r="Z861" s="11"/>
    </row>
    <row r="862" spans="1:26" ht="14.25" customHeight="1">
      <c r="A862" s="11"/>
      <c r="B862" s="11"/>
      <c r="C862" s="11"/>
      <c r="D862" s="11"/>
      <c r="E862" s="11"/>
      <c r="F862" s="11"/>
      <c r="G862" s="11"/>
      <c r="H862" s="11"/>
      <c r="I862" s="46"/>
      <c r="J862" s="11"/>
      <c r="K862" s="11"/>
      <c r="L862" s="11"/>
      <c r="M862" s="11"/>
      <c r="N862" s="11"/>
      <c r="O862" s="11"/>
      <c r="P862" s="11"/>
      <c r="Q862" s="11"/>
      <c r="R862" s="11"/>
      <c r="S862" s="11"/>
      <c r="T862" s="11"/>
      <c r="U862" s="11"/>
      <c r="V862" s="11"/>
      <c r="W862" s="11"/>
      <c r="X862" s="11"/>
      <c r="Y862" s="11"/>
      <c r="Z862" s="11"/>
    </row>
    <row r="863" spans="1:26" ht="14.25" customHeight="1">
      <c r="A863" s="11"/>
      <c r="B863" s="11"/>
      <c r="C863" s="11"/>
      <c r="D863" s="11"/>
      <c r="E863" s="11"/>
      <c r="F863" s="11"/>
      <c r="G863" s="11"/>
      <c r="H863" s="11"/>
      <c r="I863" s="46"/>
      <c r="J863" s="11"/>
      <c r="K863" s="11"/>
      <c r="L863" s="11"/>
      <c r="M863" s="11"/>
      <c r="N863" s="11"/>
      <c r="O863" s="11"/>
      <c r="P863" s="11"/>
      <c r="Q863" s="11"/>
      <c r="R863" s="11"/>
      <c r="S863" s="11"/>
      <c r="T863" s="11"/>
      <c r="U863" s="11"/>
      <c r="V863" s="11"/>
      <c r="W863" s="11"/>
      <c r="X863" s="11"/>
      <c r="Y863" s="11"/>
      <c r="Z863" s="11"/>
    </row>
    <row r="864" spans="1:26" ht="14.25" customHeight="1">
      <c r="A864" s="11"/>
      <c r="B864" s="11"/>
      <c r="C864" s="11"/>
      <c r="D864" s="11"/>
      <c r="E864" s="11"/>
      <c r="F864" s="11"/>
      <c r="G864" s="11"/>
      <c r="H864" s="11"/>
      <c r="I864" s="46"/>
      <c r="J864" s="11"/>
      <c r="K864" s="11"/>
      <c r="L864" s="11"/>
      <c r="M864" s="11"/>
      <c r="N864" s="11"/>
      <c r="O864" s="11"/>
      <c r="P864" s="11"/>
      <c r="Q864" s="11"/>
      <c r="R864" s="11"/>
      <c r="S864" s="11"/>
      <c r="T864" s="11"/>
      <c r="U864" s="11"/>
      <c r="V864" s="11"/>
      <c r="W864" s="11"/>
      <c r="X864" s="11"/>
      <c r="Y864" s="11"/>
      <c r="Z864" s="11"/>
    </row>
    <row r="865" spans="1:26" ht="14.25" customHeight="1">
      <c r="A865" s="11"/>
      <c r="B865" s="11"/>
      <c r="C865" s="11"/>
      <c r="D865" s="11"/>
      <c r="E865" s="11"/>
      <c r="F865" s="11"/>
      <c r="G865" s="11"/>
      <c r="H865" s="11"/>
      <c r="I865" s="46"/>
      <c r="J865" s="11"/>
      <c r="K865" s="11"/>
      <c r="L865" s="11"/>
      <c r="M865" s="11"/>
      <c r="N865" s="11"/>
      <c r="O865" s="11"/>
      <c r="P865" s="11"/>
      <c r="Q865" s="11"/>
      <c r="R865" s="11"/>
      <c r="S865" s="11"/>
      <c r="T865" s="11"/>
      <c r="U865" s="11"/>
      <c r="V865" s="11"/>
      <c r="W865" s="11"/>
      <c r="X865" s="11"/>
      <c r="Y865" s="11"/>
      <c r="Z865" s="11"/>
    </row>
    <row r="866" spans="1:26" ht="14.25" customHeight="1">
      <c r="A866" s="11"/>
      <c r="B866" s="11"/>
      <c r="C866" s="11"/>
      <c r="D866" s="11"/>
      <c r="E866" s="11"/>
      <c r="F866" s="11"/>
      <c r="G866" s="11"/>
      <c r="H866" s="11"/>
      <c r="I866" s="46"/>
      <c r="J866" s="11"/>
      <c r="K866" s="11"/>
      <c r="L866" s="11"/>
      <c r="M866" s="11"/>
      <c r="N866" s="11"/>
      <c r="O866" s="11"/>
      <c r="P866" s="11"/>
      <c r="Q866" s="11"/>
      <c r="R866" s="11"/>
      <c r="S866" s="11"/>
      <c r="T866" s="11"/>
      <c r="U866" s="11"/>
      <c r="V866" s="11"/>
      <c r="W866" s="11"/>
      <c r="X866" s="11"/>
      <c r="Y866" s="11"/>
      <c r="Z866" s="11"/>
    </row>
    <row r="867" spans="1:26" ht="14.25" customHeight="1">
      <c r="A867" s="11"/>
      <c r="B867" s="11"/>
      <c r="C867" s="11"/>
      <c r="D867" s="11"/>
      <c r="E867" s="11"/>
      <c r="F867" s="11"/>
      <c r="G867" s="11"/>
      <c r="H867" s="11"/>
      <c r="I867" s="46"/>
      <c r="J867" s="11"/>
      <c r="K867" s="11"/>
      <c r="L867" s="11"/>
      <c r="M867" s="11"/>
      <c r="N867" s="11"/>
      <c r="O867" s="11"/>
      <c r="P867" s="11"/>
      <c r="Q867" s="11"/>
      <c r="R867" s="11"/>
      <c r="S867" s="11"/>
      <c r="T867" s="11"/>
      <c r="U867" s="11"/>
      <c r="V867" s="11"/>
      <c r="W867" s="11"/>
      <c r="X867" s="11"/>
      <c r="Y867" s="11"/>
      <c r="Z867" s="11"/>
    </row>
    <row r="868" spans="1:26" ht="14.25" customHeight="1">
      <c r="A868" s="11"/>
      <c r="B868" s="11"/>
      <c r="C868" s="11"/>
      <c r="D868" s="11"/>
      <c r="E868" s="11"/>
      <c r="F868" s="11"/>
      <c r="G868" s="11"/>
      <c r="H868" s="11"/>
      <c r="I868" s="46"/>
      <c r="J868" s="11"/>
      <c r="K868" s="11"/>
      <c r="L868" s="11"/>
      <c r="M868" s="11"/>
      <c r="N868" s="11"/>
      <c r="O868" s="11"/>
      <c r="P868" s="11"/>
      <c r="Q868" s="11"/>
      <c r="R868" s="11"/>
      <c r="S868" s="11"/>
      <c r="T868" s="11"/>
      <c r="U868" s="11"/>
      <c r="V868" s="11"/>
      <c r="W868" s="11"/>
      <c r="X868" s="11"/>
      <c r="Y868" s="11"/>
      <c r="Z868" s="11"/>
    </row>
    <row r="869" spans="1:26" ht="14.25" customHeight="1">
      <c r="A869" s="11"/>
      <c r="B869" s="11"/>
      <c r="C869" s="11"/>
      <c r="D869" s="11"/>
      <c r="E869" s="11"/>
      <c r="F869" s="11"/>
      <c r="G869" s="11"/>
      <c r="H869" s="11"/>
      <c r="I869" s="46"/>
      <c r="J869" s="11"/>
      <c r="K869" s="11"/>
      <c r="L869" s="11"/>
      <c r="M869" s="11"/>
      <c r="N869" s="11"/>
      <c r="O869" s="11"/>
      <c r="P869" s="11"/>
      <c r="Q869" s="11"/>
      <c r="R869" s="11"/>
      <c r="S869" s="11"/>
      <c r="T869" s="11"/>
      <c r="U869" s="11"/>
      <c r="V869" s="11"/>
      <c r="W869" s="11"/>
      <c r="X869" s="11"/>
      <c r="Y869" s="11"/>
      <c r="Z869" s="11"/>
    </row>
    <row r="870" spans="1:26" ht="14.25" customHeight="1">
      <c r="A870" s="11"/>
      <c r="B870" s="11"/>
      <c r="C870" s="11"/>
      <c r="D870" s="11"/>
      <c r="E870" s="11"/>
      <c r="F870" s="11"/>
      <c r="G870" s="11"/>
      <c r="H870" s="11"/>
      <c r="I870" s="46"/>
      <c r="J870" s="11"/>
      <c r="K870" s="11"/>
      <c r="L870" s="11"/>
      <c r="M870" s="11"/>
      <c r="N870" s="11"/>
      <c r="O870" s="11"/>
      <c r="P870" s="11"/>
      <c r="Q870" s="11"/>
      <c r="R870" s="11"/>
      <c r="S870" s="11"/>
      <c r="T870" s="11"/>
      <c r="U870" s="11"/>
      <c r="V870" s="11"/>
      <c r="W870" s="11"/>
      <c r="X870" s="11"/>
      <c r="Y870" s="11"/>
      <c r="Z870" s="11"/>
    </row>
    <row r="871" spans="1:26" ht="14.25" customHeight="1">
      <c r="A871" s="11"/>
      <c r="B871" s="11"/>
      <c r="C871" s="11"/>
      <c r="D871" s="11"/>
      <c r="E871" s="11"/>
      <c r="F871" s="11"/>
      <c r="G871" s="11"/>
      <c r="H871" s="11"/>
      <c r="I871" s="46"/>
      <c r="J871" s="11"/>
      <c r="K871" s="11"/>
      <c r="L871" s="11"/>
      <c r="M871" s="11"/>
      <c r="N871" s="11"/>
      <c r="O871" s="11"/>
      <c r="P871" s="11"/>
      <c r="Q871" s="11"/>
      <c r="R871" s="11"/>
      <c r="S871" s="11"/>
      <c r="T871" s="11"/>
      <c r="U871" s="11"/>
      <c r="V871" s="11"/>
      <c r="W871" s="11"/>
      <c r="X871" s="11"/>
      <c r="Y871" s="11"/>
      <c r="Z871" s="11"/>
    </row>
    <row r="872" spans="1:26" ht="14.25" customHeight="1">
      <c r="A872" s="11"/>
      <c r="B872" s="11"/>
      <c r="C872" s="11"/>
      <c r="D872" s="11"/>
      <c r="E872" s="11"/>
      <c r="F872" s="11"/>
      <c r="G872" s="11"/>
      <c r="H872" s="11"/>
      <c r="I872" s="46"/>
      <c r="J872" s="11"/>
      <c r="K872" s="11"/>
      <c r="L872" s="11"/>
      <c r="M872" s="11"/>
      <c r="N872" s="11"/>
      <c r="O872" s="11"/>
      <c r="P872" s="11"/>
      <c r="Q872" s="11"/>
      <c r="R872" s="11"/>
      <c r="S872" s="11"/>
      <c r="T872" s="11"/>
      <c r="U872" s="11"/>
      <c r="V872" s="11"/>
      <c r="W872" s="11"/>
      <c r="X872" s="11"/>
      <c r="Y872" s="11"/>
      <c r="Z872" s="11"/>
    </row>
    <row r="873" spans="1:26" ht="14.25" customHeight="1">
      <c r="A873" s="11"/>
      <c r="B873" s="11"/>
      <c r="C873" s="11"/>
      <c r="D873" s="11"/>
      <c r="E873" s="11"/>
      <c r="F873" s="11"/>
      <c r="G873" s="11"/>
      <c r="H873" s="11"/>
      <c r="I873" s="46"/>
      <c r="J873" s="11"/>
      <c r="K873" s="11"/>
      <c r="L873" s="11"/>
      <c r="M873" s="11"/>
      <c r="N873" s="11"/>
      <c r="O873" s="11"/>
      <c r="P873" s="11"/>
      <c r="Q873" s="11"/>
      <c r="R873" s="11"/>
      <c r="S873" s="11"/>
      <c r="T873" s="11"/>
      <c r="U873" s="11"/>
      <c r="V873" s="11"/>
      <c r="W873" s="11"/>
      <c r="X873" s="11"/>
      <c r="Y873" s="11"/>
      <c r="Z873" s="11"/>
    </row>
    <row r="874" spans="1:26" ht="14.25" customHeight="1">
      <c r="A874" s="11"/>
      <c r="B874" s="11"/>
      <c r="C874" s="11"/>
      <c r="D874" s="11"/>
      <c r="E874" s="11"/>
      <c r="F874" s="11"/>
      <c r="G874" s="11"/>
      <c r="H874" s="11"/>
      <c r="I874" s="46"/>
      <c r="J874" s="11"/>
      <c r="K874" s="11"/>
      <c r="L874" s="11"/>
      <c r="M874" s="11"/>
      <c r="N874" s="11"/>
      <c r="O874" s="11"/>
      <c r="P874" s="11"/>
      <c r="Q874" s="11"/>
      <c r="R874" s="11"/>
      <c r="S874" s="11"/>
      <c r="T874" s="11"/>
      <c r="U874" s="11"/>
      <c r="V874" s="11"/>
      <c r="W874" s="11"/>
      <c r="X874" s="11"/>
      <c r="Y874" s="11"/>
      <c r="Z874" s="11"/>
    </row>
    <row r="875" spans="1:26" ht="14.25" customHeight="1">
      <c r="A875" s="11"/>
      <c r="B875" s="11"/>
      <c r="C875" s="11"/>
      <c r="D875" s="11"/>
      <c r="E875" s="11"/>
      <c r="F875" s="11"/>
      <c r="G875" s="11"/>
      <c r="H875" s="11"/>
      <c r="I875" s="46"/>
      <c r="J875" s="11"/>
      <c r="K875" s="11"/>
      <c r="L875" s="11"/>
      <c r="M875" s="11"/>
      <c r="N875" s="11"/>
      <c r="O875" s="11"/>
      <c r="P875" s="11"/>
      <c r="Q875" s="11"/>
      <c r="R875" s="11"/>
      <c r="S875" s="11"/>
      <c r="T875" s="11"/>
      <c r="U875" s="11"/>
      <c r="V875" s="11"/>
      <c r="W875" s="11"/>
      <c r="X875" s="11"/>
      <c r="Y875" s="11"/>
      <c r="Z875" s="11"/>
    </row>
    <row r="876" spans="1:26" ht="14.25" customHeight="1">
      <c r="A876" s="11"/>
      <c r="B876" s="11"/>
      <c r="C876" s="11"/>
      <c r="D876" s="11"/>
      <c r="E876" s="11"/>
      <c r="F876" s="11"/>
      <c r="G876" s="11"/>
      <c r="H876" s="11"/>
      <c r="I876" s="46"/>
      <c r="J876" s="11"/>
      <c r="K876" s="11"/>
      <c r="L876" s="11"/>
      <c r="M876" s="11"/>
      <c r="N876" s="11"/>
      <c r="O876" s="11"/>
      <c r="P876" s="11"/>
      <c r="Q876" s="11"/>
      <c r="R876" s="11"/>
      <c r="S876" s="11"/>
      <c r="T876" s="11"/>
      <c r="U876" s="11"/>
      <c r="V876" s="11"/>
      <c r="W876" s="11"/>
      <c r="X876" s="11"/>
      <c r="Y876" s="11"/>
      <c r="Z876" s="11"/>
    </row>
    <row r="877" spans="1:26" ht="14.25" customHeight="1">
      <c r="A877" s="11"/>
      <c r="B877" s="11"/>
      <c r="C877" s="11"/>
      <c r="D877" s="11"/>
      <c r="E877" s="11"/>
      <c r="F877" s="11"/>
      <c r="G877" s="11"/>
      <c r="H877" s="11"/>
      <c r="I877" s="46"/>
      <c r="J877" s="11"/>
      <c r="K877" s="11"/>
      <c r="L877" s="11"/>
      <c r="M877" s="11"/>
      <c r="N877" s="11"/>
      <c r="O877" s="11"/>
      <c r="P877" s="11"/>
      <c r="Q877" s="11"/>
      <c r="R877" s="11"/>
      <c r="S877" s="11"/>
      <c r="T877" s="11"/>
      <c r="U877" s="11"/>
      <c r="V877" s="11"/>
      <c r="W877" s="11"/>
      <c r="X877" s="11"/>
      <c r="Y877" s="11"/>
      <c r="Z877" s="11"/>
    </row>
    <row r="878" spans="1:26" ht="14.25" customHeight="1">
      <c r="A878" s="11"/>
      <c r="B878" s="11"/>
      <c r="C878" s="11"/>
      <c r="D878" s="11"/>
      <c r="E878" s="11"/>
      <c r="F878" s="11"/>
      <c r="G878" s="11"/>
      <c r="H878" s="11"/>
      <c r="I878" s="46"/>
      <c r="J878" s="11"/>
      <c r="K878" s="11"/>
      <c r="L878" s="11"/>
      <c r="M878" s="11"/>
      <c r="N878" s="11"/>
      <c r="O878" s="11"/>
      <c r="P878" s="11"/>
      <c r="Q878" s="11"/>
      <c r="R878" s="11"/>
      <c r="S878" s="11"/>
      <c r="T878" s="11"/>
      <c r="U878" s="11"/>
      <c r="V878" s="11"/>
      <c r="W878" s="11"/>
      <c r="X878" s="11"/>
      <c r="Y878" s="11"/>
      <c r="Z878" s="11"/>
    </row>
    <row r="879" spans="1:26" ht="14.25" customHeight="1">
      <c r="A879" s="11"/>
      <c r="B879" s="11"/>
      <c r="C879" s="11"/>
      <c r="D879" s="11"/>
      <c r="E879" s="11"/>
      <c r="F879" s="11"/>
      <c r="G879" s="11"/>
      <c r="H879" s="11"/>
      <c r="I879" s="46"/>
      <c r="J879" s="11"/>
      <c r="K879" s="11"/>
      <c r="L879" s="11"/>
      <c r="M879" s="11"/>
      <c r="N879" s="11"/>
      <c r="O879" s="11"/>
      <c r="P879" s="11"/>
      <c r="Q879" s="11"/>
      <c r="R879" s="11"/>
      <c r="S879" s="11"/>
      <c r="T879" s="11"/>
      <c r="U879" s="11"/>
      <c r="V879" s="11"/>
      <c r="W879" s="11"/>
      <c r="X879" s="11"/>
      <c r="Y879" s="11"/>
      <c r="Z879" s="11"/>
    </row>
    <row r="880" spans="1:26" ht="14.25" customHeight="1">
      <c r="A880" s="11"/>
      <c r="B880" s="11"/>
      <c r="C880" s="11"/>
      <c r="D880" s="11"/>
      <c r="E880" s="11"/>
      <c r="F880" s="11"/>
      <c r="G880" s="11"/>
      <c r="H880" s="11"/>
      <c r="I880" s="46"/>
      <c r="J880" s="11"/>
      <c r="K880" s="11"/>
      <c r="L880" s="11"/>
      <c r="M880" s="11"/>
      <c r="N880" s="11"/>
      <c r="O880" s="11"/>
      <c r="P880" s="11"/>
      <c r="Q880" s="11"/>
      <c r="R880" s="11"/>
      <c r="S880" s="11"/>
      <c r="T880" s="11"/>
      <c r="U880" s="11"/>
      <c r="V880" s="11"/>
      <c r="W880" s="11"/>
      <c r="X880" s="11"/>
      <c r="Y880" s="11"/>
      <c r="Z880" s="11"/>
    </row>
    <row r="881" spans="1:26" ht="14.25" customHeight="1">
      <c r="A881" s="11"/>
      <c r="B881" s="11"/>
      <c r="C881" s="11"/>
      <c r="D881" s="11"/>
      <c r="E881" s="11"/>
      <c r="F881" s="11"/>
      <c r="G881" s="11"/>
      <c r="H881" s="11"/>
      <c r="I881" s="46"/>
      <c r="J881" s="11"/>
      <c r="K881" s="11"/>
      <c r="L881" s="11"/>
      <c r="M881" s="11"/>
      <c r="N881" s="11"/>
      <c r="O881" s="11"/>
      <c r="P881" s="11"/>
      <c r="Q881" s="11"/>
      <c r="R881" s="11"/>
      <c r="S881" s="11"/>
      <c r="T881" s="11"/>
      <c r="U881" s="11"/>
      <c r="V881" s="11"/>
      <c r="W881" s="11"/>
      <c r="X881" s="11"/>
      <c r="Y881" s="11"/>
      <c r="Z881" s="11"/>
    </row>
    <row r="882" spans="1:26" ht="14.25" customHeight="1">
      <c r="A882" s="11"/>
      <c r="B882" s="11"/>
      <c r="C882" s="11"/>
      <c r="D882" s="11"/>
      <c r="E882" s="11"/>
      <c r="F882" s="11"/>
      <c r="G882" s="11"/>
      <c r="H882" s="11"/>
      <c r="I882" s="46"/>
      <c r="J882" s="11"/>
      <c r="K882" s="11"/>
      <c r="L882" s="11"/>
      <c r="M882" s="11"/>
      <c r="N882" s="11"/>
      <c r="O882" s="11"/>
      <c r="P882" s="11"/>
      <c r="Q882" s="11"/>
      <c r="R882" s="11"/>
      <c r="S882" s="11"/>
      <c r="T882" s="11"/>
      <c r="U882" s="11"/>
      <c r="V882" s="11"/>
      <c r="W882" s="11"/>
      <c r="X882" s="11"/>
      <c r="Y882" s="11"/>
      <c r="Z882" s="11"/>
    </row>
    <row r="883" spans="1:26" ht="14.25" customHeight="1">
      <c r="A883" s="11"/>
      <c r="B883" s="11"/>
      <c r="C883" s="11"/>
      <c r="D883" s="11"/>
      <c r="E883" s="11"/>
      <c r="F883" s="11"/>
      <c r="G883" s="11"/>
      <c r="H883" s="11"/>
      <c r="I883" s="46"/>
      <c r="J883" s="11"/>
      <c r="K883" s="11"/>
      <c r="L883" s="11"/>
      <c r="M883" s="11"/>
      <c r="N883" s="11"/>
      <c r="O883" s="11"/>
      <c r="P883" s="11"/>
      <c r="Q883" s="11"/>
      <c r="R883" s="11"/>
      <c r="S883" s="11"/>
      <c r="T883" s="11"/>
      <c r="U883" s="11"/>
      <c r="V883" s="11"/>
      <c r="W883" s="11"/>
      <c r="X883" s="11"/>
      <c r="Y883" s="11"/>
      <c r="Z883" s="11"/>
    </row>
    <row r="884" spans="1:26" ht="14.25" customHeight="1">
      <c r="A884" s="11"/>
      <c r="B884" s="11"/>
      <c r="C884" s="11"/>
      <c r="D884" s="11"/>
      <c r="E884" s="11"/>
      <c r="F884" s="11"/>
      <c r="G884" s="11"/>
      <c r="H884" s="11"/>
      <c r="I884" s="46"/>
      <c r="J884" s="11"/>
      <c r="K884" s="11"/>
      <c r="L884" s="11"/>
      <c r="M884" s="11"/>
      <c r="N884" s="11"/>
      <c r="O884" s="11"/>
      <c r="P884" s="11"/>
      <c r="Q884" s="11"/>
      <c r="R884" s="11"/>
      <c r="S884" s="11"/>
      <c r="T884" s="11"/>
      <c r="U884" s="11"/>
      <c r="V884" s="11"/>
      <c r="W884" s="11"/>
      <c r="X884" s="11"/>
      <c r="Y884" s="11"/>
      <c r="Z884" s="11"/>
    </row>
    <row r="885" spans="1:26" ht="14.25" customHeight="1">
      <c r="A885" s="11"/>
      <c r="B885" s="11"/>
      <c r="C885" s="11"/>
      <c r="D885" s="11"/>
      <c r="E885" s="11"/>
      <c r="F885" s="11"/>
      <c r="G885" s="11"/>
      <c r="H885" s="11"/>
      <c r="I885" s="46"/>
      <c r="J885" s="11"/>
      <c r="K885" s="11"/>
      <c r="L885" s="11"/>
      <c r="M885" s="11"/>
      <c r="N885" s="11"/>
      <c r="O885" s="11"/>
      <c r="P885" s="11"/>
      <c r="Q885" s="11"/>
      <c r="R885" s="11"/>
      <c r="S885" s="11"/>
      <c r="T885" s="11"/>
      <c r="U885" s="11"/>
      <c r="V885" s="11"/>
      <c r="W885" s="11"/>
      <c r="X885" s="11"/>
      <c r="Y885" s="11"/>
      <c r="Z885" s="11"/>
    </row>
    <row r="886" spans="1:26" ht="14.25" customHeight="1">
      <c r="A886" s="11"/>
      <c r="B886" s="11"/>
      <c r="C886" s="11"/>
      <c r="D886" s="11"/>
      <c r="E886" s="11"/>
      <c r="F886" s="11"/>
      <c r="G886" s="11"/>
      <c r="H886" s="11"/>
      <c r="I886" s="46"/>
      <c r="J886" s="11"/>
      <c r="K886" s="11"/>
      <c r="L886" s="11"/>
      <c r="M886" s="11"/>
      <c r="N886" s="11"/>
      <c r="O886" s="11"/>
      <c r="P886" s="11"/>
      <c r="Q886" s="11"/>
      <c r="R886" s="11"/>
      <c r="S886" s="11"/>
      <c r="T886" s="11"/>
      <c r="U886" s="11"/>
      <c r="V886" s="11"/>
      <c r="W886" s="11"/>
      <c r="X886" s="11"/>
      <c r="Y886" s="11"/>
      <c r="Z886" s="11"/>
    </row>
    <row r="887" spans="1:26" ht="14.25" customHeight="1">
      <c r="A887" s="11"/>
      <c r="B887" s="11"/>
      <c r="C887" s="11"/>
      <c r="D887" s="11"/>
      <c r="E887" s="11"/>
      <c r="F887" s="11"/>
      <c r="G887" s="11"/>
      <c r="H887" s="11"/>
      <c r="I887" s="46"/>
      <c r="J887" s="11"/>
      <c r="K887" s="11"/>
      <c r="L887" s="11"/>
      <c r="M887" s="11"/>
      <c r="N887" s="11"/>
      <c r="O887" s="11"/>
      <c r="P887" s="11"/>
      <c r="Q887" s="11"/>
      <c r="R887" s="11"/>
      <c r="S887" s="11"/>
      <c r="T887" s="11"/>
      <c r="U887" s="11"/>
      <c r="V887" s="11"/>
      <c r="W887" s="11"/>
      <c r="X887" s="11"/>
      <c r="Y887" s="11"/>
      <c r="Z887" s="11"/>
    </row>
    <row r="888" spans="1:26" ht="14.25" customHeight="1">
      <c r="A888" s="11"/>
      <c r="B888" s="11"/>
      <c r="C888" s="11"/>
      <c r="D888" s="11"/>
      <c r="E888" s="11"/>
      <c r="F888" s="11"/>
      <c r="G888" s="11"/>
      <c r="H888" s="11"/>
      <c r="I888" s="46"/>
      <c r="J888" s="11"/>
      <c r="K888" s="11"/>
      <c r="L888" s="11"/>
      <c r="M888" s="11"/>
      <c r="N888" s="11"/>
      <c r="O888" s="11"/>
      <c r="P888" s="11"/>
      <c r="Q888" s="11"/>
      <c r="R888" s="11"/>
      <c r="S888" s="11"/>
      <c r="T888" s="11"/>
      <c r="U888" s="11"/>
      <c r="V888" s="11"/>
      <c r="W888" s="11"/>
      <c r="X888" s="11"/>
      <c r="Y888" s="11"/>
      <c r="Z888" s="11"/>
    </row>
    <row r="889" spans="1:26" ht="14.25" customHeight="1">
      <c r="A889" s="11"/>
      <c r="B889" s="11"/>
      <c r="C889" s="11"/>
      <c r="D889" s="11"/>
      <c r="E889" s="11"/>
      <c r="F889" s="11"/>
      <c r="G889" s="11"/>
      <c r="H889" s="11"/>
      <c r="I889" s="46"/>
      <c r="J889" s="11"/>
      <c r="K889" s="11"/>
      <c r="L889" s="11"/>
      <c r="M889" s="11"/>
      <c r="N889" s="11"/>
      <c r="O889" s="11"/>
      <c r="P889" s="11"/>
      <c r="Q889" s="11"/>
      <c r="R889" s="11"/>
      <c r="S889" s="11"/>
      <c r="T889" s="11"/>
      <c r="U889" s="11"/>
      <c r="V889" s="11"/>
      <c r="W889" s="11"/>
      <c r="X889" s="11"/>
      <c r="Y889" s="11"/>
      <c r="Z889" s="11"/>
    </row>
    <row r="890" spans="1:26" ht="14.25" customHeight="1">
      <c r="A890" s="11"/>
      <c r="B890" s="11"/>
      <c r="C890" s="11"/>
      <c r="D890" s="11"/>
      <c r="E890" s="11"/>
      <c r="F890" s="11"/>
      <c r="G890" s="11"/>
      <c r="H890" s="11"/>
      <c r="I890" s="46"/>
      <c r="J890" s="11"/>
      <c r="K890" s="11"/>
      <c r="L890" s="11"/>
      <c r="M890" s="11"/>
      <c r="N890" s="11"/>
      <c r="O890" s="11"/>
      <c r="P890" s="11"/>
      <c r="Q890" s="11"/>
      <c r="R890" s="11"/>
      <c r="S890" s="11"/>
      <c r="T890" s="11"/>
      <c r="U890" s="11"/>
      <c r="V890" s="11"/>
      <c r="W890" s="11"/>
      <c r="X890" s="11"/>
      <c r="Y890" s="11"/>
      <c r="Z890" s="11"/>
    </row>
    <row r="891" spans="1:26" ht="14.25" customHeight="1">
      <c r="A891" s="11"/>
      <c r="B891" s="11"/>
      <c r="C891" s="11"/>
      <c r="D891" s="11"/>
      <c r="E891" s="11"/>
      <c r="F891" s="11"/>
      <c r="G891" s="11"/>
      <c r="H891" s="11"/>
      <c r="I891" s="46"/>
      <c r="J891" s="11"/>
      <c r="K891" s="11"/>
      <c r="L891" s="11"/>
      <c r="M891" s="11"/>
      <c r="N891" s="11"/>
      <c r="O891" s="11"/>
      <c r="P891" s="11"/>
      <c r="Q891" s="11"/>
      <c r="R891" s="11"/>
      <c r="S891" s="11"/>
      <c r="T891" s="11"/>
      <c r="U891" s="11"/>
      <c r="V891" s="11"/>
      <c r="W891" s="11"/>
      <c r="X891" s="11"/>
      <c r="Y891" s="11"/>
      <c r="Z891" s="11"/>
    </row>
    <row r="892" spans="1:26" ht="14.25" customHeight="1">
      <c r="A892" s="11"/>
      <c r="B892" s="11"/>
      <c r="C892" s="11"/>
      <c r="D892" s="11"/>
      <c r="E892" s="11"/>
      <c r="F892" s="11"/>
      <c r="G892" s="11"/>
      <c r="H892" s="11"/>
      <c r="I892" s="46"/>
      <c r="J892" s="11"/>
      <c r="K892" s="11"/>
      <c r="L892" s="11"/>
      <c r="M892" s="11"/>
      <c r="N892" s="11"/>
      <c r="O892" s="11"/>
      <c r="P892" s="11"/>
      <c r="Q892" s="11"/>
      <c r="R892" s="11"/>
      <c r="S892" s="11"/>
      <c r="T892" s="11"/>
      <c r="U892" s="11"/>
      <c r="V892" s="11"/>
      <c r="W892" s="11"/>
      <c r="X892" s="11"/>
      <c r="Y892" s="11"/>
      <c r="Z892" s="11"/>
    </row>
    <row r="893" spans="1:26" ht="14.25" customHeight="1">
      <c r="A893" s="11"/>
      <c r="B893" s="11"/>
      <c r="C893" s="11"/>
      <c r="D893" s="11"/>
      <c r="E893" s="11"/>
      <c r="F893" s="11"/>
      <c r="G893" s="11"/>
      <c r="H893" s="11"/>
      <c r="I893" s="46"/>
      <c r="J893" s="11"/>
      <c r="K893" s="11"/>
      <c r="L893" s="11"/>
      <c r="M893" s="11"/>
      <c r="N893" s="11"/>
      <c r="O893" s="11"/>
      <c r="P893" s="11"/>
      <c r="Q893" s="11"/>
      <c r="R893" s="11"/>
      <c r="S893" s="11"/>
      <c r="T893" s="11"/>
      <c r="U893" s="11"/>
      <c r="V893" s="11"/>
      <c r="W893" s="11"/>
      <c r="X893" s="11"/>
      <c r="Y893" s="11"/>
      <c r="Z893" s="11"/>
    </row>
    <row r="894" spans="1:26" ht="14.25" customHeight="1">
      <c r="A894" s="11"/>
      <c r="B894" s="11"/>
      <c r="C894" s="11"/>
      <c r="D894" s="11"/>
      <c r="E894" s="11"/>
      <c r="F894" s="11"/>
      <c r="G894" s="11"/>
      <c r="H894" s="11"/>
      <c r="I894" s="46"/>
      <c r="J894" s="11"/>
      <c r="K894" s="11"/>
      <c r="L894" s="11"/>
      <c r="M894" s="11"/>
      <c r="N894" s="11"/>
      <c r="O894" s="11"/>
      <c r="P894" s="11"/>
      <c r="Q894" s="11"/>
      <c r="R894" s="11"/>
      <c r="S894" s="11"/>
      <c r="T894" s="11"/>
      <c r="U894" s="11"/>
      <c r="V894" s="11"/>
      <c r="W894" s="11"/>
      <c r="X894" s="11"/>
      <c r="Y894" s="11"/>
      <c r="Z894" s="11"/>
    </row>
    <row r="895" spans="1:26" ht="14.25" customHeight="1">
      <c r="A895" s="11"/>
      <c r="B895" s="11"/>
      <c r="C895" s="11"/>
      <c r="D895" s="11"/>
      <c r="E895" s="11"/>
      <c r="F895" s="11"/>
      <c r="G895" s="11"/>
      <c r="H895" s="11"/>
      <c r="I895" s="46"/>
      <c r="J895" s="11"/>
      <c r="K895" s="11"/>
      <c r="L895" s="11"/>
      <c r="M895" s="11"/>
      <c r="N895" s="11"/>
      <c r="O895" s="11"/>
      <c r="P895" s="11"/>
      <c r="Q895" s="11"/>
      <c r="R895" s="11"/>
      <c r="S895" s="11"/>
      <c r="T895" s="11"/>
      <c r="U895" s="11"/>
      <c r="V895" s="11"/>
      <c r="W895" s="11"/>
      <c r="X895" s="11"/>
      <c r="Y895" s="11"/>
      <c r="Z895" s="11"/>
    </row>
    <row r="896" spans="1:26" ht="14.25" customHeight="1">
      <c r="A896" s="11"/>
      <c r="B896" s="11"/>
      <c r="C896" s="11"/>
      <c r="D896" s="11"/>
      <c r="E896" s="11"/>
      <c r="F896" s="11"/>
      <c r="G896" s="11"/>
      <c r="H896" s="11"/>
      <c r="I896" s="46"/>
      <c r="J896" s="11"/>
      <c r="K896" s="11"/>
      <c r="L896" s="11"/>
      <c r="M896" s="11"/>
      <c r="N896" s="11"/>
      <c r="O896" s="11"/>
      <c r="P896" s="11"/>
      <c r="Q896" s="11"/>
      <c r="R896" s="11"/>
      <c r="S896" s="11"/>
      <c r="T896" s="11"/>
      <c r="U896" s="11"/>
      <c r="V896" s="11"/>
      <c r="W896" s="11"/>
      <c r="X896" s="11"/>
      <c r="Y896" s="11"/>
      <c r="Z896" s="11"/>
    </row>
    <row r="897" spans="1:26" ht="14.25" customHeight="1">
      <c r="A897" s="11"/>
      <c r="B897" s="11"/>
      <c r="C897" s="11"/>
      <c r="D897" s="11"/>
      <c r="E897" s="11"/>
      <c r="F897" s="11"/>
      <c r="G897" s="11"/>
      <c r="H897" s="11"/>
      <c r="I897" s="46"/>
      <c r="J897" s="11"/>
      <c r="K897" s="11"/>
      <c r="L897" s="11"/>
      <c r="M897" s="11"/>
      <c r="N897" s="11"/>
      <c r="O897" s="11"/>
      <c r="P897" s="11"/>
      <c r="Q897" s="11"/>
      <c r="R897" s="11"/>
      <c r="S897" s="11"/>
      <c r="T897" s="11"/>
      <c r="U897" s="11"/>
      <c r="V897" s="11"/>
      <c r="W897" s="11"/>
      <c r="X897" s="11"/>
      <c r="Y897" s="11"/>
      <c r="Z897" s="11"/>
    </row>
    <row r="898" spans="1:26" ht="14.25" customHeight="1">
      <c r="A898" s="11"/>
      <c r="B898" s="11"/>
      <c r="C898" s="11"/>
      <c r="D898" s="11"/>
      <c r="E898" s="11"/>
      <c r="F898" s="11"/>
      <c r="G898" s="11"/>
      <c r="H898" s="11"/>
      <c r="I898" s="46"/>
      <c r="J898" s="11"/>
      <c r="K898" s="11"/>
      <c r="L898" s="11"/>
      <c r="M898" s="11"/>
      <c r="N898" s="11"/>
      <c r="O898" s="11"/>
      <c r="P898" s="11"/>
      <c r="Q898" s="11"/>
      <c r="R898" s="11"/>
      <c r="S898" s="11"/>
      <c r="T898" s="11"/>
      <c r="U898" s="11"/>
      <c r="V898" s="11"/>
      <c r="W898" s="11"/>
      <c r="X898" s="11"/>
      <c r="Y898" s="11"/>
      <c r="Z898" s="11"/>
    </row>
    <row r="899" spans="1:26" ht="14.25" customHeight="1">
      <c r="A899" s="11"/>
      <c r="B899" s="11"/>
      <c r="C899" s="11"/>
      <c r="D899" s="11"/>
      <c r="E899" s="11"/>
      <c r="F899" s="11"/>
      <c r="G899" s="11"/>
      <c r="H899" s="11"/>
      <c r="I899" s="46"/>
      <c r="J899" s="11"/>
      <c r="K899" s="11"/>
      <c r="L899" s="11"/>
      <c r="M899" s="11"/>
      <c r="N899" s="11"/>
      <c r="O899" s="11"/>
      <c r="P899" s="11"/>
      <c r="Q899" s="11"/>
      <c r="R899" s="11"/>
      <c r="S899" s="11"/>
      <c r="T899" s="11"/>
      <c r="U899" s="11"/>
      <c r="V899" s="11"/>
      <c r="W899" s="11"/>
      <c r="X899" s="11"/>
      <c r="Y899" s="11"/>
      <c r="Z899" s="11"/>
    </row>
    <row r="900" spans="1:26" ht="14.25" customHeight="1">
      <c r="A900" s="11"/>
      <c r="B900" s="11"/>
      <c r="C900" s="11"/>
      <c r="D900" s="11"/>
      <c r="E900" s="11"/>
      <c r="F900" s="11"/>
      <c r="G900" s="11"/>
      <c r="H900" s="11"/>
      <c r="I900" s="46"/>
      <c r="J900" s="11"/>
      <c r="K900" s="11"/>
      <c r="L900" s="11"/>
      <c r="M900" s="11"/>
      <c r="N900" s="11"/>
      <c r="O900" s="11"/>
      <c r="P900" s="11"/>
      <c r="Q900" s="11"/>
      <c r="R900" s="11"/>
      <c r="S900" s="11"/>
      <c r="T900" s="11"/>
      <c r="U900" s="11"/>
      <c r="V900" s="11"/>
      <c r="W900" s="11"/>
      <c r="X900" s="11"/>
      <c r="Y900" s="11"/>
      <c r="Z900" s="11"/>
    </row>
    <row r="901" spans="1:26" ht="14.25" customHeight="1">
      <c r="A901" s="11"/>
      <c r="B901" s="11"/>
      <c r="C901" s="11"/>
      <c r="D901" s="11"/>
      <c r="E901" s="11"/>
      <c r="F901" s="11"/>
      <c r="G901" s="11"/>
      <c r="H901" s="11"/>
      <c r="I901" s="46"/>
      <c r="J901" s="11"/>
      <c r="K901" s="11"/>
      <c r="L901" s="11"/>
      <c r="M901" s="11"/>
      <c r="N901" s="11"/>
      <c r="O901" s="11"/>
      <c r="P901" s="11"/>
      <c r="Q901" s="11"/>
      <c r="R901" s="11"/>
      <c r="S901" s="11"/>
      <c r="T901" s="11"/>
      <c r="U901" s="11"/>
      <c r="V901" s="11"/>
      <c r="W901" s="11"/>
      <c r="X901" s="11"/>
      <c r="Y901" s="11"/>
      <c r="Z901" s="11"/>
    </row>
    <row r="902" spans="1:26" ht="14.25" customHeight="1">
      <c r="A902" s="11"/>
      <c r="B902" s="11"/>
      <c r="C902" s="11"/>
      <c r="D902" s="11"/>
      <c r="E902" s="11"/>
      <c r="F902" s="11"/>
      <c r="G902" s="11"/>
      <c r="H902" s="11"/>
      <c r="I902" s="46"/>
      <c r="J902" s="11"/>
      <c r="K902" s="11"/>
      <c r="L902" s="11"/>
      <c r="M902" s="11"/>
      <c r="N902" s="11"/>
      <c r="O902" s="11"/>
      <c r="P902" s="11"/>
      <c r="Q902" s="11"/>
      <c r="R902" s="11"/>
      <c r="S902" s="11"/>
      <c r="T902" s="11"/>
      <c r="U902" s="11"/>
      <c r="V902" s="11"/>
      <c r="W902" s="11"/>
      <c r="X902" s="11"/>
      <c r="Y902" s="11"/>
      <c r="Z902" s="11"/>
    </row>
    <row r="903" spans="1:26" ht="14.25" customHeight="1">
      <c r="A903" s="11"/>
      <c r="B903" s="11"/>
      <c r="C903" s="11"/>
      <c r="D903" s="11"/>
      <c r="E903" s="11"/>
      <c r="F903" s="11"/>
      <c r="G903" s="11"/>
      <c r="H903" s="11"/>
      <c r="I903" s="46"/>
      <c r="J903" s="11"/>
      <c r="K903" s="11"/>
      <c r="L903" s="11"/>
      <c r="M903" s="11"/>
      <c r="N903" s="11"/>
      <c r="O903" s="11"/>
      <c r="P903" s="11"/>
      <c r="Q903" s="11"/>
      <c r="R903" s="11"/>
      <c r="S903" s="11"/>
      <c r="T903" s="11"/>
      <c r="U903" s="11"/>
      <c r="V903" s="11"/>
      <c r="W903" s="11"/>
      <c r="X903" s="11"/>
      <c r="Y903" s="11"/>
      <c r="Z903" s="11"/>
    </row>
    <row r="904" spans="1:26" ht="14.25" customHeight="1">
      <c r="A904" s="11"/>
      <c r="B904" s="11"/>
      <c r="C904" s="11"/>
      <c r="D904" s="11"/>
      <c r="E904" s="11"/>
      <c r="F904" s="11"/>
      <c r="G904" s="11"/>
      <c r="H904" s="11"/>
      <c r="I904" s="46"/>
      <c r="J904" s="11"/>
      <c r="K904" s="11"/>
      <c r="L904" s="11"/>
      <c r="M904" s="11"/>
      <c r="N904" s="11"/>
      <c r="O904" s="11"/>
      <c r="P904" s="11"/>
      <c r="Q904" s="11"/>
      <c r="R904" s="11"/>
      <c r="S904" s="11"/>
      <c r="T904" s="11"/>
      <c r="U904" s="11"/>
      <c r="V904" s="11"/>
      <c r="W904" s="11"/>
      <c r="X904" s="11"/>
      <c r="Y904" s="11"/>
      <c r="Z904" s="11"/>
    </row>
    <row r="905" spans="1:26" ht="14.25" customHeight="1">
      <c r="A905" s="11"/>
      <c r="B905" s="11"/>
      <c r="C905" s="11"/>
      <c r="D905" s="11"/>
      <c r="E905" s="11"/>
      <c r="F905" s="11"/>
      <c r="G905" s="11"/>
      <c r="H905" s="11"/>
      <c r="I905" s="46"/>
      <c r="J905" s="11"/>
      <c r="K905" s="11"/>
      <c r="L905" s="11"/>
      <c r="M905" s="11"/>
      <c r="N905" s="11"/>
      <c r="O905" s="11"/>
      <c r="P905" s="11"/>
      <c r="Q905" s="11"/>
      <c r="R905" s="11"/>
      <c r="S905" s="11"/>
      <c r="T905" s="11"/>
      <c r="U905" s="11"/>
      <c r="V905" s="11"/>
      <c r="W905" s="11"/>
      <c r="X905" s="11"/>
      <c r="Y905" s="11"/>
      <c r="Z905" s="11"/>
    </row>
    <row r="906" spans="1:26" ht="14.25" customHeight="1">
      <c r="A906" s="11"/>
      <c r="B906" s="11"/>
      <c r="C906" s="11"/>
      <c r="D906" s="11"/>
      <c r="E906" s="11"/>
      <c r="F906" s="11"/>
      <c r="G906" s="11"/>
      <c r="H906" s="11"/>
      <c r="I906" s="46"/>
      <c r="J906" s="11"/>
      <c r="K906" s="11"/>
      <c r="L906" s="11"/>
      <c r="M906" s="11"/>
      <c r="N906" s="11"/>
      <c r="O906" s="11"/>
      <c r="P906" s="11"/>
      <c r="Q906" s="11"/>
      <c r="R906" s="11"/>
      <c r="S906" s="11"/>
      <c r="T906" s="11"/>
      <c r="U906" s="11"/>
      <c r="V906" s="11"/>
      <c r="W906" s="11"/>
      <c r="X906" s="11"/>
      <c r="Y906" s="11"/>
      <c r="Z906" s="11"/>
    </row>
    <row r="907" spans="1:26" ht="14.25" customHeight="1">
      <c r="A907" s="11"/>
      <c r="B907" s="11"/>
      <c r="C907" s="11"/>
      <c r="D907" s="11"/>
      <c r="E907" s="11"/>
      <c r="F907" s="11"/>
      <c r="G907" s="11"/>
      <c r="H907" s="11"/>
      <c r="I907" s="46"/>
      <c r="J907" s="11"/>
      <c r="K907" s="11"/>
      <c r="L907" s="11"/>
      <c r="M907" s="11"/>
      <c r="N907" s="11"/>
      <c r="O907" s="11"/>
      <c r="P907" s="11"/>
      <c r="Q907" s="11"/>
      <c r="R907" s="11"/>
      <c r="S907" s="11"/>
      <c r="T907" s="11"/>
      <c r="U907" s="11"/>
      <c r="V907" s="11"/>
      <c r="W907" s="11"/>
      <c r="X907" s="11"/>
      <c r="Y907" s="11"/>
      <c r="Z907" s="11"/>
    </row>
    <row r="908" spans="1:26" ht="14.25" customHeight="1">
      <c r="A908" s="11"/>
      <c r="B908" s="11"/>
      <c r="C908" s="11"/>
      <c r="D908" s="11"/>
      <c r="E908" s="11"/>
      <c r="F908" s="11"/>
      <c r="G908" s="11"/>
      <c r="H908" s="11"/>
      <c r="I908" s="46"/>
      <c r="J908" s="11"/>
      <c r="K908" s="11"/>
      <c r="L908" s="11"/>
      <c r="M908" s="11"/>
      <c r="N908" s="11"/>
      <c r="O908" s="11"/>
      <c r="P908" s="11"/>
      <c r="Q908" s="11"/>
      <c r="R908" s="11"/>
      <c r="S908" s="11"/>
      <c r="T908" s="11"/>
      <c r="U908" s="11"/>
      <c r="V908" s="11"/>
      <c r="W908" s="11"/>
      <c r="X908" s="11"/>
      <c r="Y908" s="11"/>
      <c r="Z908" s="11"/>
    </row>
    <row r="909" spans="1:26" ht="14.25" customHeight="1">
      <c r="A909" s="11"/>
      <c r="B909" s="11"/>
      <c r="C909" s="11"/>
      <c r="D909" s="11"/>
      <c r="E909" s="11"/>
      <c r="F909" s="11"/>
      <c r="G909" s="11"/>
      <c r="H909" s="11"/>
      <c r="I909" s="46"/>
      <c r="J909" s="11"/>
      <c r="K909" s="11"/>
      <c r="L909" s="11"/>
      <c r="M909" s="11"/>
      <c r="N909" s="11"/>
      <c r="O909" s="11"/>
      <c r="P909" s="11"/>
      <c r="Q909" s="11"/>
      <c r="R909" s="11"/>
      <c r="S909" s="11"/>
      <c r="T909" s="11"/>
      <c r="U909" s="11"/>
      <c r="V909" s="11"/>
      <c r="W909" s="11"/>
      <c r="X909" s="11"/>
      <c r="Y909" s="11"/>
      <c r="Z909" s="11"/>
    </row>
    <row r="910" spans="1:26" ht="14.25" customHeight="1">
      <c r="A910" s="11"/>
      <c r="B910" s="11"/>
      <c r="C910" s="11"/>
      <c r="D910" s="11"/>
      <c r="E910" s="11"/>
      <c r="F910" s="11"/>
      <c r="G910" s="11"/>
      <c r="H910" s="11"/>
      <c r="I910" s="46"/>
      <c r="J910" s="11"/>
      <c r="K910" s="11"/>
      <c r="L910" s="11"/>
      <c r="M910" s="11"/>
      <c r="N910" s="11"/>
      <c r="O910" s="11"/>
      <c r="P910" s="11"/>
      <c r="Q910" s="11"/>
      <c r="R910" s="11"/>
      <c r="S910" s="11"/>
      <c r="T910" s="11"/>
      <c r="U910" s="11"/>
      <c r="V910" s="11"/>
      <c r="W910" s="11"/>
      <c r="X910" s="11"/>
      <c r="Y910" s="11"/>
      <c r="Z910" s="11"/>
    </row>
    <row r="911" spans="1:26" ht="14.25" customHeight="1">
      <c r="A911" s="11"/>
      <c r="B911" s="11"/>
      <c r="C911" s="11"/>
      <c r="D911" s="11"/>
      <c r="E911" s="11"/>
      <c r="F911" s="11"/>
      <c r="G911" s="11"/>
      <c r="H911" s="11"/>
      <c r="I911" s="46"/>
      <c r="J911" s="11"/>
      <c r="K911" s="11"/>
      <c r="L911" s="11"/>
      <c r="M911" s="11"/>
      <c r="N911" s="11"/>
      <c r="O911" s="11"/>
      <c r="P911" s="11"/>
      <c r="Q911" s="11"/>
      <c r="R911" s="11"/>
      <c r="S911" s="11"/>
      <c r="T911" s="11"/>
      <c r="U911" s="11"/>
      <c r="V911" s="11"/>
      <c r="W911" s="11"/>
      <c r="X911" s="11"/>
      <c r="Y911" s="11"/>
      <c r="Z911" s="11"/>
    </row>
    <row r="912" spans="1:26" ht="14.25" customHeight="1">
      <c r="A912" s="11"/>
      <c r="B912" s="11"/>
      <c r="C912" s="11"/>
      <c r="D912" s="11"/>
      <c r="E912" s="11"/>
      <c r="F912" s="11"/>
      <c r="G912" s="11"/>
      <c r="H912" s="11"/>
      <c r="I912" s="46"/>
      <c r="J912" s="11"/>
      <c r="K912" s="11"/>
      <c r="L912" s="11"/>
      <c r="M912" s="11"/>
      <c r="N912" s="11"/>
      <c r="O912" s="11"/>
      <c r="P912" s="11"/>
      <c r="Q912" s="11"/>
      <c r="R912" s="11"/>
      <c r="S912" s="11"/>
      <c r="T912" s="11"/>
      <c r="U912" s="11"/>
      <c r="V912" s="11"/>
      <c r="W912" s="11"/>
      <c r="X912" s="11"/>
      <c r="Y912" s="11"/>
      <c r="Z912" s="11"/>
    </row>
    <row r="913" spans="1:26" ht="14.25" customHeight="1">
      <c r="A913" s="11"/>
      <c r="B913" s="11"/>
      <c r="C913" s="11"/>
      <c r="D913" s="11"/>
      <c r="E913" s="11"/>
      <c r="F913" s="11"/>
      <c r="G913" s="11"/>
      <c r="H913" s="11"/>
      <c r="I913" s="46"/>
      <c r="J913" s="11"/>
      <c r="K913" s="11"/>
      <c r="L913" s="11"/>
      <c r="M913" s="11"/>
      <c r="N913" s="11"/>
      <c r="O913" s="11"/>
      <c r="P913" s="11"/>
      <c r="Q913" s="11"/>
      <c r="R913" s="11"/>
      <c r="S913" s="11"/>
      <c r="T913" s="11"/>
      <c r="U913" s="11"/>
      <c r="V913" s="11"/>
      <c r="W913" s="11"/>
      <c r="X913" s="11"/>
      <c r="Y913" s="11"/>
      <c r="Z913" s="11"/>
    </row>
    <row r="914" spans="1:26" ht="14.25" customHeight="1">
      <c r="A914" s="11"/>
      <c r="B914" s="11"/>
      <c r="C914" s="11"/>
      <c r="D914" s="11"/>
      <c r="E914" s="11"/>
      <c r="F914" s="11"/>
      <c r="G914" s="11"/>
      <c r="H914" s="11"/>
      <c r="I914" s="46"/>
      <c r="J914" s="11"/>
      <c r="K914" s="11"/>
      <c r="L914" s="11"/>
      <c r="M914" s="11"/>
      <c r="N914" s="11"/>
      <c r="O914" s="11"/>
      <c r="P914" s="11"/>
      <c r="Q914" s="11"/>
      <c r="R914" s="11"/>
      <c r="S914" s="11"/>
      <c r="T914" s="11"/>
      <c r="U914" s="11"/>
      <c r="V914" s="11"/>
      <c r="W914" s="11"/>
      <c r="X914" s="11"/>
      <c r="Y914" s="11"/>
      <c r="Z914" s="11"/>
    </row>
    <row r="915" spans="1:26" ht="14.25" customHeight="1">
      <c r="A915" s="11"/>
      <c r="B915" s="11"/>
      <c r="C915" s="11"/>
      <c r="D915" s="11"/>
      <c r="E915" s="11"/>
      <c r="F915" s="11"/>
      <c r="G915" s="11"/>
      <c r="H915" s="11"/>
      <c r="I915" s="46"/>
      <c r="J915" s="11"/>
      <c r="K915" s="11"/>
      <c r="L915" s="11"/>
      <c r="M915" s="11"/>
      <c r="N915" s="11"/>
      <c r="O915" s="11"/>
      <c r="P915" s="11"/>
      <c r="Q915" s="11"/>
      <c r="R915" s="11"/>
      <c r="S915" s="11"/>
      <c r="T915" s="11"/>
      <c r="U915" s="11"/>
      <c r="V915" s="11"/>
      <c r="W915" s="11"/>
      <c r="X915" s="11"/>
      <c r="Y915" s="11"/>
      <c r="Z915" s="11"/>
    </row>
    <row r="916" spans="1:26" ht="14.25" customHeight="1">
      <c r="A916" s="11"/>
      <c r="B916" s="11"/>
      <c r="C916" s="11"/>
      <c r="D916" s="11"/>
      <c r="E916" s="11"/>
      <c r="F916" s="11"/>
      <c r="G916" s="11"/>
      <c r="H916" s="11"/>
      <c r="I916" s="46"/>
      <c r="J916" s="11"/>
      <c r="K916" s="11"/>
      <c r="L916" s="11"/>
      <c r="M916" s="11"/>
      <c r="N916" s="11"/>
      <c r="O916" s="11"/>
      <c r="P916" s="11"/>
      <c r="Q916" s="11"/>
      <c r="R916" s="11"/>
      <c r="S916" s="11"/>
      <c r="T916" s="11"/>
      <c r="U916" s="11"/>
      <c r="V916" s="11"/>
      <c r="W916" s="11"/>
      <c r="X916" s="11"/>
      <c r="Y916" s="11"/>
      <c r="Z916" s="11"/>
    </row>
    <row r="917" spans="1:26" ht="14.25" customHeight="1">
      <c r="A917" s="11"/>
      <c r="B917" s="11"/>
      <c r="C917" s="11"/>
      <c r="D917" s="11"/>
      <c r="E917" s="11"/>
      <c r="F917" s="11"/>
      <c r="G917" s="11"/>
      <c r="H917" s="11"/>
      <c r="I917" s="46"/>
      <c r="J917" s="11"/>
      <c r="K917" s="11"/>
      <c r="L917" s="11"/>
      <c r="M917" s="11"/>
      <c r="N917" s="11"/>
      <c r="O917" s="11"/>
      <c r="P917" s="11"/>
      <c r="Q917" s="11"/>
      <c r="R917" s="11"/>
      <c r="S917" s="11"/>
      <c r="T917" s="11"/>
      <c r="U917" s="11"/>
      <c r="V917" s="11"/>
      <c r="W917" s="11"/>
      <c r="X917" s="11"/>
      <c r="Y917" s="11"/>
      <c r="Z917" s="11"/>
    </row>
    <row r="918" spans="1:26" ht="14.25" customHeight="1">
      <c r="A918" s="11"/>
      <c r="B918" s="11"/>
      <c r="C918" s="11"/>
      <c r="D918" s="11"/>
      <c r="E918" s="11"/>
      <c r="F918" s="11"/>
      <c r="G918" s="11"/>
      <c r="H918" s="11"/>
      <c r="I918" s="46"/>
      <c r="J918" s="11"/>
      <c r="K918" s="11"/>
      <c r="L918" s="11"/>
      <c r="M918" s="11"/>
      <c r="N918" s="11"/>
      <c r="O918" s="11"/>
      <c r="P918" s="11"/>
      <c r="Q918" s="11"/>
      <c r="R918" s="11"/>
      <c r="S918" s="11"/>
      <c r="T918" s="11"/>
      <c r="U918" s="11"/>
      <c r="V918" s="11"/>
      <c r="W918" s="11"/>
      <c r="X918" s="11"/>
      <c r="Y918" s="11"/>
      <c r="Z918" s="11"/>
    </row>
    <row r="919" spans="1:26" ht="14.25" customHeight="1">
      <c r="A919" s="11"/>
      <c r="B919" s="11"/>
      <c r="C919" s="11"/>
      <c r="D919" s="11"/>
      <c r="E919" s="11"/>
      <c r="F919" s="11"/>
      <c r="G919" s="11"/>
      <c r="H919" s="11"/>
      <c r="I919" s="46"/>
      <c r="J919" s="11"/>
      <c r="K919" s="11"/>
      <c r="L919" s="11"/>
      <c r="M919" s="11"/>
      <c r="N919" s="11"/>
      <c r="O919" s="11"/>
      <c r="P919" s="11"/>
      <c r="Q919" s="11"/>
      <c r="R919" s="11"/>
      <c r="S919" s="11"/>
      <c r="T919" s="11"/>
      <c r="U919" s="11"/>
      <c r="V919" s="11"/>
      <c r="W919" s="11"/>
      <c r="X919" s="11"/>
      <c r="Y919" s="11"/>
      <c r="Z919" s="11"/>
    </row>
    <row r="920" spans="1:26" ht="14.25" customHeight="1">
      <c r="A920" s="11"/>
      <c r="B920" s="11"/>
      <c r="C920" s="11"/>
      <c r="D920" s="11"/>
      <c r="E920" s="11"/>
      <c r="F920" s="11"/>
      <c r="G920" s="11"/>
      <c r="H920" s="11"/>
      <c r="I920" s="46"/>
      <c r="J920" s="11"/>
      <c r="K920" s="11"/>
      <c r="L920" s="11"/>
      <c r="M920" s="11"/>
      <c r="N920" s="11"/>
      <c r="O920" s="11"/>
      <c r="P920" s="11"/>
      <c r="Q920" s="11"/>
      <c r="R920" s="11"/>
      <c r="S920" s="11"/>
      <c r="T920" s="11"/>
      <c r="U920" s="11"/>
      <c r="V920" s="11"/>
      <c r="W920" s="11"/>
      <c r="X920" s="11"/>
      <c r="Y920" s="11"/>
      <c r="Z920" s="11"/>
    </row>
    <row r="921" spans="1:26" ht="14.25" customHeight="1">
      <c r="A921" s="11"/>
      <c r="B921" s="11"/>
      <c r="C921" s="11"/>
      <c r="D921" s="11"/>
      <c r="E921" s="11"/>
      <c r="F921" s="11"/>
      <c r="G921" s="11"/>
      <c r="H921" s="11"/>
      <c r="I921" s="46"/>
      <c r="J921" s="11"/>
      <c r="K921" s="11"/>
      <c r="L921" s="11"/>
      <c r="M921" s="11"/>
      <c r="N921" s="11"/>
      <c r="O921" s="11"/>
      <c r="P921" s="11"/>
      <c r="Q921" s="11"/>
      <c r="R921" s="11"/>
      <c r="S921" s="11"/>
      <c r="T921" s="11"/>
      <c r="U921" s="11"/>
      <c r="V921" s="11"/>
      <c r="W921" s="11"/>
      <c r="X921" s="11"/>
      <c r="Y921" s="11"/>
      <c r="Z921" s="11"/>
    </row>
    <row r="922" spans="1:26" ht="14.25" customHeight="1">
      <c r="A922" s="11"/>
      <c r="B922" s="11"/>
      <c r="C922" s="11"/>
      <c r="D922" s="11"/>
      <c r="E922" s="11"/>
      <c r="F922" s="11"/>
      <c r="G922" s="11"/>
      <c r="H922" s="11"/>
      <c r="I922" s="46"/>
      <c r="J922" s="11"/>
      <c r="K922" s="11"/>
      <c r="L922" s="11"/>
      <c r="M922" s="11"/>
      <c r="N922" s="11"/>
      <c r="O922" s="11"/>
      <c r="P922" s="11"/>
      <c r="Q922" s="11"/>
      <c r="R922" s="11"/>
      <c r="S922" s="11"/>
      <c r="T922" s="11"/>
      <c r="U922" s="11"/>
      <c r="V922" s="11"/>
      <c r="W922" s="11"/>
      <c r="X922" s="11"/>
      <c r="Y922" s="11"/>
      <c r="Z922" s="11"/>
    </row>
    <row r="923" spans="1:26" ht="14.25" customHeight="1">
      <c r="A923" s="11"/>
      <c r="B923" s="11"/>
      <c r="C923" s="11"/>
      <c r="D923" s="11"/>
      <c r="E923" s="11"/>
      <c r="F923" s="11"/>
      <c r="G923" s="11"/>
      <c r="H923" s="11"/>
      <c r="I923" s="46"/>
      <c r="J923" s="11"/>
      <c r="K923" s="11"/>
      <c r="L923" s="11"/>
      <c r="M923" s="11"/>
      <c r="N923" s="11"/>
      <c r="O923" s="11"/>
      <c r="P923" s="11"/>
      <c r="Q923" s="11"/>
      <c r="R923" s="11"/>
      <c r="S923" s="11"/>
      <c r="T923" s="11"/>
      <c r="U923" s="11"/>
      <c r="V923" s="11"/>
      <c r="W923" s="11"/>
      <c r="X923" s="11"/>
      <c r="Y923" s="11"/>
      <c r="Z923" s="11"/>
    </row>
    <row r="924" spans="1:26" ht="14.25" customHeight="1">
      <c r="A924" s="11"/>
      <c r="B924" s="11"/>
      <c r="C924" s="11"/>
      <c r="D924" s="11"/>
      <c r="E924" s="11"/>
      <c r="F924" s="11"/>
      <c r="G924" s="11"/>
      <c r="H924" s="11"/>
      <c r="I924" s="46"/>
      <c r="J924" s="11"/>
      <c r="K924" s="11"/>
      <c r="L924" s="11"/>
      <c r="M924" s="11"/>
      <c r="N924" s="11"/>
      <c r="O924" s="11"/>
      <c r="P924" s="11"/>
      <c r="Q924" s="11"/>
      <c r="R924" s="11"/>
      <c r="S924" s="11"/>
      <c r="T924" s="11"/>
      <c r="U924" s="11"/>
      <c r="V924" s="11"/>
      <c r="W924" s="11"/>
      <c r="X924" s="11"/>
      <c r="Y924" s="11"/>
      <c r="Z924" s="11"/>
    </row>
    <row r="925" spans="1:26" ht="14.25" customHeight="1">
      <c r="A925" s="11"/>
      <c r="B925" s="11"/>
      <c r="C925" s="11"/>
      <c r="D925" s="11"/>
      <c r="E925" s="11"/>
      <c r="F925" s="11"/>
      <c r="G925" s="11"/>
      <c r="H925" s="11"/>
      <c r="I925" s="46"/>
      <c r="J925" s="11"/>
      <c r="K925" s="11"/>
      <c r="L925" s="11"/>
      <c r="M925" s="11"/>
      <c r="N925" s="11"/>
      <c r="O925" s="11"/>
      <c r="P925" s="11"/>
      <c r="Q925" s="11"/>
      <c r="R925" s="11"/>
      <c r="S925" s="11"/>
      <c r="T925" s="11"/>
      <c r="U925" s="11"/>
      <c r="V925" s="11"/>
      <c r="W925" s="11"/>
      <c r="X925" s="11"/>
      <c r="Y925" s="11"/>
      <c r="Z925" s="11"/>
    </row>
    <row r="926" spans="1:26" ht="14.25" customHeight="1">
      <c r="A926" s="11"/>
      <c r="B926" s="11"/>
      <c r="C926" s="11"/>
      <c r="D926" s="11"/>
      <c r="E926" s="11"/>
      <c r="F926" s="11"/>
      <c r="G926" s="11"/>
      <c r="H926" s="11"/>
      <c r="I926" s="46"/>
      <c r="J926" s="11"/>
      <c r="K926" s="11"/>
      <c r="L926" s="11"/>
      <c r="M926" s="11"/>
      <c r="N926" s="11"/>
      <c r="O926" s="11"/>
      <c r="P926" s="11"/>
      <c r="Q926" s="11"/>
      <c r="R926" s="11"/>
      <c r="S926" s="11"/>
      <c r="T926" s="11"/>
      <c r="U926" s="11"/>
      <c r="V926" s="11"/>
      <c r="W926" s="11"/>
      <c r="X926" s="11"/>
      <c r="Y926" s="11"/>
      <c r="Z926" s="11"/>
    </row>
    <row r="927" spans="1:26" ht="14.25" customHeight="1">
      <c r="A927" s="11"/>
      <c r="B927" s="11"/>
      <c r="C927" s="11"/>
      <c r="D927" s="11"/>
      <c r="E927" s="11"/>
      <c r="F927" s="11"/>
      <c r="G927" s="11"/>
      <c r="H927" s="11"/>
      <c r="I927" s="46"/>
      <c r="J927" s="11"/>
      <c r="K927" s="11"/>
      <c r="L927" s="11"/>
      <c r="M927" s="11"/>
      <c r="N927" s="11"/>
      <c r="O927" s="11"/>
      <c r="P927" s="11"/>
      <c r="Q927" s="11"/>
      <c r="R927" s="11"/>
      <c r="S927" s="11"/>
      <c r="T927" s="11"/>
      <c r="U927" s="11"/>
      <c r="V927" s="11"/>
      <c r="W927" s="11"/>
      <c r="X927" s="11"/>
      <c r="Y927" s="11"/>
      <c r="Z927" s="11"/>
    </row>
    <row r="928" spans="1:26" ht="14.25" customHeight="1">
      <c r="A928" s="11"/>
      <c r="B928" s="11"/>
      <c r="C928" s="11"/>
      <c r="D928" s="11"/>
      <c r="E928" s="11"/>
      <c r="F928" s="11"/>
      <c r="G928" s="11"/>
      <c r="H928" s="11"/>
      <c r="I928" s="46"/>
      <c r="J928" s="11"/>
      <c r="K928" s="11"/>
      <c r="L928" s="11"/>
      <c r="M928" s="11"/>
      <c r="N928" s="11"/>
      <c r="O928" s="11"/>
      <c r="P928" s="11"/>
      <c r="Q928" s="11"/>
      <c r="R928" s="11"/>
      <c r="S928" s="11"/>
      <c r="T928" s="11"/>
      <c r="U928" s="11"/>
      <c r="V928" s="11"/>
      <c r="W928" s="11"/>
      <c r="X928" s="11"/>
      <c r="Y928" s="11"/>
      <c r="Z928" s="11"/>
    </row>
    <row r="929" spans="1:26" ht="14.25" customHeight="1">
      <c r="A929" s="11"/>
      <c r="B929" s="11"/>
      <c r="C929" s="11"/>
      <c r="D929" s="11"/>
      <c r="E929" s="11"/>
      <c r="F929" s="11"/>
      <c r="G929" s="11"/>
      <c r="H929" s="11"/>
      <c r="I929" s="46"/>
      <c r="J929" s="11"/>
      <c r="K929" s="11"/>
      <c r="L929" s="11"/>
      <c r="M929" s="11"/>
      <c r="N929" s="11"/>
      <c r="O929" s="11"/>
      <c r="P929" s="11"/>
      <c r="Q929" s="11"/>
      <c r="R929" s="11"/>
      <c r="S929" s="11"/>
      <c r="T929" s="11"/>
      <c r="U929" s="11"/>
      <c r="V929" s="11"/>
      <c r="W929" s="11"/>
      <c r="X929" s="11"/>
      <c r="Y929" s="11"/>
      <c r="Z929" s="11"/>
    </row>
    <row r="930" spans="1:26" ht="14.25" customHeight="1">
      <c r="A930" s="11"/>
      <c r="B930" s="11"/>
      <c r="C930" s="11"/>
      <c r="D930" s="11"/>
      <c r="E930" s="11"/>
      <c r="F930" s="11"/>
      <c r="G930" s="11"/>
      <c r="H930" s="11"/>
      <c r="I930" s="46"/>
      <c r="J930" s="11"/>
      <c r="K930" s="11"/>
      <c r="L930" s="11"/>
      <c r="M930" s="11"/>
      <c r="N930" s="11"/>
      <c r="O930" s="11"/>
      <c r="P930" s="11"/>
      <c r="Q930" s="11"/>
      <c r="R930" s="11"/>
      <c r="S930" s="11"/>
      <c r="T930" s="11"/>
      <c r="U930" s="11"/>
      <c r="V930" s="11"/>
      <c r="W930" s="11"/>
      <c r="X930" s="11"/>
      <c r="Y930" s="11"/>
      <c r="Z930" s="11"/>
    </row>
    <row r="931" spans="1:26" ht="14.25" customHeight="1">
      <c r="A931" s="11"/>
      <c r="B931" s="11"/>
      <c r="C931" s="11"/>
      <c r="D931" s="11"/>
      <c r="E931" s="11"/>
      <c r="F931" s="11"/>
      <c r="G931" s="11"/>
      <c r="H931" s="11"/>
      <c r="I931" s="46"/>
      <c r="J931" s="11"/>
      <c r="K931" s="11"/>
      <c r="L931" s="11"/>
      <c r="M931" s="11"/>
      <c r="N931" s="11"/>
      <c r="O931" s="11"/>
      <c r="P931" s="11"/>
      <c r="Q931" s="11"/>
      <c r="R931" s="11"/>
      <c r="S931" s="11"/>
      <c r="T931" s="11"/>
      <c r="U931" s="11"/>
      <c r="V931" s="11"/>
      <c r="W931" s="11"/>
      <c r="X931" s="11"/>
      <c r="Y931" s="11"/>
      <c r="Z931" s="11"/>
    </row>
    <row r="932" spans="1:26" ht="14.25" customHeight="1">
      <c r="A932" s="11"/>
      <c r="B932" s="11"/>
      <c r="C932" s="11"/>
      <c r="D932" s="11"/>
      <c r="E932" s="11"/>
      <c r="F932" s="11"/>
      <c r="G932" s="11"/>
      <c r="H932" s="11"/>
      <c r="I932" s="46"/>
      <c r="J932" s="11"/>
      <c r="K932" s="11"/>
      <c r="L932" s="11"/>
      <c r="M932" s="11"/>
      <c r="N932" s="11"/>
      <c r="O932" s="11"/>
      <c r="P932" s="11"/>
      <c r="Q932" s="11"/>
      <c r="R932" s="11"/>
      <c r="S932" s="11"/>
      <c r="T932" s="11"/>
      <c r="U932" s="11"/>
      <c r="V932" s="11"/>
      <c r="W932" s="11"/>
      <c r="X932" s="11"/>
      <c r="Y932" s="11"/>
      <c r="Z932" s="11"/>
    </row>
    <row r="933" spans="1:26" ht="14.25" customHeight="1">
      <c r="A933" s="11"/>
      <c r="B933" s="11"/>
      <c r="C933" s="11"/>
      <c r="D933" s="11"/>
      <c r="E933" s="11"/>
      <c r="F933" s="11"/>
      <c r="G933" s="11"/>
      <c r="H933" s="11"/>
      <c r="I933" s="46"/>
      <c r="J933" s="11"/>
      <c r="K933" s="11"/>
      <c r="L933" s="11"/>
      <c r="M933" s="11"/>
      <c r="N933" s="11"/>
      <c r="O933" s="11"/>
      <c r="P933" s="11"/>
      <c r="Q933" s="11"/>
      <c r="R933" s="11"/>
      <c r="S933" s="11"/>
      <c r="T933" s="11"/>
      <c r="U933" s="11"/>
      <c r="V933" s="11"/>
      <c r="W933" s="11"/>
      <c r="X933" s="11"/>
      <c r="Y933" s="11"/>
      <c r="Z933" s="11"/>
    </row>
    <row r="934" spans="1:26" ht="14.25" customHeight="1">
      <c r="A934" s="11"/>
      <c r="B934" s="11"/>
      <c r="C934" s="11"/>
      <c r="D934" s="11"/>
      <c r="E934" s="11"/>
      <c r="F934" s="11"/>
      <c r="G934" s="11"/>
      <c r="H934" s="11"/>
      <c r="I934" s="46"/>
      <c r="J934" s="11"/>
      <c r="K934" s="11"/>
      <c r="L934" s="11"/>
      <c r="M934" s="11"/>
      <c r="N934" s="11"/>
      <c r="O934" s="11"/>
      <c r="P934" s="11"/>
      <c r="Q934" s="11"/>
      <c r="R934" s="11"/>
      <c r="S934" s="11"/>
      <c r="T934" s="11"/>
      <c r="U934" s="11"/>
      <c r="V934" s="11"/>
      <c r="W934" s="11"/>
      <c r="X934" s="11"/>
      <c r="Y934" s="11"/>
      <c r="Z934" s="11"/>
    </row>
    <row r="935" spans="1:26" ht="14.25" customHeight="1">
      <c r="A935" s="11"/>
      <c r="B935" s="11"/>
      <c r="C935" s="11"/>
      <c r="D935" s="11"/>
      <c r="E935" s="11"/>
      <c r="F935" s="11"/>
      <c r="G935" s="11"/>
      <c r="H935" s="11"/>
      <c r="I935" s="46"/>
      <c r="J935" s="11"/>
      <c r="K935" s="11"/>
      <c r="L935" s="11"/>
      <c r="M935" s="11"/>
      <c r="N935" s="11"/>
      <c r="O935" s="11"/>
      <c r="P935" s="11"/>
      <c r="Q935" s="11"/>
      <c r="R935" s="11"/>
      <c r="S935" s="11"/>
      <c r="T935" s="11"/>
      <c r="U935" s="11"/>
      <c r="V935" s="11"/>
      <c r="W935" s="11"/>
      <c r="X935" s="11"/>
      <c r="Y935" s="11"/>
      <c r="Z935" s="11"/>
    </row>
    <row r="936" spans="1:26" ht="14.25" customHeight="1">
      <c r="A936" s="11"/>
      <c r="B936" s="11"/>
      <c r="C936" s="11"/>
      <c r="D936" s="11"/>
      <c r="E936" s="11"/>
      <c r="F936" s="11"/>
      <c r="G936" s="11"/>
      <c r="H936" s="11"/>
      <c r="I936" s="46"/>
      <c r="J936" s="11"/>
      <c r="K936" s="11"/>
      <c r="L936" s="11"/>
      <c r="M936" s="11"/>
      <c r="N936" s="11"/>
      <c r="O936" s="11"/>
      <c r="P936" s="11"/>
      <c r="Q936" s="11"/>
      <c r="R936" s="11"/>
      <c r="S936" s="11"/>
      <c r="T936" s="11"/>
      <c r="U936" s="11"/>
      <c r="V936" s="11"/>
      <c r="W936" s="11"/>
      <c r="X936" s="11"/>
      <c r="Y936" s="11"/>
      <c r="Z936" s="11"/>
    </row>
    <row r="937" spans="1:26" ht="14.25" customHeight="1">
      <c r="A937" s="11"/>
      <c r="B937" s="11"/>
      <c r="C937" s="11"/>
      <c r="D937" s="11"/>
      <c r="E937" s="11"/>
      <c r="F937" s="11"/>
      <c r="G937" s="11"/>
      <c r="H937" s="11"/>
      <c r="I937" s="46"/>
      <c r="J937" s="11"/>
      <c r="K937" s="11"/>
      <c r="L937" s="11"/>
      <c r="M937" s="11"/>
      <c r="N937" s="11"/>
      <c r="O937" s="11"/>
      <c r="P937" s="11"/>
      <c r="Q937" s="11"/>
      <c r="R937" s="11"/>
      <c r="S937" s="11"/>
      <c r="T937" s="11"/>
      <c r="U937" s="11"/>
      <c r="V937" s="11"/>
      <c r="W937" s="11"/>
      <c r="X937" s="11"/>
      <c r="Y937" s="11"/>
      <c r="Z937" s="11"/>
    </row>
    <row r="938" spans="1:26" ht="14.25" customHeight="1">
      <c r="A938" s="11"/>
      <c r="B938" s="11"/>
      <c r="C938" s="11"/>
      <c r="D938" s="11"/>
      <c r="E938" s="11"/>
      <c r="F938" s="11"/>
      <c r="G938" s="11"/>
      <c r="H938" s="11"/>
      <c r="I938" s="46"/>
      <c r="J938" s="11"/>
      <c r="K938" s="11"/>
      <c r="L938" s="11"/>
      <c r="M938" s="11"/>
      <c r="N938" s="11"/>
      <c r="O938" s="11"/>
      <c r="P938" s="11"/>
      <c r="Q938" s="11"/>
      <c r="R938" s="11"/>
      <c r="S938" s="11"/>
      <c r="T938" s="11"/>
      <c r="U938" s="11"/>
      <c r="V938" s="11"/>
      <c r="W938" s="11"/>
      <c r="X938" s="11"/>
      <c r="Y938" s="11"/>
      <c r="Z938" s="11"/>
    </row>
    <row r="939" spans="1:26" ht="14.25" customHeight="1">
      <c r="A939" s="11"/>
      <c r="B939" s="11"/>
      <c r="C939" s="11"/>
      <c r="D939" s="11"/>
      <c r="E939" s="11"/>
      <c r="F939" s="11"/>
      <c r="G939" s="11"/>
      <c r="H939" s="11"/>
      <c r="I939" s="46"/>
      <c r="J939" s="11"/>
      <c r="K939" s="11"/>
      <c r="L939" s="11"/>
      <c r="M939" s="11"/>
      <c r="N939" s="11"/>
      <c r="O939" s="11"/>
      <c r="P939" s="11"/>
      <c r="Q939" s="11"/>
      <c r="R939" s="11"/>
      <c r="S939" s="11"/>
      <c r="T939" s="11"/>
      <c r="U939" s="11"/>
      <c r="V939" s="11"/>
      <c r="W939" s="11"/>
      <c r="X939" s="11"/>
      <c r="Y939" s="11"/>
      <c r="Z939" s="11"/>
    </row>
    <row r="940" spans="1:26" ht="14.25" customHeight="1">
      <c r="A940" s="11"/>
      <c r="B940" s="11"/>
      <c r="C940" s="11"/>
      <c r="D940" s="11"/>
      <c r="E940" s="11"/>
      <c r="F940" s="11"/>
      <c r="G940" s="11"/>
      <c r="H940" s="11"/>
      <c r="I940" s="46"/>
      <c r="J940" s="11"/>
      <c r="K940" s="11"/>
      <c r="L940" s="11"/>
      <c r="M940" s="11"/>
      <c r="N940" s="11"/>
      <c r="O940" s="11"/>
      <c r="P940" s="11"/>
      <c r="Q940" s="11"/>
      <c r="R940" s="11"/>
      <c r="S940" s="11"/>
      <c r="T940" s="11"/>
      <c r="U940" s="11"/>
      <c r="V940" s="11"/>
      <c r="W940" s="11"/>
      <c r="X940" s="11"/>
      <c r="Y940" s="11"/>
      <c r="Z940" s="11"/>
    </row>
    <row r="941" spans="1:26" ht="14.25" customHeight="1">
      <c r="A941" s="11"/>
      <c r="B941" s="11"/>
      <c r="C941" s="11"/>
      <c r="D941" s="11"/>
      <c r="E941" s="11"/>
      <c r="F941" s="11"/>
      <c r="G941" s="11"/>
      <c r="H941" s="11"/>
      <c r="I941" s="46"/>
      <c r="J941" s="11"/>
      <c r="K941" s="11"/>
      <c r="L941" s="11"/>
      <c r="M941" s="11"/>
      <c r="N941" s="11"/>
      <c r="O941" s="11"/>
      <c r="P941" s="11"/>
      <c r="Q941" s="11"/>
      <c r="R941" s="11"/>
      <c r="S941" s="11"/>
      <c r="T941" s="11"/>
      <c r="U941" s="11"/>
      <c r="V941" s="11"/>
      <c r="W941" s="11"/>
      <c r="X941" s="11"/>
      <c r="Y941" s="11"/>
      <c r="Z941" s="11"/>
    </row>
    <row r="942" spans="1:26" ht="14.25" customHeight="1">
      <c r="A942" s="11"/>
      <c r="B942" s="11"/>
      <c r="C942" s="11"/>
      <c r="D942" s="11"/>
      <c r="E942" s="11"/>
      <c r="F942" s="11"/>
      <c r="G942" s="11"/>
      <c r="H942" s="11"/>
      <c r="I942" s="46"/>
      <c r="J942" s="11"/>
      <c r="K942" s="11"/>
      <c r="L942" s="11"/>
      <c r="M942" s="11"/>
      <c r="N942" s="11"/>
      <c r="O942" s="11"/>
      <c r="P942" s="11"/>
      <c r="Q942" s="11"/>
      <c r="R942" s="11"/>
      <c r="S942" s="11"/>
      <c r="T942" s="11"/>
      <c r="U942" s="11"/>
      <c r="V942" s="11"/>
      <c r="W942" s="11"/>
      <c r="X942" s="11"/>
      <c r="Y942" s="11"/>
      <c r="Z942" s="11"/>
    </row>
    <row r="943" spans="1:26" ht="14.25" customHeight="1">
      <c r="A943" s="11"/>
      <c r="B943" s="11"/>
      <c r="C943" s="11"/>
      <c r="D943" s="11"/>
      <c r="E943" s="11"/>
      <c r="F943" s="11"/>
      <c r="G943" s="11"/>
      <c r="H943" s="11"/>
      <c r="I943" s="46"/>
      <c r="J943" s="11"/>
      <c r="K943" s="11"/>
      <c r="L943" s="11"/>
      <c r="M943" s="11"/>
      <c r="N943" s="11"/>
      <c r="O943" s="11"/>
      <c r="P943" s="11"/>
      <c r="Q943" s="11"/>
      <c r="R943" s="11"/>
      <c r="S943" s="11"/>
      <c r="T943" s="11"/>
      <c r="U943" s="11"/>
      <c r="V943" s="11"/>
      <c r="W943" s="11"/>
      <c r="X943" s="11"/>
      <c r="Y943" s="11"/>
      <c r="Z943" s="11"/>
    </row>
    <row r="944" spans="1:26" ht="14.25" customHeight="1">
      <c r="A944" s="11"/>
      <c r="B944" s="11"/>
      <c r="C944" s="11"/>
      <c r="D944" s="11"/>
      <c r="E944" s="11"/>
      <c r="F944" s="11"/>
      <c r="G944" s="11"/>
      <c r="H944" s="11"/>
      <c r="I944" s="46"/>
      <c r="J944" s="11"/>
      <c r="K944" s="11"/>
      <c r="L944" s="11"/>
      <c r="M944" s="11"/>
      <c r="N944" s="11"/>
      <c r="O944" s="11"/>
      <c r="P944" s="11"/>
      <c r="Q944" s="11"/>
      <c r="R944" s="11"/>
      <c r="S944" s="11"/>
      <c r="T944" s="11"/>
      <c r="U944" s="11"/>
      <c r="V944" s="11"/>
      <c r="W944" s="11"/>
      <c r="X944" s="11"/>
      <c r="Y944" s="11"/>
      <c r="Z944" s="11"/>
    </row>
    <row r="945" spans="1:26" ht="14.25" customHeight="1">
      <c r="A945" s="11"/>
      <c r="B945" s="11"/>
      <c r="C945" s="11"/>
      <c r="D945" s="11"/>
      <c r="E945" s="11"/>
      <c r="F945" s="11"/>
      <c r="G945" s="11"/>
      <c r="H945" s="11"/>
      <c r="I945" s="46"/>
      <c r="J945" s="11"/>
      <c r="K945" s="11"/>
      <c r="L945" s="11"/>
      <c r="M945" s="11"/>
      <c r="N945" s="11"/>
      <c r="O945" s="11"/>
      <c r="P945" s="11"/>
      <c r="Q945" s="11"/>
      <c r="R945" s="11"/>
      <c r="S945" s="11"/>
      <c r="T945" s="11"/>
      <c r="U945" s="11"/>
      <c r="V945" s="11"/>
      <c r="W945" s="11"/>
      <c r="X945" s="11"/>
      <c r="Y945" s="11"/>
      <c r="Z945" s="11"/>
    </row>
    <row r="946" spans="1:26" ht="14.25" customHeight="1">
      <c r="A946" s="11"/>
      <c r="B946" s="11"/>
      <c r="C946" s="11"/>
      <c r="D946" s="11"/>
      <c r="E946" s="11"/>
      <c r="F946" s="11"/>
      <c r="G946" s="11"/>
      <c r="H946" s="11"/>
      <c r="I946" s="46"/>
      <c r="J946" s="11"/>
      <c r="K946" s="11"/>
      <c r="L946" s="11"/>
      <c r="M946" s="11"/>
      <c r="N946" s="11"/>
      <c r="O946" s="11"/>
      <c r="P946" s="11"/>
      <c r="Q946" s="11"/>
      <c r="R946" s="11"/>
      <c r="S946" s="11"/>
      <c r="T946" s="11"/>
      <c r="U946" s="11"/>
      <c r="V946" s="11"/>
      <c r="W946" s="11"/>
      <c r="X946" s="11"/>
      <c r="Y946" s="11"/>
      <c r="Z946" s="11"/>
    </row>
    <row r="947" spans="1:26" ht="14.25" customHeight="1">
      <c r="A947" s="11"/>
      <c r="B947" s="11"/>
      <c r="C947" s="11"/>
      <c r="D947" s="11"/>
      <c r="E947" s="11"/>
      <c r="F947" s="11"/>
      <c r="G947" s="11"/>
      <c r="H947" s="11"/>
      <c r="I947" s="46"/>
      <c r="J947" s="11"/>
      <c r="K947" s="11"/>
      <c r="L947" s="11"/>
      <c r="M947" s="11"/>
      <c r="N947" s="11"/>
      <c r="O947" s="11"/>
      <c r="P947" s="11"/>
      <c r="Q947" s="11"/>
      <c r="R947" s="11"/>
      <c r="S947" s="11"/>
      <c r="T947" s="11"/>
      <c r="U947" s="11"/>
      <c r="V947" s="11"/>
      <c r="W947" s="11"/>
      <c r="X947" s="11"/>
      <c r="Y947" s="11"/>
      <c r="Z947" s="11"/>
    </row>
    <row r="948" spans="1:26" ht="14.25" customHeight="1">
      <c r="A948" s="11"/>
      <c r="B948" s="11"/>
      <c r="C948" s="11"/>
      <c r="D948" s="11"/>
      <c r="E948" s="11"/>
      <c r="F948" s="11"/>
      <c r="G948" s="11"/>
      <c r="H948" s="11"/>
      <c r="I948" s="46"/>
      <c r="J948" s="11"/>
      <c r="K948" s="11"/>
      <c r="L948" s="11"/>
      <c r="M948" s="11"/>
      <c r="N948" s="11"/>
      <c r="O948" s="11"/>
      <c r="P948" s="11"/>
      <c r="Q948" s="11"/>
      <c r="R948" s="11"/>
      <c r="S948" s="11"/>
      <c r="T948" s="11"/>
      <c r="U948" s="11"/>
      <c r="V948" s="11"/>
      <c r="W948" s="11"/>
      <c r="X948" s="11"/>
      <c r="Y948" s="11"/>
      <c r="Z948" s="11"/>
    </row>
    <row r="949" spans="1:26" ht="14.25" customHeight="1">
      <c r="A949" s="11"/>
      <c r="B949" s="11"/>
      <c r="C949" s="11"/>
      <c r="D949" s="11"/>
      <c r="E949" s="11"/>
      <c r="F949" s="11"/>
      <c r="G949" s="11"/>
      <c r="H949" s="11"/>
      <c r="I949" s="46"/>
      <c r="J949" s="11"/>
      <c r="K949" s="11"/>
      <c r="L949" s="11"/>
      <c r="M949" s="11"/>
      <c r="N949" s="11"/>
      <c r="O949" s="11"/>
      <c r="P949" s="11"/>
      <c r="Q949" s="11"/>
      <c r="R949" s="11"/>
      <c r="S949" s="11"/>
      <c r="T949" s="11"/>
      <c r="U949" s="11"/>
      <c r="V949" s="11"/>
      <c r="W949" s="11"/>
      <c r="X949" s="11"/>
      <c r="Y949" s="11"/>
      <c r="Z949" s="11"/>
    </row>
    <row r="950" spans="1:26" ht="14.25" customHeight="1">
      <c r="A950" s="11"/>
      <c r="B950" s="11"/>
      <c r="C950" s="11"/>
      <c r="D950" s="11"/>
      <c r="E950" s="11"/>
      <c r="F950" s="11"/>
      <c r="G950" s="11"/>
      <c r="H950" s="11"/>
      <c r="I950" s="46"/>
      <c r="J950" s="11"/>
      <c r="K950" s="11"/>
      <c r="L950" s="11"/>
      <c r="M950" s="11"/>
      <c r="N950" s="11"/>
      <c r="O950" s="11"/>
      <c r="P950" s="11"/>
      <c r="Q950" s="11"/>
      <c r="R950" s="11"/>
      <c r="S950" s="11"/>
      <c r="T950" s="11"/>
      <c r="U950" s="11"/>
      <c r="V950" s="11"/>
      <c r="W950" s="11"/>
      <c r="X950" s="11"/>
      <c r="Y950" s="11"/>
      <c r="Z950" s="11"/>
    </row>
    <row r="951" spans="1:26" ht="14.25" customHeight="1">
      <c r="A951" s="11"/>
      <c r="B951" s="11"/>
      <c r="C951" s="11"/>
      <c r="D951" s="11"/>
      <c r="E951" s="11"/>
      <c r="F951" s="11"/>
      <c r="G951" s="11"/>
      <c r="H951" s="11"/>
      <c r="I951" s="46"/>
      <c r="J951" s="11"/>
      <c r="K951" s="11"/>
      <c r="L951" s="11"/>
      <c r="M951" s="11"/>
      <c r="N951" s="11"/>
      <c r="O951" s="11"/>
      <c r="P951" s="11"/>
      <c r="Q951" s="11"/>
      <c r="R951" s="11"/>
      <c r="S951" s="11"/>
      <c r="T951" s="11"/>
      <c r="U951" s="11"/>
      <c r="V951" s="11"/>
      <c r="W951" s="11"/>
      <c r="X951" s="11"/>
      <c r="Y951" s="11"/>
      <c r="Z951" s="11"/>
    </row>
    <row r="952" spans="1:26" ht="14.25" customHeight="1">
      <c r="A952" s="11"/>
      <c r="B952" s="11"/>
      <c r="C952" s="11"/>
      <c r="D952" s="11"/>
      <c r="E952" s="11"/>
      <c r="F952" s="11"/>
      <c r="G952" s="11"/>
      <c r="H952" s="11"/>
      <c r="I952" s="46"/>
      <c r="J952" s="11"/>
      <c r="K952" s="11"/>
      <c r="L952" s="11"/>
      <c r="M952" s="11"/>
      <c r="N952" s="11"/>
      <c r="O952" s="11"/>
      <c r="P952" s="11"/>
      <c r="Q952" s="11"/>
      <c r="R952" s="11"/>
      <c r="S952" s="11"/>
      <c r="T952" s="11"/>
      <c r="U952" s="11"/>
      <c r="V952" s="11"/>
      <c r="W952" s="11"/>
      <c r="X952" s="11"/>
      <c r="Y952" s="11"/>
      <c r="Z952" s="11"/>
    </row>
    <row r="953" spans="1:26" ht="14.25" customHeight="1">
      <c r="A953" s="11"/>
      <c r="B953" s="11"/>
      <c r="C953" s="11"/>
      <c r="D953" s="11"/>
      <c r="E953" s="11"/>
      <c r="F953" s="11"/>
      <c r="G953" s="11"/>
      <c r="H953" s="11"/>
      <c r="I953" s="46"/>
      <c r="J953" s="11"/>
      <c r="K953" s="11"/>
      <c r="L953" s="11"/>
      <c r="M953" s="11"/>
      <c r="N953" s="11"/>
      <c r="O953" s="11"/>
      <c r="P953" s="11"/>
      <c r="Q953" s="11"/>
      <c r="R953" s="11"/>
      <c r="S953" s="11"/>
      <c r="T953" s="11"/>
      <c r="U953" s="11"/>
      <c r="V953" s="11"/>
      <c r="W953" s="11"/>
      <c r="X953" s="11"/>
      <c r="Y953" s="11"/>
      <c r="Z953" s="11"/>
    </row>
    <row r="954" spans="1:26" ht="14.25" customHeight="1">
      <c r="A954" s="11"/>
      <c r="B954" s="11"/>
      <c r="C954" s="11"/>
      <c r="D954" s="11"/>
      <c r="E954" s="11"/>
      <c r="F954" s="11"/>
      <c r="G954" s="11"/>
      <c r="H954" s="11"/>
      <c r="I954" s="46"/>
      <c r="J954" s="11"/>
      <c r="K954" s="11"/>
      <c r="L954" s="11"/>
      <c r="M954" s="11"/>
      <c r="N954" s="11"/>
      <c r="O954" s="11"/>
      <c r="P954" s="11"/>
      <c r="Q954" s="11"/>
      <c r="R954" s="11"/>
      <c r="S954" s="11"/>
      <c r="T954" s="11"/>
      <c r="U954" s="11"/>
      <c r="V954" s="11"/>
      <c r="W954" s="11"/>
      <c r="X954" s="11"/>
      <c r="Y954" s="11"/>
      <c r="Z954" s="11"/>
    </row>
    <row r="955" spans="1:26" ht="14.25" customHeight="1">
      <c r="A955" s="11"/>
      <c r="B955" s="11"/>
      <c r="C955" s="11"/>
      <c r="D955" s="11"/>
      <c r="E955" s="11"/>
      <c r="F955" s="11"/>
      <c r="G955" s="11"/>
      <c r="H955" s="11"/>
      <c r="I955" s="46"/>
      <c r="J955" s="11"/>
      <c r="K955" s="11"/>
      <c r="L955" s="11"/>
      <c r="M955" s="11"/>
      <c r="N955" s="11"/>
      <c r="O955" s="11"/>
      <c r="P955" s="11"/>
      <c r="Q955" s="11"/>
      <c r="R955" s="11"/>
      <c r="S955" s="11"/>
      <c r="T955" s="11"/>
      <c r="U955" s="11"/>
      <c r="V955" s="11"/>
      <c r="W955" s="11"/>
      <c r="X955" s="11"/>
      <c r="Y955" s="11"/>
      <c r="Z955" s="11"/>
    </row>
    <row r="956" spans="1:26" ht="14.25" customHeight="1">
      <c r="A956" s="11"/>
      <c r="B956" s="11"/>
      <c r="C956" s="11"/>
      <c r="D956" s="11"/>
      <c r="E956" s="11"/>
      <c r="F956" s="11"/>
      <c r="G956" s="11"/>
      <c r="H956" s="11"/>
      <c r="I956" s="46"/>
      <c r="J956" s="11"/>
      <c r="K956" s="11"/>
      <c r="L956" s="11"/>
      <c r="M956" s="11"/>
      <c r="N956" s="11"/>
      <c r="O956" s="11"/>
      <c r="P956" s="11"/>
      <c r="Q956" s="11"/>
      <c r="R956" s="11"/>
      <c r="S956" s="11"/>
      <c r="T956" s="11"/>
      <c r="U956" s="11"/>
      <c r="V956" s="11"/>
      <c r="W956" s="11"/>
      <c r="X956" s="11"/>
      <c r="Y956" s="11"/>
      <c r="Z956" s="11"/>
    </row>
    <row r="957" spans="1:26" ht="14.25" customHeight="1">
      <c r="A957" s="11"/>
      <c r="B957" s="11"/>
      <c r="C957" s="11"/>
      <c r="D957" s="11"/>
      <c r="E957" s="11"/>
      <c r="F957" s="11"/>
      <c r="G957" s="11"/>
      <c r="H957" s="11"/>
      <c r="I957" s="46"/>
      <c r="J957" s="11"/>
      <c r="K957" s="11"/>
      <c r="L957" s="11"/>
      <c r="M957" s="11"/>
      <c r="N957" s="11"/>
      <c r="O957" s="11"/>
      <c r="P957" s="11"/>
      <c r="Q957" s="11"/>
      <c r="R957" s="11"/>
      <c r="S957" s="11"/>
      <c r="T957" s="11"/>
      <c r="U957" s="11"/>
      <c r="V957" s="11"/>
      <c r="W957" s="11"/>
      <c r="X957" s="11"/>
      <c r="Y957" s="11"/>
      <c r="Z957" s="11"/>
    </row>
    <row r="958" spans="1:26" ht="14.25" customHeight="1">
      <c r="A958" s="11"/>
      <c r="B958" s="11"/>
      <c r="C958" s="11"/>
      <c r="D958" s="11"/>
      <c r="E958" s="11"/>
      <c r="F958" s="11"/>
      <c r="G958" s="11"/>
      <c r="H958" s="11"/>
      <c r="I958" s="46"/>
      <c r="J958" s="11"/>
      <c r="K958" s="11"/>
      <c r="L958" s="11"/>
      <c r="M958" s="11"/>
      <c r="N958" s="11"/>
      <c r="O958" s="11"/>
      <c r="P958" s="11"/>
      <c r="Q958" s="11"/>
      <c r="R958" s="11"/>
      <c r="S958" s="11"/>
      <c r="T958" s="11"/>
      <c r="U958" s="11"/>
      <c r="V958" s="11"/>
      <c r="W958" s="11"/>
      <c r="X958" s="11"/>
      <c r="Y958" s="11"/>
      <c r="Z958" s="11"/>
    </row>
    <row r="959" spans="1:26" ht="14.25" customHeight="1">
      <c r="A959" s="11"/>
      <c r="B959" s="11"/>
      <c r="C959" s="11"/>
      <c r="D959" s="11"/>
      <c r="E959" s="11"/>
      <c r="F959" s="11"/>
      <c r="G959" s="11"/>
      <c r="H959" s="11"/>
      <c r="I959" s="46"/>
      <c r="J959" s="11"/>
      <c r="K959" s="11"/>
      <c r="L959" s="11"/>
      <c r="M959" s="11"/>
      <c r="N959" s="11"/>
      <c r="O959" s="11"/>
      <c r="P959" s="11"/>
      <c r="Q959" s="11"/>
      <c r="R959" s="11"/>
      <c r="S959" s="11"/>
      <c r="T959" s="11"/>
      <c r="U959" s="11"/>
      <c r="V959" s="11"/>
      <c r="W959" s="11"/>
      <c r="X959" s="11"/>
      <c r="Y959" s="11"/>
      <c r="Z959" s="11"/>
    </row>
    <row r="960" spans="1:26" ht="14.25" customHeight="1">
      <c r="A960" s="11"/>
      <c r="B960" s="11"/>
      <c r="C960" s="11"/>
      <c r="D960" s="11"/>
      <c r="E960" s="11"/>
      <c r="F960" s="11"/>
      <c r="G960" s="11"/>
      <c r="H960" s="11"/>
      <c r="I960" s="46"/>
      <c r="J960" s="11"/>
      <c r="K960" s="11"/>
      <c r="L960" s="11"/>
      <c r="M960" s="11"/>
      <c r="N960" s="11"/>
      <c r="O960" s="11"/>
      <c r="P960" s="11"/>
      <c r="Q960" s="11"/>
      <c r="R960" s="11"/>
      <c r="S960" s="11"/>
      <c r="T960" s="11"/>
      <c r="U960" s="11"/>
      <c r="V960" s="11"/>
      <c r="W960" s="11"/>
      <c r="X960" s="11"/>
      <c r="Y960" s="11"/>
      <c r="Z960" s="11"/>
    </row>
    <row r="961" spans="1:26" ht="14.25" customHeight="1">
      <c r="A961" s="11"/>
      <c r="B961" s="11"/>
      <c r="C961" s="11"/>
      <c r="D961" s="11"/>
      <c r="E961" s="11"/>
      <c r="F961" s="11"/>
      <c r="G961" s="11"/>
      <c r="H961" s="11"/>
      <c r="I961" s="46"/>
      <c r="J961" s="11"/>
      <c r="K961" s="11"/>
      <c r="L961" s="11"/>
      <c r="M961" s="11"/>
      <c r="N961" s="11"/>
      <c r="O961" s="11"/>
      <c r="P961" s="11"/>
      <c r="Q961" s="11"/>
      <c r="R961" s="11"/>
      <c r="S961" s="11"/>
      <c r="T961" s="11"/>
      <c r="U961" s="11"/>
      <c r="V961" s="11"/>
      <c r="W961" s="11"/>
      <c r="X961" s="11"/>
      <c r="Y961" s="11"/>
      <c r="Z961" s="11"/>
    </row>
    <row r="962" spans="1:26" ht="14.25" customHeight="1">
      <c r="A962" s="11"/>
      <c r="B962" s="11"/>
      <c r="C962" s="11"/>
      <c r="D962" s="11"/>
      <c r="E962" s="11"/>
      <c r="F962" s="11"/>
      <c r="G962" s="11"/>
      <c r="H962" s="11"/>
      <c r="I962" s="46"/>
      <c r="J962" s="11"/>
      <c r="K962" s="11"/>
      <c r="L962" s="11"/>
      <c r="M962" s="11"/>
      <c r="N962" s="11"/>
      <c r="O962" s="11"/>
      <c r="P962" s="11"/>
      <c r="Q962" s="11"/>
      <c r="R962" s="11"/>
      <c r="S962" s="11"/>
      <c r="T962" s="11"/>
      <c r="U962" s="11"/>
      <c r="V962" s="11"/>
      <c r="W962" s="11"/>
      <c r="X962" s="11"/>
      <c r="Y962" s="11"/>
      <c r="Z962" s="11"/>
    </row>
    <row r="963" spans="1:26" ht="14.25" customHeight="1">
      <c r="A963" s="11"/>
      <c r="B963" s="11"/>
      <c r="C963" s="11"/>
      <c r="D963" s="11"/>
      <c r="E963" s="11"/>
      <c r="F963" s="11"/>
      <c r="G963" s="11"/>
      <c r="H963" s="11"/>
      <c r="I963" s="46"/>
      <c r="J963" s="11"/>
      <c r="K963" s="11"/>
      <c r="L963" s="11"/>
      <c r="M963" s="11"/>
      <c r="N963" s="11"/>
      <c r="O963" s="11"/>
      <c r="P963" s="11"/>
      <c r="Q963" s="11"/>
      <c r="R963" s="11"/>
      <c r="S963" s="11"/>
      <c r="T963" s="11"/>
      <c r="U963" s="11"/>
      <c r="V963" s="11"/>
      <c r="W963" s="11"/>
      <c r="X963" s="11"/>
      <c r="Y963" s="11"/>
      <c r="Z963" s="11"/>
    </row>
    <row r="964" spans="1:26" ht="14.25" customHeight="1">
      <c r="A964" s="11"/>
      <c r="B964" s="11"/>
      <c r="C964" s="11"/>
      <c r="D964" s="11"/>
      <c r="E964" s="11"/>
      <c r="F964" s="11"/>
      <c r="G964" s="11"/>
      <c r="H964" s="11"/>
      <c r="I964" s="46"/>
      <c r="J964" s="11"/>
      <c r="K964" s="11"/>
      <c r="L964" s="11"/>
      <c r="M964" s="11"/>
      <c r="N964" s="11"/>
      <c r="O964" s="11"/>
      <c r="P964" s="11"/>
      <c r="Q964" s="11"/>
      <c r="R964" s="11"/>
      <c r="S964" s="11"/>
      <c r="T964" s="11"/>
      <c r="U964" s="11"/>
      <c r="V964" s="11"/>
      <c r="W964" s="11"/>
      <c r="X964" s="11"/>
      <c r="Y964" s="11"/>
      <c r="Z964" s="11"/>
    </row>
    <row r="965" spans="1:26" ht="14.25" customHeight="1">
      <c r="A965" s="11"/>
      <c r="B965" s="11"/>
      <c r="C965" s="11"/>
      <c r="D965" s="11"/>
      <c r="E965" s="11"/>
      <c r="F965" s="11"/>
      <c r="G965" s="11"/>
      <c r="H965" s="11"/>
      <c r="I965" s="46"/>
      <c r="J965" s="11"/>
      <c r="K965" s="11"/>
      <c r="L965" s="11"/>
      <c r="M965" s="11"/>
      <c r="N965" s="11"/>
      <c r="O965" s="11"/>
      <c r="P965" s="11"/>
      <c r="Q965" s="11"/>
      <c r="R965" s="11"/>
      <c r="S965" s="11"/>
      <c r="T965" s="11"/>
      <c r="U965" s="11"/>
      <c r="V965" s="11"/>
      <c r="W965" s="11"/>
      <c r="X965" s="11"/>
      <c r="Y965" s="11"/>
      <c r="Z965" s="11"/>
    </row>
    <row r="966" spans="1:26" ht="14.25" customHeight="1">
      <c r="A966" s="11"/>
      <c r="B966" s="11"/>
      <c r="C966" s="11"/>
      <c r="D966" s="11"/>
      <c r="E966" s="11"/>
      <c r="F966" s="11"/>
      <c r="G966" s="11"/>
      <c r="H966" s="11"/>
      <c r="I966" s="46"/>
      <c r="J966" s="11"/>
      <c r="K966" s="11"/>
      <c r="L966" s="11"/>
      <c r="M966" s="11"/>
      <c r="N966" s="11"/>
      <c r="O966" s="11"/>
      <c r="P966" s="11"/>
      <c r="Q966" s="11"/>
      <c r="R966" s="11"/>
      <c r="S966" s="11"/>
      <c r="T966" s="11"/>
      <c r="U966" s="11"/>
      <c r="V966" s="11"/>
      <c r="W966" s="11"/>
      <c r="X966" s="11"/>
      <c r="Y966" s="11"/>
      <c r="Z966" s="11"/>
    </row>
    <row r="967" spans="1:26" ht="14.25" customHeight="1">
      <c r="A967" s="11"/>
      <c r="B967" s="11"/>
      <c r="C967" s="11"/>
      <c r="D967" s="11"/>
      <c r="E967" s="11"/>
      <c r="F967" s="11"/>
      <c r="G967" s="11"/>
      <c r="H967" s="11"/>
      <c r="I967" s="46"/>
      <c r="J967" s="11"/>
      <c r="K967" s="11"/>
      <c r="L967" s="11"/>
      <c r="M967" s="11"/>
      <c r="N967" s="11"/>
      <c r="O967" s="11"/>
      <c r="P967" s="11"/>
      <c r="Q967" s="11"/>
      <c r="R967" s="11"/>
      <c r="S967" s="11"/>
      <c r="T967" s="11"/>
      <c r="U967" s="11"/>
      <c r="V967" s="11"/>
      <c r="W967" s="11"/>
      <c r="X967" s="11"/>
      <c r="Y967" s="11"/>
      <c r="Z967" s="11"/>
    </row>
    <row r="968" spans="1:26" ht="14.25" customHeight="1">
      <c r="A968" s="11"/>
      <c r="B968" s="11"/>
      <c r="C968" s="11"/>
      <c r="D968" s="11"/>
      <c r="E968" s="11"/>
      <c r="F968" s="11"/>
      <c r="G968" s="11"/>
      <c r="H968" s="11"/>
      <c r="I968" s="46"/>
      <c r="J968" s="11"/>
      <c r="K968" s="11"/>
      <c r="L968" s="11"/>
      <c r="M968" s="11"/>
      <c r="N968" s="11"/>
      <c r="O968" s="11"/>
      <c r="P968" s="11"/>
      <c r="Q968" s="11"/>
      <c r="R968" s="11"/>
      <c r="S968" s="11"/>
      <c r="T968" s="11"/>
      <c r="U968" s="11"/>
      <c r="V968" s="11"/>
      <c r="W968" s="11"/>
      <c r="X968" s="11"/>
      <c r="Y968" s="11"/>
      <c r="Z968" s="11"/>
    </row>
    <row r="969" spans="1:26" ht="14.25" customHeight="1">
      <c r="A969" s="11"/>
      <c r="B969" s="11"/>
      <c r="C969" s="11"/>
      <c r="D969" s="11"/>
      <c r="E969" s="11"/>
      <c r="F969" s="11"/>
      <c r="G969" s="11"/>
      <c r="H969" s="11"/>
      <c r="I969" s="46"/>
      <c r="J969" s="11"/>
      <c r="K969" s="11"/>
      <c r="L969" s="11"/>
      <c r="M969" s="11"/>
      <c r="N969" s="11"/>
      <c r="O969" s="11"/>
      <c r="P969" s="11"/>
      <c r="Q969" s="11"/>
      <c r="R969" s="11"/>
      <c r="S969" s="11"/>
      <c r="T969" s="11"/>
      <c r="U969" s="11"/>
      <c r="V969" s="11"/>
      <c r="W969" s="11"/>
      <c r="X969" s="11"/>
      <c r="Y969" s="11"/>
      <c r="Z969" s="11"/>
    </row>
    <row r="970" spans="1:26" ht="14.25" customHeight="1">
      <c r="A970" s="11"/>
      <c r="B970" s="11"/>
      <c r="C970" s="11"/>
      <c r="D970" s="11"/>
      <c r="E970" s="11"/>
      <c r="F970" s="11"/>
      <c r="G970" s="11"/>
      <c r="H970" s="11"/>
      <c r="I970" s="46"/>
      <c r="J970" s="11"/>
      <c r="K970" s="11"/>
      <c r="L970" s="11"/>
      <c r="M970" s="11"/>
      <c r="N970" s="11"/>
      <c r="O970" s="11"/>
      <c r="P970" s="11"/>
      <c r="Q970" s="11"/>
      <c r="R970" s="11"/>
      <c r="S970" s="11"/>
      <c r="T970" s="11"/>
      <c r="U970" s="11"/>
      <c r="V970" s="11"/>
      <c r="W970" s="11"/>
      <c r="X970" s="11"/>
      <c r="Y970" s="11"/>
      <c r="Z970" s="11"/>
    </row>
    <row r="971" spans="1:26" ht="14.25" customHeight="1">
      <c r="A971" s="11"/>
      <c r="B971" s="11"/>
      <c r="C971" s="11"/>
      <c r="D971" s="11"/>
      <c r="E971" s="11"/>
      <c r="F971" s="11"/>
      <c r="G971" s="11"/>
      <c r="H971" s="11"/>
      <c r="I971" s="46"/>
      <c r="J971" s="11"/>
      <c r="K971" s="11"/>
      <c r="L971" s="11"/>
      <c r="M971" s="11"/>
      <c r="N971" s="11"/>
      <c r="O971" s="11"/>
      <c r="P971" s="11"/>
      <c r="Q971" s="11"/>
      <c r="R971" s="11"/>
      <c r="S971" s="11"/>
      <c r="T971" s="11"/>
      <c r="U971" s="11"/>
      <c r="V971" s="11"/>
      <c r="W971" s="11"/>
      <c r="X971" s="11"/>
      <c r="Y971" s="11"/>
      <c r="Z971" s="11"/>
    </row>
    <row r="972" spans="1:26" ht="14.25" customHeight="1">
      <c r="A972" s="11"/>
      <c r="B972" s="11"/>
      <c r="C972" s="11"/>
      <c r="D972" s="11"/>
      <c r="E972" s="11"/>
      <c r="F972" s="11"/>
      <c r="G972" s="11"/>
      <c r="H972" s="11"/>
      <c r="I972" s="46"/>
      <c r="J972" s="11"/>
      <c r="K972" s="11"/>
      <c r="L972" s="11"/>
      <c r="M972" s="11"/>
      <c r="N972" s="11"/>
      <c r="O972" s="11"/>
      <c r="P972" s="11"/>
      <c r="Q972" s="11"/>
      <c r="R972" s="11"/>
      <c r="S972" s="11"/>
      <c r="T972" s="11"/>
      <c r="U972" s="11"/>
      <c r="V972" s="11"/>
      <c r="W972" s="11"/>
      <c r="X972" s="11"/>
      <c r="Y972" s="11"/>
      <c r="Z972" s="11"/>
    </row>
    <row r="973" spans="1:26" ht="14.25" customHeight="1">
      <c r="A973" s="11"/>
      <c r="B973" s="11"/>
      <c r="C973" s="11"/>
      <c r="D973" s="11"/>
      <c r="E973" s="11"/>
      <c r="F973" s="11"/>
      <c r="G973" s="11"/>
      <c r="H973" s="11"/>
      <c r="I973" s="46"/>
      <c r="J973" s="11"/>
      <c r="K973" s="11"/>
      <c r="L973" s="11"/>
      <c r="M973" s="11"/>
      <c r="N973" s="11"/>
      <c r="O973" s="11"/>
      <c r="P973" s="11"/>
      <c r="Q973" s="11"/>
      <c r="R973" s="11"/>
      <c r="S973" s="11"/>
      <c r="T973" s="11"/>
      <c r="U973" s="11"/>
      <c r="V973" s="11"/>
      <c r="W973" s="11"/>
      <c r="X973" s="11"/>
      <c r="Y973" s="11"/>
      <c r="Z973" s="11"/>
    </row>
    <row r="974" spans="1:26" ht="14.25" customHeight="1">
      <c r="A974" s="11"/>
      <c r="B974" s="11"/>
      <c r="C974" s="11"/>
      <c r="D974" s="11"/>
      <c r="E974" s="11"/>
      <c r="F974" s="11"/>
      <c r="G974" s="11"/>
      <c r="H974" s="11"/>
      <c r="I974" s="46"/>
      <c r="J974" s="11"/>
      <c r="K974" s="11"/>
      <c r="L974" s="11"/>
      <c r="M974" s="11"/>
      <c r="N974" s="11"/>
      <c r="O974" s="11"/>
      <c r="P974" s="11"/>
      <c r="Q974" s="11"/>
      <c r="R974" s="11"/>
      <c r="S974" s="11"/>
      <c r="T974" s="11"/>
      <c r="U974" s="11"/>
      <c r="V974" s="11"/>
      <c r="W974" s="11"/>
      <c r="X974" s="11"/>
      <c r="Y974" s="11"/>
      <c r="Z974" s="11"/>
    </row>
    <row r="975" spans="1:26" ht="14.25" customHeight="1">
      <c r="A975" s="11"/>
      <c r="B975" s="11"/>
      <c r="C975" s="11"/>
      <c r="D975" s="11"/>
      <c r="E975" s="11"/>
      <c r="F975" s="11"/>
      <c r="G975" s="11"/>
      <c r="H975" s="11"/>
      <c r="I975" s="46"/>
      <c r="J975" s="11"/>
      <c r="K975" s="11"/>
      <c r="L975" s="11"/>
      <c r="M975" s="11"/>
      <c r="N975" s="11"/>
      <c r="O975" s="11"/>
      <c r="P975" s="11"/>
      <c r="Q975" s="11"/>
      <c r="R975" s="11"/>
      <c r="S975" s="11"/>
      <c r="T975" s="11"/>
      <c r="U975" s="11"/>
      <c r="V975" s="11"/>
      <c r="W975" s="11"/>
      <c r="X975" s="11"/>
      <c r="Y975" s="11"/>
      <c r="Z975" s="11"/>
    </row>
    <row r="976" spans="1:26" ht="14.25" customHeight="1">
      <c r="A976" s="11"/>
      <c r="B976" s="11"/>
      <c r="C976" s="11"/>
      <c r="D976" s="11"/>
      <c r="E976" s="11"/>
      <c r="F976" s="11"/>
      <c r="G976" s="11"/>
      <c r="H976" s="11"/>
      <c r="I976" s="46"/>
      <c r="J976" s="11"/>
      <c r="K976" s="11"/>
      <c r="L976" s="11"/>
      <c r="M976" s="11"/>
      <c r="N976" s="11"/>
      <c r="O976" s="11"/>
      <c r="P976" s="11"/>
      <c r="Q976" s="11"/>
      <c r="R976" s="11"/>
      <c r="S976" s="11"/>
      <c r="T976" s="11"/>
      <c r="U976" s="11"/>
      <c r="V976" s="11"/>
      <c r="W976" s="11"/>
      <c r="X976" s="11"/>
      <c r="Y976" s="11"/>
      <c r="Z976" s="11"/>
    </row>
    <row r="977" spans="1:26" ht="14.25" customHeight="1">
      <c r="A977" s="11"/>
      <c r="B977" s="11"/>
      <c r="C977" s="11"/>
      <c r="D977" s="11"/>
      <c r="E977" s="11"/>
      <c r="F977" s="11"/>
      <c r="G977" s="11"/>
      <c r="H977" s="11"/>
      <c r="I977" s="46"/>
      <c r="J977" s="11"/>
      <c r="K977" s="11"/>
      <c r="L977" s="11"/>
      <c r="M977" s="11"/>
      <c r="N977" s="11"/>
      <c r="O977" s="11"/>
      <c r="P977" s="11"/>
      <c r="Q977" s="11"/>
      <c r="R977" s="11"/>
      <c r="S977" s="11"/>
      <c r="T977" s="11"/>
      <c r="U977" s="11"/>
      <c r="V977" s="11"/>
      <c r="W977" s="11"/>
      <c r="X977" s="11"/>
      <c r="Y977" s="11"/>
      <c r="Z977" s="11"/>
    </row>
    <row r="978" spans="1:26" ht="14.25" customHeight="1">
      <c r="A978" s="11"/>
      <c r="B978" s="11"/>
      <c r="C978" s="11"/>
      <c r="D978" s="11"/>
      <c r="E978" s="11"/>
      <c r="F978" s="11"/>
      <c r="G978" s="11"/>
      <c r="H978" s="11"/>
      <c r="I978" s="46"/>
      <c r="J978" s="11"/>
      <c r="K978" s="11"/>
      <c r="L978" s="11"/>
      <c r="M978" s="11"/>
      <c r="N978" s="11"/>
      <c r="O978" s="11"/>
      <c r="P978" s="11"/>
      <c r="Q978" s="11"/>
      <c r="R978" s="11"/>
      <c r="S978" s="11"/>
      <c r="T978" s="11"/>
      <c r="U978" s="11"/>
      <c r="V978" s="11"/>
      <c r="W978" s="11"/>
      <c r="X978" s="11"/>
      <c r="Y978" s="11"/>
      <c r="Z978" s="11"/>
    </row>
    <row r="979" spans="1:26" ht="14.25" customHeight="1">
      <c r="A979" s="11"/>
      <c r="B979" s="11"/>
      <c r="C979" s="11"/>
      <c r="D979" s="11"/>
      <c r="E979" s="11"/>
      <c r="F979" s="11"/>
      <c r="G979" s="11"/>
      <c r="H979" s="11"/>
      <c r="I979" s="46"/>
      <c r="J979" s="11"/>
      <c r="K979" s="11"/>
      <c r="L979" s="11"/>
      <c r="M979" s="11"/>
      <c r="N979" s="11"/>
      <c r="O979" s="11"/>
      <c r="P979" s="11"/>
      <c r="Q979" s="11"/>
      <c r="R979" s="11"/>
      <c r="S979" s="11"/>
      <c r="T979" s="11"/>
      <c r="U979" s="11"/>
      <c r="V979" s="11"/>
      <c r="W979" s="11"/>
      <c r="X979" s="11"/>
      <c r="Y979" s="11"/>
      <c r="Z979" s="11"/>
    </row>
    <row r="980" spans="1:26" ht="14.25" customHeight="1">
      <c r="A980" s="11"/>
      <c r="B980" s="11"/>
      <c r="C980" s="11"/>
      <c r="D980" s="11"/>
      <c r="E980" s="11"/>
      <c r="F980" s="11"/>
      <c r="G980" s="11"/>
      <c r="H980" s="11"/>
      <c r="I980" s="46"/>
      <c r="J980" s="11"/>
      <c r="K980" s="11"/>
      <c r="L980" s="11"/>
      <c r="M980" s="11"/>
      <c r="N980" s="11"/>
      <c r="O980" s="11"/>
      <c r="P980" s="11"/>
      <c r="Q980" s="11"/>
      <c r="R980" s="11"/>
      <c r="S980" s="11"/>
      <c r="T980" s="11"/>
      <c r="U980" s="11"/>
      <c r="V980" s="11"/>
      <c r="W980" s="11"/>
      <c r="X980" s="11"/>
      <c r="Y980" s="11"/>
      <c r="Z980" s="11"/>
    </row>
    <row r="981" spans="1:26" ht="14.25" customHeight="1">
      <c r="A981" s="11"/>
      <c r="B981" s="11"/>
      <c r="C981" s="11"/>
      <c r="D981" s="11"/>
      <c r="E981" s="11"/>
      <c r="F981" s="11"/>
      <c r="G981" s="11"/>
      <c r="H981" s="11"/>
      <c r="I981" s="46"/>
      <c r="J981" s="11"/>
      <c r="K981" s="11"/>
      <c r="L981" s="11"/>
      <c r="M981" s="11"/>
      <c r="N981" s="11"/>
      <c r="O981" s="11"/>
      <c r="P981" s="11"/>
      <c r="Q981" s="11"/>
      <c r="R981" s="11"/>
      <c r="S981" s="11"/>
      <c r="T981" s="11"/>
      <c r="U981" s="11"/>
      <c r="V981" s="11"/>
      <c r="W981" s="11"/>
      <c r="X981" s="11"/>
      <c r="Y981" s="11"/>
      <c r="Z981" s="11"/>
    </row>
    <row r="982" spans="1:26" ht="14.25" customHeight="1">
      <c r="A982" s="11"/>
      <c r="B982" s="11"/>
      <c r="C982" s="11"/>
      <c r="D982" s="11"/>
      <c r="E982" s="11"/>
      <c r="F982" s="11"/>
      <c r="G982" s="11"/>
      <c r="H982" s="11"/>
      <c r="I982" s="46"/>
      <c r="J982" s="11"/>
      <c r="K982" s="11"/>
      <c r="L982" s="11"/>
      <c r="M982" s="11"/>
      <c r="N982" s="11"/>
      <c r="O982" s="11"/>
      <c r="P982" s="11"/>
      <c r="Q982" s="11"/>
      <c r="R982" s="11"/>
      <c r="S982" s="11"/>
      <c r="T982" s="11"/>
      <c r="U982" s="11"/>
      <c r="V982" s="11"/>
      <c r="W982" s="11"/>
      <c r="X982" s="11"/>
      <c r="Y982" s="11"/>
      <c r="Z982" s="11"/>
    </row>
    <row r="983" spans="1:26" ht="14.25" customHeight="1">
      <c r="A983" s="11"/>
      <c r="B983" s="11"/>
      <c r="C983" s="11"/>
      <c r="D983" s="11"/>
      <c r="E983" s="11"/>
      <c r="F983" s="11"/>
      <c r="G983" s="11"/>
      <c r="H983" s="11"/>
      <c r="I983" s="46"/>
      <c r="J983" s="11"/>
      <c r="K983" s="11"/>
      <c r="L983" s="11"/>
      <c r="M983" s="11"/>
      <c r="N983" s="11"/>
      <c r="O983" s="11"/>
      <c r="P983" s="11"/>
      <c r="Q983" s="11"/>
      <c r="R983" s="11"/>
      <c r="S983" s="11"/>
      <c r="T983" s="11"/>
      <c r="U983" s="11"/>
      <c r="V983" s="11"/>
      <c r="W983" s="11"/>
      <c r="X983" s="11"/>
      <c r="Y983" s="11"/>
      <c r="Z983" s="11"/>
    </row>
    <row r="984" spans="1:26" ht="14.25" customHeight="1">
      <c r="A984" s="11"/>
      <c r="B984" s="11"/>
      <c r="C984" s="11"/>
      <c r="D984" s="11"/>
      <c r="E984" s="11"/>
      <c r="F984" s="11"/>
      <c r="G984" s="11"/>
      <c r="H984" s="11"/>
      <c r="I984" s="46"/>
      <c r="J984" s="11"/>
      <c r="K984" s="11"/>
      <c r="L984" s="11"/>
      <c r="M984" s="11"/>
      <c r="N984" s="11"/>
      <c r="O984" s="11"/>
      <c r="P984" s="11"/>
      <c r="Q984" s="11"/>
      <c r="R984" s="11"/>
      <c r="S984" s="11"/>
      <c r="T984" s="11"/>
      <c r="U984" s="11"/>
      <c r="V984" s="11"/>
      <c r="W984" s="11"/>
      <c r="X984" s="11"/>
      <c r="Y984" s="11"/>
      <c r="Z984" s="11"/>
    </row>
    <row r="985" spans="1:26" ht="14.25" customHeight="1">
      <c r="A985" s="11"/>
      <c r="B985" s="11"/>
      <c r="C985" s="11"/>
      <c r="D985" s="11"/>
      <c r="E985" s="11"/>
      <c r="F985" s="11"/>
      <c r="G985" s="11"/>
      <c r="H985" s="11"/>
      <c r="I985" s="46"/>
      <c r="J985" s="11"/>
      <c r="K985" s="11"/>
      <c r="L985" s="11"/>
      <c r="M985" s="11"/>
      <c r="N985" s="11"/>
      <c r="O985" s="11"/>
      <c r="P985" s="11"/>
      <c r="Q985" s="11"/>
      <c r="R985" s="11"/>
      <c r="S985" s="11"/>
      <c r="T985" s="11"/>
      <c r="U985" s="11"/>
      <c r="V985" s="11"/>
      <c r="W985" s="11"/>
      <c r="X985" s="11"/>
      <c r="Y985" s="11"/>
      <c r="Z985" s="11"/>
    </row>
    <row r="986" spans="1:26" ht="14.25" customHeight="1">
      <c r="A986" s="11"/>
      <c r="B986" s="11"/>
      <c r="C986" s="11"/>
      <c r="D986" s="11"/>
      <c r="E986" s="11"/>
      <c r="F986" s="11"/>
      <c r="G986" s="11"/>
      <c r="H986" s="11"/>
      <c r="I986" s="46"/>
      <c r="J986" s="11"/>
      <c r="K986" s="11"/>
      <c r="L986" s="11"/>
      <c r="M986" s="11"/>
      <c r="N986" s="11"/>
      <c r="O986" s="11"/>
      <c r="P986" s="11"/>
      <c r="Q986" s="11"/>
      <c r="R986" s="11"/>
      <c r="S986" s="11"/>
      <c r="T986" s="11"/>
      <c r="U986" s="11"/>
      <c r="V986" s="11"/>
      <c r="W986" s="11"/>
      <c r="X986" s="11"/>
      <c r="Y986" s="11"/>
      <c r="Z986" s="11"/>
    </row>
    <row r="987" spans="1:26" ht="14.25" customHeight="1">
      <c r="A987" s="11"/>
      <c r="B987" s="11"/>
      <c r="C987" s="11"/>
      <c r="D987" s="11"/>
      <c r="E987" s="11"/>
      <c r="F987" s="11"/>
      <c r="G987" s="11"/>
      <c r="H987" s="11"/>
      <c r="I987" s="46"/>
      <c r="J987" s="11"/>
      <c r="K987" s="11"/>
      <c r="L987" s="11"/>
      <c r="M987" s="11"/>
      <c r="N987" s="11"/>
      <c r="O987" s="11"/>
      <c r="P987" s="11"/>
      <c r="Q987" s="11"/>
      <c r="R987" s="11"/>
      <c r="S987" s="11"/>
      <c r="T987" s="11"/>
      <c r="U987" s="11"/>
      <c r="V987" s="11"/>
      <c r="W987" s="11"/>
      <c r="X987" s="11"/>
      <c r="Y987" s="11"/>
      <c r="Z987" s="11"/>
    </row>
    <row r="988" spans="1:26" ht="14.25" customHeight="1">
      <c r="A988" s="11"/>
      <c r="B988" s="11"/>
      <c r="C988" s="11"/>
      <c r="D988" s="11"/>
      <c r="E988" s="11"/>
      <c r="F988" s="11"/>
      <c r="G988" s="11"/>
      <c r="H988" s="11"/>
      <c r="I988" s="46"/>
      <c r="J988" s="11"/>
      <c r="K988" s="11"/>
      <c r="L988" s="11"/>
      <c r="M988" s="11"/>
      <c r="N988" s="11"/>
      <c r="O988" s="11"/>
      <c r="P988" s="11"/>
      <c r="Q988" s="11"/>
      <c r="R988" s="11"/>
      <c r="S988" s="11"/>
      <c r="T988" s="11"/>
      <c r="U988" s="11"/>
      <c r="V988" s="11"/>
      <c r="W988" s="11"/>
      <c r="X988" s="11"/>
      <c r="Y988" s="11"/>
      <c r="Z988" s="11"/>
    </row>
    <row r="989" spans="1:26" ht="14.25" customHeight="1">
      <c r="A989" s="11"/>
      <c r="B989" s="11"/>
      <c r="C989" s="11"/>
      <c r="D989" s="11"/>
      <c r="E989" s="11"/>
      <c r="F989" s="11"/>
      <c r="G989" s="11"/>
      <c r="H989" s="11"/>
      <c r="I989" s="46"/>
      <c r="J989" s="11"/>
      <c r="K989" s="11"/>
      <c r="L989" s="11"/>
      <c r="M989" s="11"/>
      <c r="N989" s="11"/>
      <c r="O989" s="11"/>
      <c r="P989" s="11"/>
      <c r="Q989" s="11"/>
      <c r="R989" s="11"/>
      <c r="S989" s="11"/>
      <c r="T989" s="11"/>
      <c r="U989" s="11"/>
      <c r="V989" s="11"/>
      <c r="W989" s="11"/>
      <c r="X989" s="11"/>
      <c r="Y989" s="11"/>
      <c r="Z989" s="11"/>
    </row>
    <row r="990" spans="1:26" ht="14.25" customHeight="1">
      <c r="A990" s="11"/>
      <c r="B990" s="11"/>
      <c r="C990" s="11"/>
      <c r="D990" s="11"/>
      <c r="E990" s="11"/>
      <c r="F990" s="11"/>
      <c r="G990" s="11"/>
      <c r="H990" s="11"/>
      <c r="I990" s="46"/>
      <c r="J990" s="11"/>
      <c r="K990" s="11"/>
      <c r="L990" s="11"/>
      <c r="M990" s="11"/>
      <c r="N990" s="11"/>
      <c r="O990" s="11"/>
      <c r="P990" s="11"/>
      <c r="Q990" s="11"/>
      <c r="R990" s="11"/>
      <c r="S990" s="11"/>
      <c r="T990" s="11"/>
      <c r="U990" s="11"/>
      <c r="V990" s="11"/>
      <c r="W990" s="11"/>
      <c r="X990" s="11"/>
      <c r="Y990" s="11"/>
      <c r="Z990" s="11"/>
    </row>
    <row r="991" spans="1:26" ht="14.25" customHeight="1">
      <c r="A991" s="11"/>
      <c r="B991" s="11"/>
      <c r="C991" s="11"/>
      <c r="D991" s="11"/>
      <c r="E991" s="11"/>
      <c r="F991" s="11"/>
      <c r="G991" s="11"/>
      <c r="H991" s="11"/>
      <c r="I991" s="46"/>
      <c r="J991" s="11"/>
      <c r="K991" s="11"/>
      <c r="L991" s="11"/>
      <c r="M991" s="11"/>
      <c r="N991" s="11"/>
      <c r="O991" s="11"/>
      <c r="P991" s="11"/>
      <c r="Q991" s="11"/>
      <c r="R991" s="11"/>
      <c r="S991" s="11"/>
      <c r="T991" s="11"/>
      <c r="U991" s="11"/>
      <c r="V991" s="11"/>
      <c r="W991" s="11"/>
      <c r="X991" s="11"/>
      <c r="Y991" s="11"/>
      <c r="Z991" s="11"/>
    </row>
    <row r="992" spans="1:26" ht="14.25" customHeight="1">
      <c r="A992" s="11"/>
      <c r="B992" s="11"/>
      <c r="C992" s="11"/>
      <c r="D992" s="11"/>
      <c r="E992" s="11"/>
      <c r="F992" s="11"/>
      <c r="G992" s="11"/>
      <c r="H992" s="11"/>
      <c r="I992" s="46"/>
      <c r="J992" s="11"/>
      <c r="K992" s="11"/>
      <c r="L992" s="11"/>
      <c r="M992" s="11"/>
      <c r="N992" s="11"/>
      <c r="O992" s="11"/>
      <c r="P992" s="11"/>
      <c r="Q992" s="11"/>
      <c r="R992" s="11"/>
      <c r="S992" s="11"/>
      <c r="T992" s="11"/>
      <c r="U992" s="11"/>
      <c r="V992" s="11"/>
      <c r="W992" s="11"/>
      <c r="X992" s="11"/>
      <c r="Y992" s="11"/>
      <c r="Z992" s="11"/>
    </row>
    <row r="993" spans="1:26" ht="14.25" customHeight="1">
      <c r="A993" s="11"/>
      <c r="B993" s="11"/>
      <c r="C993" s="11"/>
      <c r="D993" s="11"/>
      <c r="E993" s="11"/>
      <c r="F993" s="11"/>
      <c r="G993" s="11"/>
      <c r="H993" s="11"/>
      <c r="I993" s="46"/>
      <c r="J993" s="11"/>
      <c r="K993" s="11"/>
      <c r="L993" s="11"/>
      <c r="M993" s="11"/>
      <c r="N993" s="11"/>
      <c r="O993" s="11"/>
      <c r="P993" s="11"/>
      <c r="Q993" s="11"/>
      <c r="R993" s="11"/>
      <c r="S993" s="11"/>
      <c r="T993" s="11"/>
      <c r="U993" s="11"/>
      <c r="V993" s="11"/>
      <c r="W993" s="11"/>
      <c r="X993" s="11"/>
      <c r="Y993" s="11"/>
      <c r="Z993" s="11"/>
    </row>
    <row r="994" spans="1:26" ht="14.25" customHeight="1">
      <c r="A994" s="11"/>
      <c r="B994" s="11"/>
      <c r="C994" s="11"/>
      <c r="D994" s="11"/>
      <c r="E994" s="11"/>
      <c r="F994" s="11"/>
      <c r="G994" s="11"/>
      <c r="H994" s="11"/>
      <c r="I994" s="46"/>
      <c r="J994" s="11"/>
      <c r="K994" s="11"/>
      <c r="L994" s="11"/>
      <c r="M994" s="11"/>
      <c r="N994" s="11"/>
      <c r="O994" s="11"/>
      <c r="P994" s="11"/>
      <c r="Q994" s="11"/>
      <c r="R994" s="11"/>
      <c r="S994" s="11"/>
      <c r="T994" s="11"/>
      <c r="U994" s="11"/>
      <c r="V994" s="11"/>
      <c r="W994" s="11"/>
      <c r="X994" s="11"/>
      <c r="Y994" s="11"/>
      <c r="Z994" s="11"/>
    </row>
    <row r="995" spans="1:26" ht="14.25" customHeight="1">
      <c r="A995" s="11"/>
      <c r="B995" s="11"/>
      <c r="C995" s="11"/>
      <c r="D995" s="11"/>
      <c r="E995" s="11"/>
      <c r="F995" s="11"/>
      <c r="G995" s="11"/>
      <c r="H995" s="11"/>
      <c r="I995" s="46"/>
      <c r="J995" s="11"/>
      <c r="K995" s="11"/>
      <c r="L995" s="11"/>
      <c r="M995" s="11"/>
      <c r="N995" s="11"/>
      <c r="O995" s="11"/>
      <c r="P995" s="11"/>
      <c r="Q995" s="11"/>
      <c r="R995" s="11"/>
      <c r="S995" s="11"/>
      <c r="T995" s="11"/>
      <c r="U995" s="11"/>
      <c r="V995" s="11"/>
      <c r="W995" s="11"/>
      <c r="X995" s="11"/>
      <c r="Y995" s="11"/>
      <c r="Z995" s="11"/>
    </row>
    <row r="996" spans="1:26" ht="14.25" customHeight="1">
      <c r="A996" s="11"/>
      <c r="B996" s="11"/>
      <c r="C996" s="11"/>
      <c r="D996" s="11"/>
      <c r="E996" s="11"/>
      <c r="F996" s="11"/>
      <c r="G996" s="11"/>
      <c r="H996" s="11"/>
      <c r="I996" s="46"/>
      <c r="J996" s="11"/>
      <c r="K996" s="11"/>
      <c r="L996" s="11"/>
      <c r="M996" s="11"/>
      <c r="N996" s="11"/>
      <c r="O996" s="11"/>
      <c r="P996" s="11"/>
      <c r="Q996" s="11"/>
      <c r="R996" s="11"/>
      <c r="S996" s="11"/>
      <c r="T996" s="11"/>
      <c r="U996" s="11"/>
      <c r="V996" s="11"/>
      <c r="W996" s="11"/>
      <c r="X996" s="11"/>
      <c r="Y996" s="11"/>
      <c r="Z996" s="11"/>
    </row>
    <row r="997" spans="1:26" ht="14.25" customHeight="1">
      <c r="A997" s="11"/>
      <c r="B997" s="11"/>
      <c r="C997" s="11"/>
      <c r="D997" s="11"/>
      <c r="E997" s="11"/>
      <c r="F997" s="11"/>
      <c r="G997" s="11"/>
      <c r="H997" s="11"/>
      <c r="I997" s="46"/>
      <c r="J997" s="11"/>
      <c r="K997" s="11"/>
      <c r="L997" s="11"/>
      <c r="M997" s="11"/>
      <c r="N997" s="11"/>
      <c r="O997" s="11"/>
      <c r="P997" s="11"/>
      <c r="Q997" s="11"/>
      <c r="R997" s="11"/>
      <c r="S997" s="11"/>
      <c r="T997" s="11"/>
      <c r="U997" s="11"/>
      <c r="V997" s="11"/>
      <c r="W997" s="11"/>
      <c r="X997" s="11"/>
      <c r="Y997" s="11"/>
      <c r="Z997" s="11"/>
    </row>
    <row r="998" spans="1:26" ht="14.25" customHeight="1">
      <c r="A998" s="11"/>
      <c r="B998" s="11"/>
      <c r="C998" s="11"/>
      <c r="D998" s="11"/>
      <c r="E998" s="11"/>
      <c r="F998" s="11"/>
      <c r="G998" s="11"/>
      <c r="H998" s="11"/>
      <c r="I998" s="46"/>
      <c r="J998" s="11"/>
      <c r="K998" s="11"/>
      <c r="L998" s="11"/>
      <c r="M998" s="11"/>
      <c r="N998" s="11"/>
      <c r="O998" s="11"/>
      <c r="P998" s="11"/>
      <c r="Q998" s="11"/>
      <c r="R998" s="11"/>
      <c r="S998" s="11"/>
      <c r="T998" s="11"/>
      <c r="U998" s="11"/>
      <c r="V998" s="11"/>
      <c r="W998" s="11"/>
      <c r="X998" s="11"/>
      <c r="Y998" s="11"/>
      <c r="Z998" s="11"/>
    </row>
    <row r="999" spans="1:26" ht="14.25" customHeight="1">
      <c r="A999" s="11"/>
      <c r="B999" s="11"/>
      <c r="C999" s="11"/>
      <c r="D999" s="11"/>
      <c r="E999" s="11"/>
      <c r="F999" s="11"/>
      <c r="G999" s="11"/>
      <c r="H999" s="11"/>
      <c r="I999" s="46"/>
      <c r="J999" s="11"/>
      <c r="K999" s="11"/>
      <c r="L999" s="11"/>
      <c r="M999" s="11"/>
      <c r="N999" s="11"/>
      <c r="O999" s="11"/>
      <c r="P999" s="11"/>
      <c r="Q999" s="11"/>
      <c r="R999" s="11"/>
      <c r="S999" s="11"/>
      <c r="T999" s="11"/>
      <c r="U999" s="11"/>
      <c r="V999" s="11"/>
      <c r="W999" s="11"/>
      <c r="X999" s="11"/>
      <c r="Y999" s="11"/>
      <c r="Z999" s="11"/>
    </row>
    <row r="1000" spans="1:26" ht="14.25" customHeight="1">
      <c r="A1000" s="11"/>
      <c r="B1000" s="11"/>
      <c r="C1000" s="11"/>
      <c r="D1000" s="11"/>
      <c r="E1000" s="11"/>
      <c r="F1000" s="11"/>
      <c r="G1000" s="11"/>
      <c r="H1000" s="11"/>
      <c r="I1000" s="46"/>
      <c r="J1000" s="11"/>
      <c r="K1000" s="11"/>
      <c r="L1000" s="11"/>
      <c r="M1000" s="11"/>
      <c r="N1000" s="11"/>
      <c r="O1000" s="11"/>
      <c r="P1000" s="11"/>
      <c r="Q1000" s="11"/>
      <c r="R1000" s="11"/>
      <c r="S1000" s="11"/>
      <c r="T1000" s="11"/>
      <c r="U1000" s="11"/>
      <c r="V1000" s="11"/>
      <c r="W1000" s="11"/>
      <c r="X1000" s="11"/>
      <c r="Y1000" s="11"/>
      <c r="Z1000" s="11"/>
    </row>
  </sheetData>
  <mergeCells count="1">
    <mergeCell ref="A1:M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election sqref="A1:M1"/>
    </sheetView>
  </sheetViews>
  <sheetFormatPr defaultColWidth="12.6640625" defaultRowHeight="15" customHeight="1"/>
  <cols>
    <col min="1" max="1" width="27.21875" customWidth="1"/>
    <col min="2" max="8" width="13.6640625" customWidth="1"/>
    <col min="9" max="9" width="12.44140625" customWidth="1"/>
    <col min="10" max="13" width="13.21875" customWidth="1"/>
    <col min="14" max="14" width="8.88671875" customWidth="1"/>
    <col min="15" max="26" width="8.6640625" customWidth="1"/>
  </cols>
  <sheetData>
    <row r="1" spans="1:26" ht="24.75" customHeight="1">
      <c r="A1" s="433" t="s">
        <v>166</v>
      </c>
      <c r="B1" s="433"/>
      <c r="C1" s="433"/>
      <c r="D1" s="433"/>
      <c r="E1" s="433"/>
      <c r="F1" s="433"/>
      <c r="G1" s="433"/>
      <c r="H1" s="433"/>
      <c r="I1" s="433"/>
      <c r="J1" s="433"/>
      <c r="K1" s="433"/>
      <c r="L1" s="433"/>
      <c r="M1" s="434"/>
      <c r="N1" s="136"/>
      <c r="O1" s="136"/>
      <c r="P1" s="136"/>
      <c r="Q1" s="136"/>
      <c r="R1" s="136"/>
      <c r="S1" s="136"/>
      <c r="T1" s="136"/>
      <c r="U1" s="136"/>
      <c r="V1" s="136"/>
      <c r="W1" s="136"/>
      <c r="X1" s="136"/>
      <c r="Y1" s="136"/>
      <c r="Z1" s="136"/>
    </row>
    <row r="2" spans="1:26" ht="14.25" customHeight="1">
      <c r="A2" s="137" t="s">
        <v>167</v>
      </c>
      <c r="B2" s="138">
        <v>2019</v>
      </c>
      <c r="C2" s="137">
        <v>2020</v>
      </c>
      <c r="D2" s="137">
        <v>2021</v>
      </c>
      <c r="E2" s="137">
        <v>2022</v>
      </c>
      <c r="F2" s="137">
        <v>2023</v>
      </c>
      <c r="G2" s="137">
        <v>2024</v>
      </c>
      <c r="H2" s="137">
        <v>2025</v>
      </c>
      <c r="I2" s="138">
        <v>2026</v>
      </c>
      <c r="J2" s="137">
        <v>2027</v>
      </c>
      <c r="K2" s="137">
        <v>2028</v>
      </c>
      <c r="L2" s="137">
        <v>2029</v>
      </c>
      <c r="M2" s="139">
        <v>2030</v>
      </c>
      <c r="N2" s="136"/>
      <c r="O2" s="136"/>
      <c r="P2" s="136"/>
      <c r="Q2" s="136"/>
      <c r="R2" s="136"/>
      <c r="S2" s="136"/>
      <c r="T2" s="136"/>
      <c r="U2" s="136"/>
      <c r="V2" s="136"/>
      <c r="W2" s="136"/>
      <c r="X2" s="136"/>
      <c r="Y2" s="136"/>
      <c r="Z2" s="136"/>
    </row>
    <row r="3" spans="1:26" ht="14.25" customHeight="1">
      <c r="A3" s="136" t="s">
        <v>168</v>
      </c>
      <c r="B3" s="140">
        <v>18146017</v>
      </c>
      <c r="C3" s="136">
        <f t="shared" ref="C3:M3" si="0">B7</f>
        <v>18162978</v>
      </c>
      <c r="D3" s="136">
        <f t="shared" si="0"/>
        <v>19221050</v>
      </c>
      <c r="E3" s="136">
        <f t="shared" si="0"/>
        <v>18869754</v>
      </c>
      <c r="F3" s="136">
        <f t="shared" si="0"/>
        <v>20574458</v>
      </c>
      <c r="G3" s="136">
        <f t="shared" si="0"/>
        <v>22996451</v>
      </c>
      <c r="H3" s="136">
        <f t="shared" si="0"/>
        <v>27161069</v>
      </c>
      <c r="I3" s="141">
        <f t="shared" si="0"/>
        <v>29197945</v>
      </c>
      <c r="J3" s="142">
        <f t="shared" si="0"/>
        <v>31368113.549999997</v>
      </c>
      <c r="K3" s="142">
        <f t="shared" si="0"/>
        <v>33455503.406320985</v>
      </c>
      <c r="L3" s="142">
        <f t="shared" si="0"/>
        <v>35471083.40042001</v>
      </c>
      <c r="M3" s="143">
        <f t="shared" si="0"/>
        <v>37424856.026788667</v>
      </c>
      <c r="N3" s="136"/>
      <c r="O3" s="136"/>
      <c r="P3" s="136"/>
      <c r="Q3" s="136"/>
      <c r="R3" s="136"/>
      <c r="S3" s="136"/>
      <c r="T3" s="136"/>
      <c r="U3" s="136"/>
      <c r="V3" s="136"/>
      <c r="W3" s="136"/>
      <c r="X3" s="136"/>
      <c r="Y3" s="136"/>
      <c r="Z3" s="136"/>
    </row>
    <row r="4" spans="1:26" ht="14.25" customHeight="1">
      <c r="A4" s="144" t="s">
        <v>169</v>
      </c>
      <c r="B4" s="145">
        <f>-CF!B39</f>
        <v>1022884</v>
      </c>
      <c r="C4" s="144">
        <f>-CF!C39</f>
        <v>1889651</v>
      </c>
      <c r="D4" s="144">
        <f>-CF!D39</f>
        <v>1161207</v>
      </c>
      <c r="E4" s="144">
        <f>-CF!E39</f>
        <v>2092880</v>
      </c>
      <c r="F4" s="144">
        <f>-CF!F39</f>
        <v>4295928</v>
      </c>
      <c r="G4" s="144">
        <f>-CF!G39</f>
        <v>5398293</v>
      </c>
      <c r="H4" s="144">
        <f>-CF!H39</f>
        <v>4827582</v>
      </c>
      <c r="I4" s="146">
        <f>H4*(1+Assumptions!I35)</f>
        <v>4948271.55</v>
      </c>
      <c r="J4" s="147">
        <f>I4*(1+Assumptions!J35)</f>
        <v>5071978.3387499992</v>
      </c>
      <c r="K4" s="147">
        <f>J4*(1+Assumptions!K35)</f>
        <v>5198777.7972187484</v>
      </c>
      <c r="L4" s="147">
        <f>K4*(1+Assumptions!L35)</f>
        <v>5328747.2421492171</v>
      </c>
      <c r="M4" s="148">
        <f>L4*(1+Assumptions!M35)</f>
        <v>5461965.9232029468</v>
      </c>
      <c r="N4" s="136"/>
      <c r="O4" s="136"/>
      <c r="P4" s="136"/>
      <c r="Q4" s="136"/>
      <c r="R4" s="136"/>
      <c r="S4" s="136"/>
      <c r="T4" s="136"/>
      <c r="U4" s="136"/>
      <c r="V4" s="136"/>
      <c r="W4" s="136"/>
      <c r="X4" s="136"/>
      <c r="Y4" s="136"/>
      <c r="Z4" s="136"/>
    </row>
    <row r="5" spans="1:26" ht="14.25" customHeight="1">
      <c r="A5" s="149" t="s">
        <v>170</v>
      </c>
      <c r="B5" s="140">
        <f>-CF!B8</f>
        <v>-1224466</v>
      </c>
      <c r="C5" s="136">
        <f>-CF!C8</f>
        <v>-1233239</v>
      </c>
      <c r="D5" s="136">
        <f>-CF!D8</f>
        <v>-1319131</v>
      </c>
      <c r="E5" s="136">
        <f>-CF!E8</f>
        <v>-1532988</v>
      </c>
      <c r="F5" s="136">
        <f>-CF!F8</f>
        <v>-1796689</v>
      </c>
      <c r="G5" s="136">
        <f>-CF!G8</f>
        <v>-2359441</v>
      </c>
      <c r="H5" s="136">
        <f>-CF!H8</f>
        <v>-2778103</v>
      </c>
      <c r="I5" s="141">
        <f>-I3*Assumptions!I31</f>
        <v>-2778103</v>
      </c>
      <c r="J5" s="142">
        <f>-J3*Assumptions!J31</f>
        <v>-2984588.482429008</v>
      </c>
      <c r="K5" s="142">
        <f>-K3*Assumptions!K31</f>
        <v>-3183197.8031197246</v>
      </c>
      <c r="L5" s="142">
        <f>-L3*Assumptions!L31</f>
        <v>-3374974.6157805636</v>
      </c>
      <c r="M5" s="143">
        <f>-M3*Assumptions!M31</f>
        <v>-3560870.6298539047</v>
      </c>
      <c r="N5" s="136"/>
      <c r="O5" s="136"/>
      <c r="P5" s="136"/>
      <c r="Q5" s="136"/>
      <c r="R5" s="136"/>
      <c r="S5" s="136"/>
      <c r="T5" s="136"/>
      <c r="U5" s="136"/>
      <c r="V5" s="136"/>
      <c r="W5" s="136"/>
      <c r="X5" s="136"/>
      <c r="Y5" s="136"/>
      <c r="Z5" s="136"/>
    </row>
    <row r="6" spans="1:26" ht="14.25" customHeight="1">
      <c r="A6" s="149" t="s">
        <v>171</v>
      </c>
      <c r="B6" s="140">
        <f>-CF!B42</f>
        <v>-3529</v>
      </c>
      <c r="C6" s="136">
        <f>-CF!C42</f>
        <v>-37351</v>
      </c>
      <c r="D6" s="136">
        <f>-CF!D42</f>
        <v>0</v>
      </c>
      <c r="E6" s="136">
        <f>-CF!E42</f>
        <v>-14005</v>
      </c>
      <c r="F6" s="136">
        <f>-CF!F42</f>
        <v>0</v>
      </c>
      <c r="G6" s="136">
        <f>-CF!G42</f>
        <v>0</v>
      </c>
      <c r="H6" s="136">
        <f>-CF!H42</f>
        <v>0</v>
      </c>
      <c r="I6" s="141">
        <v>0</v>
      </c>
      <c r="J6" s="142">
        <v>0</v>
      </c>
      <c r="K6" s="142">
        <v>0</v>
      </c>
      <c r="L6" s="142">
        <v>0</v>
      </c>
      <c r="M6" s="143">
        <v>0</v>
      </c>
      <c r="N6" s="136"/>
      <c r="O6" s="136"/>
      <c r="P6" s="136"/>
      <c r="Q6" s="136"/>
      <c r="R6" s="136"/>
      <c r="S6" s="136"/>
      <c r="T6" s="136"/>
      <c r="U6" s="136"/>
      <c r="V6" s="136"/>
      <c r="W6" s="136"/>
      <c r="X6" s="136"/>
      <c r="Y6" s="136"/>
      <c r="Z6" s="136"/>
    </row>
    <row r="7" spans="1:26" ht="14.25" customHeight="1">
      <c r="A7" s="150" t="s">
        <v>172</v>
      </c>
      <c r="B7" s="151">
        <f>SOFP!B5</f>
        <v>18162978</v>
      </c>
      <c r="C7" s="150">
        <f>SOFP!C5</f>
        <v>19221050</v>
      </c>
      <c r="D7" s="150">
        <f>SOFP!D5</f>
        <v>18869754</v>
      </c>
      <c r="E7" s="150">
        <f>SOFP!E5</f>
        <v>20574458</v>
      </c>
      <c r="F7" s="150">
        <f>SOFP!F5</f>
        <v>22996451</v>
      </c>
      <c r="G7" s="150">
        <f>SOFP!G5</f>
        <v>27161069</v>
      </c>
      <c r="H7" s="150">
        <f>SOFP!H5</f>
        <v>29197945</v>
      </c>
      <c r="I7" s="152">
        <f t="shared" ref="I7:M7" si="1">SUM(I3:I6)</f>
        <v>31368113.549999997</v>
      </c>
      <c r="J7" s="152">
        <f t="shared" si="1"/>
        <v>33455503.406320985</v>
      </c>
      <c r="K7" s="152">
        <f t="shared" si="1"/>
        <v>35471083.40042001</v>
      </c>
      <c r="L7" s="152">
        <f t="shared" si="1"/>
        <v>37424856.026788667</v>
      </c>
      <c r="M7" s="153">
        <f t="shared" si="1"/>
        <v>39325951.320137709</v>
      </c>
      <c r="N7" s="144"/>
      <c r="O7" s="144"/>
      <c r="P7" s="144"/>
      <c r="Q7" s="144"/>
      <c r="R7" s="144"/>
      <c r="S7" s="144"/>
      <c r="T7" s="144"/>
      <c r="U7" s="144"/>
      <c r="V7" s="144"/>
      <c r="W7" s="144"/>
      <c r="X7" s="144"/>
      <c r="Y7" s="144"/>
      <c r="Z7" s="144"/>
    </row>
    <row r="8" spans="1:26" ht="14.25" customHeight="1">
      <c r="A8" s="136"/>
      <c r="B8" s="136"/>
      <c r="C8" s="136"/>
      <c r="D8" s="136"/>
      <c r="E8" s="136"/>
      <c r="F8" s="136"/>
      <c r="G8" s="136"/>
      <c r="H8" s="136"/>
      <c r="I8" s="140"/>
      <c r="J8" s="136"/>
      <c r="K8" s="136"/>
      <c r="L8" s="136"/>
      <c r="M8" s="136"/>
      <c r="N8" s="136"/>
      <c r="O8" s="136"/>
      <c r="P8" s="136"/>
      <c r="Q8" s="136"/>
      <c r="R8" s="136"/>
      <c r="S8" s="136"/>
      <c r="T8" s="136"/>
      <c r="U8" s="136"/>
      <c r="V8" s="136"/>
      <c r="W8" s="136"/>
      <c r="X8" s="136"/>
      <c r="Y8" s="136"/>
      <c r="Z8" s="136"/>
    </row>
    <row r="9" spans="1:26" ht="14.25" customHeight="1">
      <c r="A9" s="136"/>
      <c r="B9" s="136"/>
      <c r="C9" s="136"/>
      <c r="D9" s="136"/>
      <c r="E9" s="136"/>
      <c r="F9" s="136"/>
      <c r="G9" s="136"/>
      <c r="H9" s="136"/>
      <c r="I9" s="140"/>
      <c r="J9" s="136"/>
      <c r="K9" s="136"/>
      <c r="L9" s="136"/>
      <c r="M9" s="136"/>
      <c r="N9" s="136"/>
      <c r="O9" s="136"/>
      <c r="P9" s="136"/>
      <c r="Q9" s="136"/>
      <c r="R9" s="136"/>
      <c r="S9" s="136"/>
      <c r="T9" s="136"/>
      <c r="U9" s="136"/>
      <c r="V9" s="136"/>
      <c r="W9" s="136"/>
      <c r="X9" s="136"/>
      <c r="Y9" s="136"/>
      <c r="Z9" s="136"/>
    </row>
    <row r="10" spans="1:26" ht="14.25" customHeight="1">
      <c r="A10" s="154" t="s">
        <v>173</v>
      </c>
      <c r="B10" s="133"/>
      <c r="C10" s="133"/>
      <c r="D10" s="133"/>
      <c r="E10" s="133"/>
      <c r="F10" s="133"/>
      <c r="G10" s="133"/>
      <c r="H10" s="133"/>
      <c r="I10" s="134"/>
      <c r="J10" s="133"/>
      <c r="K10" s="133"/>
      <c r="L10" s="133"/>
      <c r="M10" s="135"/>
      <c r="N10" s="136"/>
      <c r="O10" s="136"/>
      <c r="P10" s="136"/>
      <c r="Q10" s="136"/>
      <c r="R10" s="136"/>
      <c r="S10" s="136"/>
      <c r="T10" s="136"/>
      <c r="U10" s="136"/>
      <c r="V10" s="136"/>
      <c r="W10" s="136"/>
      <c r="X10" s="136"/>
      <c r="Y10" s="136"/>
      <c r="Z10" s="136"/>
    </row>
    <row r="11" spans="1:26" ht="14.25" customHeight="1">
      <c r="A11" s="137" t="s">
        <v>167</v>
      </c>
      <c r="B11" s="138">
        <v>2019</v>
      </c>
      <c r="C11" s="137">
        <v>2020</v>
      </c>
      <c r="D11" s="137">
        <v>2021</v>
      </c>
      <c r="E11" s="137">
        <v>2022</v>
      </c>
      <c r="F11" s="137">
        <v>2023</v>
      </c>
      <c r="G11" s="137">
        <v>2024</v>
      </c>
      <c r="H11" s="137">
        <v>2025</v>
      </c>
      <c r="I11" s="138">
        <v>2026</v>
      </c>
      <c r="J11" s="137">
        <v>2027</v>
      </c>
      <c r="K11" s="137">
        <v>2028</v>
      </c>
      <c r="L11" s="137">
        <v>2029</v>
      </c>
      <c r="M11" s="139">
        <v>2030</v>
      </c>
      <c r="N11" s="136"/>
      <c r="O11" s="136"/>
      <c r="P11" s="136"/>
      <c r="Q11" s="136"/>
      <c r="R11" s="136"/>
      <c r="S11" s="136"/>
      <c r="T11" s="136"/>
      <c r="U11" s="136"/>
      <c r="V11" s="136"/>
      <c r="W11" s="136"/>
      <c r="X11" s="136"/>
      <c r="Y11" s="136"/>
      <c r="Z11" s="136"/>
    </row>
    <row r="12" spans="1:26" ht="14.25" customHeight="1">
      <c r="A12" s="136" t="s">
        <v>168</v>
      </c>
      <c r="B12" s="140">
        <v>2447946</v>
      </c>
      <c r="C12" s="136">
        <f t="shared" ref="C12:M12" si="2">B15</f>
        <v>2442755</v>
      </c>
      <c r="D12" s="136">
        <f t="shared" si="2"/>
        <v>1706873</v>
      </c>
      <c r="E12" s="136">
        <f t="shared" si="2"/>
        <v>1289652</v>
      </c>
      <c r="F12" s="136">
        <f t="shared" si="2"/>
        <v>819545</v>
      </c>
      <c r="G12" s="136">
        <f t="shared" si="2"/>
        <v>458843</v>
      </c>
      <c r="H12" s="136">
        <f t="shared" si="2"/>
        <v>768925</v>
      </c>
      <c r="I12" s="141">
        <f t="shared" si="2"/>
        <v>212229</v>
      </c>
      <c r="J12" s="142">
        <f t="shared" si="2"/>
        <v>239963.20656000002</v>
      </c>
      <c r="K12" s="142">
        <f t="shared" si="2"/>
        <v>270668.40247920004</v>
      </c>
      <c r="L12" s="142">
        <f t="shared" si="2"/>
        <v>304786.96404890402</v>
      </c>
      <c r="M12" s="143">
        <f t="shared" si="2"/>
        <v>342799.34637412254</v>
      </c>
      <c r="N12" s="136"/>
      <c r="O12" s="136"/>
      <c r="P12" s="136"/>
      <c r="Q12" s="136"/>
      <c r="R12" s="136"/>
      <c r="S12" s="136"/>
      <c r="T12" s="136"/>
      <c r="U12" s="136"/>
      <c r="V12" s="136"/>
      <c r="W12" s="136"/>
      <c r="X12" s="136"/>
      <c r="Y12" s="136"/>
      <c r="Z12" s="136"/>
    </row>
    <row r="13" spans="1:26" ht="14.25" customHeight="1">
      <c r="A13" s="144" t="s">
        <v>169</v>
      </c>
      <c r="B13" s="145">
        <f>-CF!B40</f>
        <v>49205</v>
      </c>
      <c r="C13" s="144">
        <f>-CF!C40</f>
        <v>5746</v>
      </c>
      <c r="D13" s="144">
        <f>-CF!D40</f>
        <v>27196</v>
      </c>
      <c r="E13" s="144">
        <f>-CF!E40</f>
        <v>7457</v>
      </c>
      <c r="F13" s="144">
        <f>-CF!F40</f>
        <v>7815</v>
      </c>
      <c r="G13" s="144">
        <f>-CF!G40</f>
        <v>41222</v>
      </c>
      <c r="H13" s="144">
        <f>-CF!H40</f>
        <v>26145</v>
      </c>
      <c r="I13" s="146">
        <f>IS!I3*Assumptions!I36</f>
        <v>70180.006560000009</v>
      </c>
      <c r="J13" s="147">
        <f>IS!J3*Assumptions!J36</f>
        <v>78697.837231200014</v>
      </c>
      <c r="K13" s="147">
        <f>IS!K3*Assumptions!K36</f>
        <v>88252.242065544022</v>
      </c>
      <c r="L13" s="147">
        <f>IS!L3*Assumptions!L36</f>
        <v>98969.775134999305</v>
      </c>
      <c r="M13" s="148">
        <f>IS!M3*Assumptions!M36</f>
        <v>110992.50177602774</v>
      </c>
      <c r="N13" s="136"/>
      <c r="O13" s="136"/>
      <c r="P13" s="136"/>
      <c r="Q13" s="136"/>
      <c r="R13" s="136"/>
      <c r="S13" s="136"/>
      <c r="T13" s="136"/>
      <c r="U13" s="136"/>
      <c r="V13" s="136"/>
      <c r="W13" s="136"/>
      <c r="X13" s="136"/>
      <c r="Y13" s="136"/>
      <c r="Z13" s="136"/>
    </row>
    <row r="14" spans="1:26" ht="14.25" customHeight="1">
      <c r="A14" s="149" t="s">
        <v>174</v>
      </c>
      <c r="B14" s="140">
        <f>-CF!B9</f>
        <v>-53515</v>
      </c>
      <c r="C14" s="136">
        <f>-CF!C9</f>
        <v>-4850</v>
      </c>
      <c r="D14" s="136">
        <f>-CF!D9</f>
        <v>-7437</v>
      </c>
      <c r="E14" s="136">
        <f>-CF!E9</f>
        <v>-12360</v>
      </c>
      <c r="F14" s="136">
        <f>-CF!F9</f>
        <v>-12101</v>
      </c>
      <c r="G14" s="136">
        <f>-CF!G9</f>
        <v>-13463</v>
      </c>
      <c r="H14" s="136">
        <f>-CF!H9</f>
        <v>-16157</v>
      </c>
      <c r="I14" s="141">
        <f>-I12*Assumptions!I32</f>
        <v>-42445.8</v>
      </c>
      <c r="J14" s="155">
        <f>-J12*Assumptions!J32</f>
        <v>-47992.641312000007</v>
      </c>
      <c r="K14" s="155">
        <f>-K12*Assumptions!K32</f>
        <v>-54133.68049584001</v>
      </c>
      <c r="L14" s="155">
        <f>-L12*Assumptions!L32</f>
        <v>-60957.392809780809</v>
      </c>
      <c r="M14" s="143">
        <f>-M12*Assumptions!M32</f>
        <v>-68559.869274824508</v>
      </c>
      <c r="N14" s="144"/>
      <c r="O14" s="136"/>
      <c r="P14" s="136"/>
      <c r="Q14" s="136"/>
      <c r="R14" s="136"/>
      <c r="S14" s="136"/>
      <c r="T14" s="136"/>
      <c r="U14" s="136"/>
      <c r="V14" s="136"/>
      <c r="W14" s="136"/>
      <c r="X14" s="136"/>
      <c r="Y14" s="136"/>
      <c r="Z14" s="136"/>
    </row>
    <row r="15" spans="1:26" ht="14.25" customHeight="1">
      <c r="A15" s="150" t="s">
        <v>172</v>
      </c>
      <c r="B15" s="151">
        <f>SOFP!B8</f>
        <v>2442755</v>
      </c>
      <c r="C15" s="150">
        <f>SOFP!C8</f>
        <v>1706873</v>
      </c>
      <c r="D15" s="150">
        <f>SOFP!D8</f>
        <v>1289652</v>
      </c>
      <c r="E15" s="150">
        <f>SOFP!E8</f>
        <v>819545</v>
      </c>
      <c r="F15" s="150">
        <f>SOFP!F8</f>
        <v>458843</v>
      </c>
      <c r="G15" s="150">
        <f>SOFP!G8</f>
        <v>768925</v>
      </c>
      <c r="H15" s="150">
        <f>SOFP!H8</f>
        <v>212229</v>
      </c>
      <c r="I15" s="152">
        <f t="shared" ref="I15:M15" si="3">SUM(I12:I14)</f>
        <v>239963.20656000002</v>
      </c>
      <c r="J15" s="156">
        <f t="shared" si="3"/>
        <v>270668.40247920004</v>
      </c>
      <c r="K15" s="156">
        <f t="shared" si="3"/>
        <v>304786.96404890402</v>
      </c>
      <c r="L15" s="156">
        <f t="shared" si="3"/>
        <v>342799.34637412254</v>
      </c>
      <c r="M15" s="157">
        <f t="shared" si="3"/>
        <v>385231.97887532576</v>
      </c>
      <c r="N15" s="144"/>
      <c r="O15" s="136"/>
      <c r="P15" s="136"/>
      <c r="Q15" s="136"/>
      <c r="R15" s="136"/>
      <c r="S15" s="136"/>
      <c r="T15" s="136"/>
      <c r="U15" s="136"/>
      <c r="V15" s="136"/>
      <c r="W15" s="136"/>
      <c r="X15" s="136"/>
      <c r="Y15" s="136"/>
      <c r="Z15" s="136"/>
    </row>
    <row r="16" spans="1:26" ht="14.25" customHeight="1">
      <c r="A16" s="136"/>
      <c r="B16" s="136"/>
      <c r="C16" s="136"/>
      <c r="D16" s="136"/>
      <c r="E16" s="136"/>
      <c r="F16" s="136"/>
      <c r="G16" s="136"/>
      <c r="H16" s="136"/>
      <c r="I16" s="140"/>
      <c r="J16" s="136"/>
      <c r="K16" s="136"/>
      <c r="L16" s="136"/>
      <c r="M16" s="136"/>
      <c r="N16" s="144"/>
      <c r="O16" s="136"/>
      <c r="P16" s="136"/>
      <c r="Q16" s="136"/>
      <c r="R16" s="136"/>
      <c r="S16" s="136"/>
      <c r="T16" s="136"/>
      <c r="U16" s="136"/>
      <c r="V16" s="136"/>
      <c r="W16" s="136"/>
      <c r="X16" s="136"/>
      <c r="Y16" s="136"/>
      <c r="Z16" s="136"/>
    </row>
    <row r="17" spans="1:26" ht="14.25" customHeight="1">
      <c r="A17" s="136"/>
      <c r="B17" s="136"/>
      <c r="C17" s="136"/>
      <c r="D17" s="136"/>
      <c r="E17" s="136"/>
      <c r="F17" s="136"/>
      <c r="G17" s="136"/>
      <c r="H17" s="136"/>
      <c r="I17" s="140"/>
      <c r="J17" s="136"/>
      <c r="K17" s="136"/>
      <c r="L17" s="136"/>
      <c r="M17" s="136"/>
      <c r="N17" s="136"/>
      <c r="O17" s="136"/>
      <c r="P17" s="136"/>
      <c r="Q17" s="136"/>
      <c r="R17" s="136"/>
      <c r="S17" s="136"/>
      <c r="T17" s="136"/>
      <c r="U17" s="136"/>
      <c r="V17" s="136"/>
      <c r="W17" s="136"/>
      <c r="X17" s="136"/>
      <c r="Y17" s="136"/>
      <c r="Z17" s="136"/>
    </row>
    <row r="18" spans="1:26" ht="14.25" customHeight="1">
      <c r="A18" s="154" t="s">
        <v>175</v>
      </c>
      <c r="B18" s="133"/>
      <c r="C18" s="133"/>
      <c r="D18" s="133"/>
      <c r="E18" s="133"/>
      <c r="F18" s="133"/>
      <c r="G18" s="133"/>
      <c r="H18" s="133"/>
      <c r="I18" s="134"/>
      <c r="J18" s="133"/>
      <c r="K18" s="133"/>
      <c r="L18" s="133"/>
      <c r="M18" s="135"/>
      <c r="N18" s="136"/>
      <c r="O18" s="136"/>
      <c r="P18" s="136"/>
      <c r="Q18" s="136"/>
      <c r="R18" s="136"/>
      <c r="S18" s="136"/>
      <c r="T18" s="136"/>
      <c r="U18" s="136"/>
      <c r="V18" s="136"/>
      <c r="W18" s="136"/>
      <c r="X18" s="136"/>
      <c r="Y18" s="136"/>
      <c r="Z18" s="136"/>
    </row>
    <row r="19" spans="1:26" ht="14.25" customHeight="1">
      <c r="A19" s="137" t="s">
        <v>167</v>
      </c>
      <c r="B19" s="138">
        <v>2019</v>
      </c>
      <c r="C19" s="137">
        <v>2020</v>
      </c>
      <c r="D19" s="137">
        <v>2021</v>
      </c>
      <c r="E19" s="137">
        <v>2022</v>
      </c>
      <c r="F19" s="137">
        <v>2023</v>
      </c>
      <c r="G19" s="137">
        <v>2024</v>
      </c>
      <c r="H19" s="137">
        <v>2025</v>
      </c>
      <c r="I19" s="138">
        <v>2026</v>
      </c>
      <c r="J19" s="137">
        <v>2027</v>
      </c>
      <c r="K19" s="137">
        <v>2028</v>
      </c>
      <c r="L19" s="137">
        <v>2029</v>
      </c>
      <c r="M19" s="139">
        <v>2030</v>
      </c>
      <c r="N19" s="136"/>
      <c r="O19" s="136"/>
      <c r="P19" s="136"/>
      <c r="Q19" s="136"/>
      <c r="R19" s="136"/>
      <c r="S19" s="136"/>
      <c r="T19" s="136"/>
      <c r="U19" s="136"/>
      <c r="V19" s="136"/>
      <c r="W19" s="136"/>
      <c r="X19" s="136"/>
      <c r="Y19" s="136"/>
      <c r="Z19" s="136"/>
    </row>
    <row r="20" spans="1:26" ht="14.25" customHeight="1">
      <c r="A20" s="136" t="s">
        <v>168</v>
      </c>
      <c r="B20" s="140">
        <v>0</v>
      </c>
      <c r="C20" s="136">
        <f t="shared" ref="C20:M20" si="4">B23</f>
        <v>0</v>
      </c>
      <c r="D20" s="136">
        <f t="shared" si="4"/>
        <v>304355</v>
      </c>
      <c r="E20" s="136">
        <f t="shared" si="4"/>
        <v>239149</v>
      </c>
      <c r="F20" s="136">
        <f t="shared" si="4"/>
        <v>207281</v>
      </c>
      <c r="G20" s="136">
        <f t="shared" si="4"/>
        <v>209947</v>
      </c>
      <c r="H20" s="136">
        <f t="shared" si="4"/>
        <v>223969</v>
      </c>
      <c r="I20" s="141">
        <f t="shared" si="4"/>
        <v>768078</v>
      </c>
      <c r="J20" s="142">
        <f t="shared" si="4"/>
        <v>663526.44832880842</v>
      </c>
      <c r="K20" s="142">
        <f t="shared" si="4"/>
        <v>590520.29646517651</v>
      </c>
      <c r="L20" s="142">
        <f t="shared" si="4"/>
        <v>542997.12128406647</v>
      </c>
      <c r="M20" s="143">
        <f t="shared" si="4"/>
        <v>516371.69767311856</v>
      </c>
      <c r="N20" s="136"/>
      <c r="O20" s="136"/>
      <c r="P20" s="136"/>
      <c r="Q20" s="136"/>
      <c r="R20" s="136"/>
      <c r="S20" s="136"/>
      <c r="T20" s="136"/>
      <c r="U20" s="136"/>
      <c r="V20" s="136"/>
      <c r="W20" s="136"/>
      <c r="X20" s="136"/>
      <c r="Y20" s="136"/>
      <c r="Z20" s="136"/>
    </row>
    <row r="21" spans="1:26" ht="14.25" customHeight="1">
      <c r="A21" s="144" t="s">
        <v>169</v>
      </c>
      <c r="B21" s="145">
        <f>-CF!B47</f>
        <v>0</v>
      </c>
      <c r="C21" s="144">
        <f>C22+C23</f>
        <v>235239</v>
      </c>
      <c r="D21" s="144">
        <v>49787</v>
      </c>
      <c r="E21" s="144">
        <v>40857</v>
      </c>
      <c r="F21" s="144">
        <v>76046</v>
      </c>
      <c r="G21" s="144">
        <v>91930</v>
      </c>
      <c r="H21" s="144">
        <v>59964</v>
      </c>
      <c r="I21" s="146">
        <f>IS!I3*Assumptions!I37</f>
        <v>67239.852507988151</v>
      </c>
      <c r="J21" s="147">
        <f>IS!J3*Assumptions!J37</f>
        <v>75400.833193133105</v>
      </c>
      <c r="K21" s="147">
        <f>IS!K3*Assumptions!K37</f>
        <v>84554.961318123416</v>
      </c>
      <c r="L21" s="147">
        <f>IS!L3*Assumptions!L37</f>
        <v>94823.489039384687</v>
      </c>
      <c r="M21" s="148">
        <f>IS!M3*Assumptions!M37</f>
        <v>106342.52994166032</v>
      </c>
      <c r="N21" s="136"/>
      <c r="O21" s="136"/>
      <c r="P21" s="136"/>
      <c r="Q21" s="136"/>
      <c r="R21" s="136"/>
      <c r="S21" s="136"/>
      <c r="T21" s="136"/>
      <c r="U21" s="136"/>
      <c r="V21" s="136"/>
      <c r="W21" s="136"/>
      <c r="X21" s="136"/>
      <c r="Y21" s="136"/>
      <c r="Z21" s="136"/>
    </row>
    <row r="22" spans="1:26" ht="14.25" customHeight="1">
      <c r="A22" s="149" t="s">
        <v>170</v>
      </c>
      <c r="B22" s="140">
        <v>0</v>
      </c>
      <c r="C22" s="136">
        <f>-CF!C6</f>
        <v>-69116</v>
      </c>
      <c r="D22" s="136">
        <f>-CF!D6</f>
        <v>-77793</v>
      </c>
      <c r="E22" s="136">
        <f>-CF!E6</f>
        <v>-70156</v>
      </c>
      <c r="F22" s="136">
        <f>-CF!F6</f>
        <v>-65766</v>
      </c>
      <c r="G22" s="136">
        <f>-CF!G6</f>
        <v>-63516</v>
      </c>
      <c r="H22" s="136">
        <f>-CF!H6</f>
        <v>-56952</v>
      </c>
      <c r="I22" s="141">
        <f>-I20*Assumptions!I33</f>
        <v>-171791.40417917972</v>
      </c>
      <c r="J22" s="155">
        <f>-J20*Assumptions!J33</f>
        <v>-148406.985056765</v>
      </c>
      <c r="K22" s="155">
        <f>-K20*Assumptions!K33</f>
        <v>-132078.13649923337</v>
      </c>
      <c r="L22" s="155">
        <f>-L20*Assumptions!L33</f>
        <v>-121448.91265033257</v>
      </c>
      <c r="M22" s="143">
        <f>-M20*Assumptions!M33</f>
        <v>-115493.76368240193</v>
      </c>
      <c r="N22" s="136"/>
      <c r="O22" s="136"/>
      <c r="P22" s="136"/>
      <c r="Q22" s="136"/>
      <c r="R22" s="136"/>
      <c r="S22" s="136"/>
      <c r="T22" s="136"/>
      <c r="U22" s="136"/>
      <c r="V22" s="136"/>
      <c r="W22" s="136"/>
      <c r="X22" s="136"/>
      <c r="Y22" s="136"/>
      <c r="Z22" s="136"/>
    </row>
    <row r="23" spans="1:26" ht="14.25" customHeight="1">
      <c r="A23" s="150" t="s">
        <v>172</v>
      </c>
      <c r="B23" s="151">
        <v>0</v>
      </c>
      <c r="C23" s="150">
        <f>SOFP!C9</f>
        <v>304355</v>
      </c>
      <c r="D23" s="150">
        <f>SOFP!D9</f>
        <v>239149</v>
      </c>
      <c r="E23" s="150">
        <f>SOFP!E9</f>
        <v>207281</v>
      </c>
      <c r="F23" s="150">
        <f>SOFP!F9</f>
        <v>209947</v>
      </c>
      <c r="G23" s="150">
        <f>SOFP!G9</f>
        <v>223969</v>
      </c>
      <c r="H23" s="150">
        <f>SOFP!H9</f>
        <v>768078</v>
      </c>
      <c r="I23" s="152">
        <f t="shared" ref="I23:M23" si="5">SUM(I20:I22)</f>
        <v>663526.44832880842</v>
      </c>
      <c r="J23" s="156">
        <f t="shared" si="5"/>
        <v>590520.29646517651</v>
      </c>
      <c r="K23" s="156">
        <f t="shared" si="5"/>
        <v>542997.12128406647</v>
      </c>
      <c r="L23" s="156">
        <f t="shared" si="5"/>
        <v>516371.69767311856</v>
      </c>
      <c r="M23" s="157">
        <f t="shared" si="5"/>
        <v>507220.463932377</v>
      </c>
      <c r="N23" s="136"/>
      <c r="O23" s="136"/>
      <c r="P23" s="136"/>
      <c r="Q23" s="136"/>
      <c r="R23" s="136"/>
      <c r="S23" s="136"/>
      <c r="T23" s="136"/>
      <c r="U23" s="136"/>
      <c r="V23" s="136"/>
      <c r="W23" s="136"/>
      <c r="X23" s="136"/>
      <c r="Y23" s="136"/>
      <c r="Z23" s="136"/>
    </row>
    <row r="24" spans="1:26" ht="14.25" customHeight="1">
      <c r="A24" s="136"/>
      <c r="B24" s="136"/>
      <c r="C24" s="136"/>
      <c r="D24" s="136"/>
      <c r="E24" s="136"/>
      <c r="F24" s="136"/>
      <c r="G24" s="136"/>
      <c r="H24" s="136"/>
      <c r="I24" s="140"/>
      <c r="J24" s="136"/>
      <c r="K24" s="136"/>
      <c r="L24" s="136"/>
      <c r="M24" s="136"/>
      <c r="N24" s="136"/>
      <c r="O24" s="136"/>
      <c r="P24" s="136"/>
      <c r="Q24" s="136"/>
      <c r="R24" s="136"/>
      <c r="S24" s="136"/>
      <c r="T24" s="136"/>
      <c r="U24" s="136"/>
      <c r="V24" s="136"/>
      <c r="W24" s="136"/>
      <c r="X24" s="136"/>
      <c r="Y24" s="136"/>
      <c r="Z24" s="136"/>
    </row>
    <row r="25" spans="1:26" ht="14.25" customHeight="1">
      <c r="A25" s="136"/>
      <c r="B25" s="136"/>
      <c r="C25" s="136"/>
      <c r="D25" s="136"/>
      <c r="E25" s="136"/>
      <c r="F25" s="136"/>
      <c r="G25" s="136"/>
      <c r="H25" s="136"/>
      <c r="I25" s="140"/>
      <c r="J25" s="136"/>
      <c r="K25" s="136"/>
      <c r="L25" s="136"/>
      <c r="M25" s="136"/>
      <c r="N25" s="136"/>
      <c r="O25" s="136"/>
      <c r="P25" s="136"/>
      <c r="Q25" s="136"/>
      <c r="R25" s="136"/>
      <c r="S25" s="136"/>
      <c r="T25" s="136"/>
      <c r="U25" s="136"/>
      <c r="V25" s="136"/>
      <c r="W25" s="136"/>
      <c r="X25" s="136"/>
      <c r="Y25" s="136"/>
      <c r="Z25" s="136"/>
    </row>
    <row r="26" spans="1:26" ht="14.25" customHeight="1">
      <c r="A26" s="136"/>
      <c r="B26" s="136"/>
      <c r="C26" s="136"/>
      <c r="D26" s="136"/>
      <c r="E26" s="136"/>
      <c r="F26" s="136"/>
      <c r="G26" s="136"/>
      <c r="H26" s="136"/>
      <c r="I26" s="140"/>
      <c r="J26" s="136"/>
      <c r="K26" s="136"/>
      <c r="L26" s="136"/>
      <c r="M26" s="136"/>
      <c r="N26" s="136"/>
      <c r="O26" s="136"/>
      <c r="P26" s="136"/>
      <c r="Q26" s="136"/>
      <c r="R26" s="136"/>
      <c r="S26" s="136"/>
      <c r="T26" s="136"/>
      <c r="U26" s="136"/>
      <c r="V26" s="136"/>
      <c r="W26" s="136"/>
      <c r="X26" s="136"/>
      <c r="Y26" s="136"/>
      <c r="Z26" s="136"/>
    </row>
    <row r="27" spans="1:26" ht="14.25" customHeight="1">
      <c r="A27" s="136"/>
      <c r="B27" s="136"/>
      <c r="C27" s="136"/>
      <c r="D27" s="136"/>
      <c r="E27" s="136"/>
      <c r="F27" s="136"/>
      <c r="G27" s="136"/>
      <c r="H27" s="136"/>
      <c r="I27" s="140"/>
      <c r="J27" s="136"/>
      <c r="K27" s="136"/>
      <c r="L27" s="136"/>
      <c r="M27" s="136"/>
      <c r="N27" s="136"/>
      <c r="O27" s="136"/>
      <c r="P27" s="136"/>
      <c r="Q27" s="136"/>
      <c r="R27" s="136"/>
      <c r="S27" s="136"/>
      <c r="T27" s="136"/>
      <c r="U27" s="136"/>
      <c r="V27" s="136"/>
      <c r="W27" s="136"/>
      <c r="X27" s="136"/>
      <c r="Y27" s="136"/>
      <c r="Z27" s="136"/>
    </row>
    <row r="28" spans="1:26" ht="14.25" customHeight="1">
      <c r="A28" s="136"/>
      <c r="B28" s="136"/>
      <c r="C28" s="136"/>
      <c r="D28" s="136"/>
      <c r="E28" s="136"/>
      <c r="F28" s="136"/>
      <c r="G28" s="136"/>
      <c r="H28" s="136"/>
      <c r="I28" s="140"/>
      <c r="J28" s="136"/>
      <c r="K28" s="136"/>
      <c r="L28" s="136"/>
      <c r="M28" s="136"/>
      <c r="N28" s="136"/>
      <c r="O28" s="136"/>
      <c r="P28" s="136"/>
      <c r="Q28" s="136"/>
      <c r="R28" s="136"/>
      <c r="S28" s="136"/>
      <c r="T28" s="136"/>
      <c r="U28" s="136"/>
      <c r="V28" s="136"/>
      <c r="W28" s="136"/>
      <c r="X28" s="136"/>
      <c r="Y28" s="136"/>
      <c r="Z28" s="136"/>
    </row>
    <row r="29" spans="1:26" ht="14.25" customHeight="1">
      <c r="A29" s="136"/>
      <c r="B29" s="136"/>
      <c r="C29" s="136"/>
      <c r="D29" s="136"/>
      <c r="E29" s="136"/>
      <c r="F29" s="136"/>
      <c r="G29" s="136"/>
      <c r="H29" s="136"/>
      <c r="I29" s="140"/>
      <c r="J29" s="136"/>
      <c r="K29" s="136"/>
      <c r="L29" s="136"/>
      <c r="M29" s="136"/>
      <c r="N29" s="136"/>
      <c r="O29" s="136"/>
      <c r="P29" s="136"/>
      <c r="Q29" s="136"/>
      <c r="R29" s="136"/>
      <c r="S29" s="136"/>
      <c r="T29" s="136"/>
      <c r="U29" s="136"/>
      <c r="V29" s="136"/>
      <c r="W29" s="136"/>
      <c r="X29" s="136"/>
      <c r="Y29" s="136"/>
      <c r="Z29" s="136"/>
    </row>
    <row r="30" spans="1:26" ht="14.25" customHeight="1">
      <c r="A30" s="136"/>
      <c r="B30" s="136"/>
      <c r="C30" s="136"/>
      <c r="D30" s="136"/>
      <c r="E30" s="136"/>
      <c r="F30" s="136"/>
      <c r="G30" s="136"/>
      <c r="H30" s="136"/>
      <c r="I30" s="140"/>
      <c r="J30" s="136"/>
      <c r="K30" s="136"/>
      <c r="L30" s="136"/>
      <c r="M30" s="136"/>
      <c r="N30" s="136"/>
      <c r="O30" s="136"/>
      <c r="P30" s="136"/>
      <c r="Q30" s="136"/>
      <c r="R30" s="136"/>
      <c r="S30" s="136"/>
      <c r="T30" s="136"/>
      <c r="U30" s="136"/>
      <c r="V30" s="136"/>
      <c r="W30" s="136"/>
      <c r="X30" s="136"/>
      <c r="Y30" s="136"/>
      <c r="Z30" s="136"/>
    </row>
    <row r="31" spans="1:26" ht="14.25" customHeight="1">
      <c r="A31" s="136"/>
      <c r="B31" s="136"/>
      <c r="C31" s="136"/>
      <c r="D31" s="136"/>
      <c r="E31" s="136"/>
      <c r="F31" s="136"/>
      <c r="G31" s="136"/>
      <c r="H31" s="136"/>
      <c r="I31" s="140"/>
      <c r="J31" s="136"/>
      <c r="K31" s="136"/>
      <c r="L31" s="136"/>
      <c r="M31" s="136"/>
      <c r="N31" s="136"/>
      <c r="O31" s="136"/>
      <c r="P31" s="136"/>
      <c r="Q31" s="136"/>
      <c r="R31" s="136"/>
      <c r="S31" s="136"/>
      <c r="T31" s="136"/>
      <c r="U31" s="136"/>
      <c r="V31" s="136"/>
      <c r="W31" s="136"/>
      <c r="X31" s="136"/>
      <c r="Y31" s="136"/>
      <c r="Z31" s="136"/>
    </row>
    <row r="32" spans="1:26" ht="14.25" customHeight="1">
      <c r="A32" s="136"/>
      <c r="B32" s="136"/>
      <c r="C32" s="136"/>
      <c r="D32" s="136"/>
      <c r="E32" s="136"/>
      <c r="F32" s="136"/>
      <c r="G32" s="136"/>
      <c r="H32" s="136"/>
      <c r="I32" s="140"/>
      <c r="J32" s="136"/>
      <c r="K32" s="136"/>
      <c r="L32" s="136"/>
      <c r="M32" s="136"/>
      <c r="N32" s="136"/>
      <c r="O32" s="136"/>
      <c r="P32" s="136"/>
      <c r="Q32" s="136"/>
      <c r="R32" s="136"/>
      <c r="S32" s="136"/>
      <c r="T32" s="136"/>
      <c r="U32" s="136"/>
      <c r="V32" s="136"/>
      <c r="W32" s="136"/>
      <c r="X32" s="136"/>
      <c r="Y32" s="136"/>
      <c r="Z32" s="136"/>
    </row>
    <row r="33" spans="1:26" ht="14.25" customHeight="1">
      <c r="A33" s="136"/>
      <c r="B33" s="136"/>
      <c r="C33" s="136"/>
      <c r="D33" s="136"/>
      <c r="E33" s="136"/>
      <c r="F33" s="136"/>
      <c r="G33" s="136"/>
      <c r="H33" s="136"/>
      <c r="I33" s="140"/>
      <c r="J33" s="136"/>
      <c r="K33" s="136"/>
      <c r="L33" s="136"/>
      <c r="M33" s="136"/>
      <c r="N33" s="136"/>
      <c r="O33" s="136"/>
      <c r="P33" s="136"/>
      <c r="Q33" s="136"/>
      <c r="R33" s="136"/>
      <c r="S33" s="136"/>
      <c r="T33" s="136"/>
      <c r="U33" s="136"/>
      <c r="V33" s="136"/>
      <c r="W33" s="136"/>
      <c r="X33" s="136"/>
      <c r="Y33" s="136"/>
      <c r="Z33" s="136"/>
    </row>
    <row r="34" spans="1:26" ht="14.25" customHeight="1">
      <c r="A34" s="136"/>
      <c r="B34" s="136"/>
      <c r="C34" s="136"/>
      <c r="D34" s="136"/>
      <c r="E34" s="136"/>
      <c r="F34" s="136"/>
      <c r="G34" s="136"/>
      <c r="H34" s="136"/>
      <c r="I34" s="140"/>
      <c r="J34" s="136"/>
      <c r="K34" s="136"/>
      <c r="L34" s="136"/>
      <c r="M34" s="136"/>
      <c r="N34" s="136"/>
      <c r="O34" s="136"/>
      <c r="P34" s="136"/>
      <c r="Q34" s="136"/>
      <c r="R34" s="136"/>
      <c r="S34" s="136"/>
      <c r="T34" s="136"/>
      <c r="U34" s="136"/>
      <c r="V34" s="136"/>
      <c r="W34" s="136"/>
      <c r="X34" s="136"/>
      <c r="Y34" s="136"/>
      <c r="Z34" s="136"/>
    </row>
    <row r="35" spans="1:26" ht="14.25" customHeight="1">
      <c r="A35" s="136"/>
      <c r="B35" s="136"/>
      <c r="C35" s="136"/>
      <c r="D35" s="136"/>
      <c r="E35" s="136"/>
      <c r="F35" s="136"/>
      <c r="G35" s="136"/>
      <c r="H35" s="136"/>
      <c r="I35" s="140"/>
      <c r="J35" s="136"/>
      <c r="K35" s="136"/>
      <c r="L35" s="136"/>
      <c r="M35" s="136"/>
      <c r="N35" s="136"/>
      <c r="O35" s="136"/>
      <c r="P35" s="136"/>
      <c r="Q35" s="136"/>
      <c r="R35" s="136"/>
      <c r="S35" s="136"/>
      <c r="T35" s="136"/>
      <c r="U35" s="136"/>
      <c r="V35" s="136"/>
      <c r="W35" s="136"/>
      <c r="X35" s="136"/>
      <c r="Y35" s="136"/>
      <c r="Z35" s="136"/>
    </row>
    <row r="36" spans="1:26" ht="14.25" customHeight="1">
      <c r="A36" s="136"/>
      <c r="B36" s="136"/>
      <c r="C36" s="136"/>
      <c r="D36" s="136"/>
      <c r="E36" s="136"/>
      <c r="F36" s="136"/>
      <c r="G36" s="136"/>
      <c r="H36" s="136"/>
      <c r="I36" s="140"/>
      <c r="J36" s="136"/>
      <c r="K36" s="136"/>
      <c r="L36" s="136"/>
      <c r="M36" s="136"/>
      <c r="N36" s="136"/>
      <c r="O36" s="136"/>
      <c r="P36" s="136"/>
      <c r="Q36" s="136"/>
      <c r="R36" s="136"/>
      <c r="S36" s="136"/>
      <c r="T36" s="136"/>
      <c r="U36" s="136"/>
      <c r="V36" s="136"/>
      <c r="W36" s="136"/>
      <c r="X36" s="136"/>
      <c r="Y36" s="136"/>
      <c r="Z36" s="136"/>
    </row>
    <row r="37" spans="1:26" ht="14.25" customHeight="1">
      <c r="A37" s="136"/>
      <c r="B37" s="136"/>
      <c r="C37" s="136"/>
      <c r="D37" s="136"/>
      <c r="E37" s="136"/>
      <c r="F37" s="136"/>
      <c r="G37" s="136"/>
      <c r="H37" s="136"/>
      <c r="I37" s="140"/>
      <c r="J37" s="136"/>
      <c r="K37" s="136"/>
      <c r="L37" s="136"/>
      <c r="M37" s="136"/>
      <c r="N37" s="136"/>
      <c r="O37" s="136"/>
      <c r="P37" s="136"/>
      <c r="Q37" s="136"/>
      <c r="R37" s="136"/>
      <c r="S37" s="136"/>
      <c r="T37" s="136"/>
      <c r="U37" s="136"/>
      <c r="V37" s="136"/>
      <c r="W37" s="136"/>
      <c r="X37" s="136"/>
      <c r="Y37" s="136"/>
      <c r="Z37" s="136"/>
    </row>
    <row r="38" spans="1:26" ht="14.25" customHeight="1">
      <c r="A38" s="136"/>
      <c r="B38" s="136"/>
      <c r="C38" s="136"/>
      <c r="D38" s="136"/>
      <c r="E38" s="136"/>
      <c r="F38" s="136"/>
      <c r="G38" s="136"/>
      <c r="H38" s="136"/>
      <c r="I38" s="140"/>
      <c r="J38" s="136"/>
      <c r="K38" s="136"/>
      <c r="L38" s="136"/>
      <c r="M38" s="136"/>
      <c r="N38" s="136"/>
      <c r="O38" s="136"/>
      <c r="P38" s="136"/>
      <c r="Q38" s="136"/>
      <c r="R38" s="136"/>
      <c r="S38" s="136"/>
      <c r="T38" s="136"/>
      <c r="U38" s="136"/>
      <c r="V38" s="136"/>
      <c r="W38" s="136"/>
      <c r="X38" s="136"/>
      <c r="Y38" s="136"/>
      <c r="Z38" s="136"/>
    </row>
    <row r="39" spans="1:26" ht="14.25" customHeight="1">
      <c r="A39" s="136"/>
      <c r="B39" s="136"/>
      <c r="C39" s="136"/>
      <c r="D39" s="136"/>
      <c r="E39" s="136"/>
      <c r="F39" s="136"/>
      <c r="G39" s="136"/>
      <c r="H39" s="136"/>
      <c r="I39" s="140"/>
      <c r="J39" s="136"/>
      <c r="K39" s="136"/>
      <c r="L39" s="136"/>
      <c r="M39" s="136"/>
      <c r="N39" s="136"/>
      <c r="O39" s="136"/>
      <c r="P39" s="136"/>
      <c r="Q39" s="136"/>
      <c r="R39" s="136"/>
      <c r="S39" s="136"/>
      <c r="T39" s="136"/>
      <c r="U39" s="136"/>
      <c r="V39" s="136"/>
      <c r="W39" s="136"/>
      <c r="X39" s="136"/>
      <c r="Y39" s="136"/>
      <c r="Z39" s="136"/>
    </row>
    <row r="40" spans="1:26" ht="14.25" customHeight="1">
      <c r="A40" s="136"/>
      <c r="B40" s="136"/>
      <c r="C40" s="136"/>
      <c r="D40" s="136"/>
      <c r="E40" s="136"/>
      <c r="F40" s="136"/>
      <c r="G40" s="136"/>
      <c r="H40" s="136"/>
      <c r="I40" s="140"/>
      <c r="J40" s="136"/>
      <c r="K40" s="136"/>
      <c r="L40" s="136"/>
      <c r="M40" s="136"/>
      <c r="N40" s="136"/>
      <c r="O40" s="136"/>
      <c r="P40" s="136"/>
      <c r="Q40" s="136"/>
      <c r="R40" s="136"/>
      <c r="S40" s="136"/>
      <c r="T40" s="136"/>
      <c r="U40" s="136"/>
      <c r="V40" s="136"/>
      <c r="W40" s="136"/>
      <c r="X40" s="136"/>
      <c r="Y40" s="136"/>
      <c r="Z40" s="136"/>
    </row>
    <row r="41" spans="1:26" ht="14.25" customHeight="1">
      <c r="A41" s="136"/>
      <c r="B41" s="136"/>
      <c r="C41" s="136"/>
      <c r="D41" s="136"/>
      <c r="E41" s="136"/>
      <c r="F41" s="136"/>
      <c r="G41" s="136"/>
      <c r="H41" s="136"/>
      <c r="I41" s="140"/>
      <c r="J41" s="136"/>
      <c r="K41" s="136"/>
      <c r="L41" s="136"/>
      <c r="M41" s="136"/>
      <c r="N41" s="136"/>
      <c r="O41" s="136"/>
      <c r="P41" s="136"/>
      <c r="Q41" s="136"/>
      <c r="R41" s="136"/>
      <c r="S41" s="136"/>
      <c r="T41" s="136"/>
      <c r="U41" s="136"/>
      <c r="V41" s="136"/>
      <c r="W41" s="136"/>
      <c r="X41" s="136"/>
      <c r="Y41" s="136"/>
      <c r="Z41" s="136"/>
    </row>
    <row r="42" spans="1:26" ht="14.25" customHeight="1">
      <c r="A42" s="136"/>
      <c r="B42" s="136"/>
      <c r="C42" s="136"/>
      <c r="D42" s="136"/>
      <c r="E42" s="136"/>
      <c r="F42" s="136"/>
      <c r="G42" s="136"/>
      <c r="H42" s="136"/>
      <c r="I42" s="140"/>
      <c r="J42" s="136"/>
      <c r="K42" s="136"/>
      <c r="L42" s="136"/>
      <c r="M42" s="136"/>
      <c r="N42" s="136"/>
      <c r="O42" s="136"/>
      <c r="P42" s="136"/>
      <c r="Q42" s="136"/>
      <c r="R42" s="136"/>
      <c r="S42" s="136"/>
      <c r="T42" s="136"/>
      <c r="U42" s="136"/>
      <c r="V42" s="136"/>
      <c r="W42" s="136"/>
      <c r="X42" s="136"/>
      <c r="Y42" s="136"/>
      <c r="Z42" s="136"/>
    </row>
    <row r="43" spans="1:26" ht="14.25" customHeight="1">
      <c r="A43" s="136"/>
      <c r="B43" s="136"/>
      <c r="C43" s="136"/>
      <c r="D43" s="136"/>
      <c r="E43" s="136"/>
      <c r="F43" s="136"/>
      <c r="G43" s="136"/>
      <c r="H43" s="136"/>
      <c r="I43" s="140"/>
      <c r="J43" s="136"/>
      <c r="K43" s="136"/>
      <c r="L43" s="136"/>
      <c r="M43" s="136"/>
      <c r="N43" s="136"/>
      <c r="O43" s="136"/>
      <c r="P43" s="136"/>
      <c r="Q43" s="136"/>
      <c r="R43" s="136"/>
      <c r="S43" s="136"/>
      <c r="T43" s="136"/>
      <c r="U43" s="136"/>
      <c r="V43" s="136"/>
      <c r="W43" s="136"/>
      <c r="X43" s="136"/>
      <c r="Y43" s="136"/>
      <c r="Z43" s="136"/>
    </row>
    <row r="44" spans="1:26" ht="14.25" customHeight="1">
      <c r="A44" s="136"/>
      <c r="B44" s="136"/>
      <c r="C44" s="136"/>
      <c r="D44" s="136"/>
      <c r="E44" s="136"/>
      <c r="F44" s="136"/>
      <c r="G44" s="136"/>
      <c r="H44" s="136"/>
      <c r="I44" s="140"/>
      <c r="J44" s="136"/>
      <c r="K44" s="136"/>
      <c r="L44" s="136"/>
      <c r="M44" s="136"/>
      <c r="N44" s="136"/>
      <c r="O44" s="136"/>
      <c r="P44" s="136"/>
      <c r="Q44" s="136"/>
      <c r="R44" s="136"/>
      <c r="S44" s="136"/>
      <c r="T44" s="136"/>
      <c r="U44" s="136"/>
      <c r="V44" s="136"/>
      <c r="W44" s="136"/>
      <c r="X44" s="136"/>
      <c r="Y44" s="136"/>
      <c r="Z44" s="136"/>
    </row>
    <row r="45" spans="1:26" ht="14.25" customHeight="1">
      <c r="A45" s="136"/>
      <c r="B45" s="136"/>
      <c r="C45" s="136"/>
      <c r="D45" s="136"/>
      <c r="E45" s="136"/>
      <c r="F45" s="136"/>
      <c r="G45" s="136"/>
      <c r="H45" s="136"/>
      <c r="I45" s="140"/>
      <c r="J45" s="136"/>
      <c r="K45" s="136"/>
      <c r="L45" s="136"/>
      <c r="M45" s="136"/>
      <c r="N45" s="136"/>
      <c r="O45" s="136"/>
      <c r="P45" s="136"/>
      <c r="Q45" s="136"/>
      <c r="R45" s="136"/>
      <c r="S45" s="136"/>
      <c r="T45" s="136"/>
      <c r="U45" s="136"/>
      <c r="V45" s="136"/>
      <c r="W45" s="136"/>
      <c r="X45" s="136"/>
      <c r="Y45" s="136"/>
      <c r="Z45" s="136"/>
    </row>
    <row r="46" spans="1:26" ht="14.25" customHeight="1">
      <c r="A46" s="136"/>
      <c r="B46" s="136"/>
      <c r="C46" s="136"/>
      <c r="D46" s="136"/>
      <c r="E46" s="136"/>
      <c r="F46" s="136"/>
      <c r="G46" s="136"/>
      <c r="H46" s="136"/>
      <c r="I46" s="140"/>
      <c r="J46" s="136"/>
      <c r="K46" s="136"/>
      <c r="L46" s="136"/>
      <c r="M46" s="136"/>
      <c r="N46" s="136"/>
      <c r="O46" s="136"/>
      <c r="P46" s="136"/>
      <c r="Q46" s="136"/>
      <c r="R46" s="136"/>
      <c r="S46" s="136"/>
      <c r="T46" s="136"/>
      <c r="U46" s="136"/>
      <c r="V46" s="136"/>
      <c r="W46" s="136"/>
      <c r="X46" s="136"/>
      <c r="Y46" s="136"/>
      <c r="Z46" s="136"/>
    </row>
    <row r="47" spans="1:26" ht="14.25" customHeight="1">
      <c r="A47" s="136"/>
      <c r="B47" s="136"/>
      <c r="C47" s="136"/>
      <c r="D47" s="136"/>
      <c r="E47" s="136"/>
      <c r="F47" s="136"/>
      <c r="G47" s="136"/>
      <c r="H47" s="136"/>
      <c r="I47" s="140"/>
      <c r="J47" s="136"/>
      <c r="K47" s="136"/>
      <c r="L47" s="136"/>
      <c r="M47" s="136"/>
      <c r="N47" s="136"/>
      <c r="O47" s="136"/>
      <c r="P47" s="136"/>
      <c r="Q47" s="136"/>
      <c r="R47" s="136"/>
      <c r="S47" s="136"/>
      <c r="T47" s="136"/>
      <c r="U47" s="136"/>
      <c r="V47" s="136"/>
      <c r="W47" s="136"/>
      <c r="X47" s="136"/>
      <c r="Y47" s="136"/>
      <c r="Z47" s="136"/>
    </row>
    <row r="48" spans="1:26" ht="14.25" customHeight="1">
      <c r="A48" s="136"/>
      <c r="B48" s="136"/>
      <c r="C48" s="136"/>
      <c r="D48" s="136"/>
      <c r="E48" s="136"/>
      <c r="F48" s="136"/>
      <c r="G48" s="136"/>
      <c r="H48" s="136"/>
      <c r="I48" s="140"/>
      <c r="J48" s="136"/>
      <c r="K48" s="136"/>
      <c r="L48" s="136"/>
      <c r="M48" s="136"/>
      <c r="N48" s="136"/>
      <c r="O48" s="136"/>
      <c r="P48" s="136"/>
      <c r="Q48" s="136"/>
      <c r="R48" s="136"/>
      <c r="S48" s="136"/>
      <c r="T48" s="136"/>
      <c r="U48" s="136"/>
      <c r="V48" s="136"/>
      <c r="W48" s="136"/>
      <c r="X48" s="136"/>
      <c r="Y48" s="136"/>
      <c r="Z48" s="136"/>
    </row>
    <row r="49" spans="1:26" ht="14.25" customHeight="1">
      <c r="A49" s="136"/>
      <c r="B49" s="136"/>
      <c r="C49" s="136"/>
      <c r="D49" s="136"/>
      <c r="E49" s="136"/>
      <c r="F49" s="136"/>
      <c r="G49" s="136"/>
      <c r="H49" s="136"/>
      <c r="I49" s="140"/>
      <c r="J49" s="136"/>
      <c r="K49" s="136"/>
      <c r="L49" s="136"/>
      <c r="M49" s="136"/>
      <c r="N49" s="136"/>
      <c r="O49" s="136"/>
      <c r="P49" s="136"/>
      <c r="Q49" s="136"/>
      <c r="R49" s="136"/>
      <c r="S49" s="136"/>
      <c r="T49" s="136"/>
      <c r="U49" s="136"/>
      <c r="V49" s="136"/>
      <c r="W49" s="136"/>
      <c r="X49" s="136"/>
      <c r="Y49" s="136"/>
      <c r="Z49" s="136"/>
    </row>
    <row r="50" spans="1:26" ht="14.25" customHeight="1">
      <c r="A50" s="136"/>
      <c r="B50" s="136"/>
      <c r="C50" s="136"/>
      <c r="D50" s="136"/>
      <c r="E50" s="136"/>
      <c r="F50" s="136"/>
      <c r="G50" s="136"/>
      <c r="H50" s="136"/>
      <c r="I50" s="140"/>
      <c r="J50" s="136"/>
      <c r="K50" s="136"/>
      <c r="L50" s="136"/>
      <c r="M50" s="136"/>
      <c r="N50" s="136"/>
      <c r="O50" s="136"/>
      <c r="P50" s="136"/>
      <c r="Q50" s="136"/>
      <c r="R50" s="136"/>
      <c r="S50" s="136"/>
      <c r="T50" s="136"/>
      <c r="U50" s="136"/>
      <c r="V50" s="136"/>
      <c r="W50" s="136"/>
      <c r="X50" s="136"/>
      <c r="Y50" s="136"/>
      <c r="Z50" s="136"/>
    </row>
    <row r="51" spans="1:26" ht="14.25" customHeight="1">
      <c r="A51" s="136"/>
      <c r="B51" s="136"/>
      <c r="C51" s="136"/>
      <c r="D51" s="136"/>
      <c r="E51" s="136"/>
      <c r="F51" s="136"/>
      <c r="G51" s="136"/>
      <c r="H51" s="136"/>
      <c r="I51" s="140"/>
      <c r="J51" s="136"/>
      <c r="K51" s="136"/>
      <c r="L51" s="136"/>
      <c r="M51" s="136"/>
      <c r="N51" s="136"/>
      <c r="O51" s="136"/>
      <c r="P51" s="136"/>
      <c r="Q51" s="136"/>
      <c r="R51" s="136"/>
      <c r="S51" s="136"/>
      <c r="T51" s="136"/>
      <c r="U51" s="136"/>
      <c r="V51" s="136"/>
      <c r="W51" s="136"/>
      <c r="X51" s="136"/>
      <c r="Y51" s="136"/>
      <c r="Z51" s="136"/>
    </row>
    <row r="52" spans="1:26" ht="14.25" customHeight="1">
      <c r="A52" s="136"/>
      <c r="B52" s="136"/>
      <c r="C52" s="136"/>
      <c r="D52" s="136"/>
      <c r="E52" s="136"/>
      <c r="F52" s="136"/>
      <c r="G52" s="136"/>
      <c r="H52" s="136"/>
      <c r="I52" s="140"/>
      <c r="J52" s="136"/>
      <c r="K52" s="136"/>
      <c r="L52" s="136"/>
      <c r="M52" s="136"/>
      <c r="N52" s="136"/>
      <c r="O52" s="136"/>
      <c r="P52" s="136"/>
      <c r="Q52" s="136"/>
      <c r="R52" s="136"/>
      <c r="S52" s="136"/>
      <c r="T52" s="136"/>
      <c r="U52" s="136"/>
      <c r="V52" s="136"/>
      <c r="W52" s="136"/>
      <c r="X52" s="136"/>
      <c r="Y52" s="136"/>
      <c r="Z52" s="136"/>
    </row>
    <row r="53" spans="1:26" ht="14.25" customHeight="1">
      <c r="A53" s="136"/>
      <c r="B53" s="136"/>
      <c r="C53" s="136"/>
      <c r="D53" s="136"/>
      <c r="E53" s="136"/>
      <c r="F53" s="136"/>
      <c r="G53" s="136"/>
      <c r="H53" s="136"/>
      <c r="I53" s="140"/>
      <c r="J53" s="136"/>
      <c r="K53" s="136"/>
      <c r="L53" s="136"/>
      <c r="M53" s="136"/>
      <c r="N53" s="136"/>
      <c r="O53" s="136"/>
      <c r="P53" s="136"/>
      <c r="Q53" s="136"/>
      <c r="R53" s="136"/>
      <c r="S53" s="136"/>
      <c r="T53" s="136"/>
      <c r="U53" s="136"/>
      <c r="V53" s="136"/>
      <c r="W53" s="136"/>
      <c r="X53" s="136"/>
      <c r="Y53" s="136"/>
      <c r="Z53" s="136"/>
    </row>
    <row r="54" spans="1:26" ht="14.25" customHeight="1">
      <c r="A54" s="136"/>
      <c r="B54" s="136"/>
      <c r="C54" s="136"/>
      <c r="D54" s="136"/>
      <c r="E54" s="136"/>
      <c r="F54" s="136"/>
      <c r="G54" s="136"/>
      <c r="H54" s="136"/>
      <c r="I54" s="140"/>
      <c r="J54" s="136"/>
      <c r="K54" s="136"/>
      <c r="L54" s="136"/>
      <c r="M54" s="136"/>
      <c r="N54" s="136"/>
      <c r="O54" s="136"/>
      <c r="P54" s="136"/>
      <c r="Q54" s="136"/>
      <c r="R54" s="136"/>
      <c r="S54" s="136"/>
      <c r="T54" s="136"/>
      <c r="U54" s="136"/>
      <c r="V54" s="136"/>
      <c r="W54" s="136"/>
      <c r="X54" s="136"/>
      <c r="Y54" s="136"/>
      <c r="Z54" s="136"/>
    </row>
    <row r="55" spans="1:26" ht="14.25" customHeight="1">
      <c r="A55" s="136"/>
      <c r="B55" s="136"/>
      <c r="C55" s="136"/>
      <c r="D55" s="136"/>
      <c r="E55" s="136"/>
      <c r="F55" s="136"/>
      <c r="G55" s="136"/>
      <c r="H55" s="136"/>
      <c r="I55" s="140"/>
      <c r="J55" s="136"/>
      <c r="K55" s="136"/>
      <c r="L55" s="136"/>
      <c r="M55" s="136"/>
      <c r="N55" s="136"/>
      <c r="O55" s="136"/>
      <c r="P55" s="136"/>
      <c r="Q55" s="136"/>
      <c r="R55" s="136"/>
      <c r="S55" s="136"/>
      <c r="T55" s="136"/>
      <c r="U55" s="136"/>
      <c r="V55" s="136"/>
      <c r="W55" s="136"/>
      <c r="X55" s="136"/>
      <c r="Y55" s="136"/>
      <c r="Z55" s="136"/>
    </row>
    <row r="56" spans="1:26" ht="14.25" customHeight="1">
      <c r="A56" s="136"/>
      <c r="B56" s="136"/>
      <c r="C56" s="136"/>
      <c r="D56" s="136"/>
      <c r="E56" s="136"/>
      <c r="F56" s="136"/>
      <c r="G56" s="136"/>
      <c r="H56" s="136"/>
      <c r="I56" s="140"/>
      <c r="J56" s="136"/>
      <c r="K56" s="136"/>
      <c r="L56" s="136"/>
      <c r="M56" s="136"/>
      <c r="N56" s="136"/>
      <c r="O56" s="136"/>
      <c r="P56" s="136"/>
      <c r="Q56" s="136"/>
      <c r="R56" s="136"/>
      <c r="S56" s="136"/>
      <c r="T56" s="136"/>
      <c r="U56" s="136"/>
      <c r="V56" s="136"/>
      <c r="W56" s="136"/>
      <c r="X56" s="136"/>
      <c r="Y56" s="136"/>
      <c r="Z56" s="136"/>
    </row>
    <row r="57" spans="1:26" ht="14.25" customHeight="1">
      <c r="A57" s="136"/>
      <c r="B57" s="136"/>
      <c r="C57" s="136"/>
      <c r="D57" s="136"/>
      <c r="E57" s="136"/>
      <c r="F57" s="136"/>
      <c r="G57" s="136"/>
      <c r="H57" s="136"/>
      <c r="I57" s="140"/>
      <c r="J57" s="136"/>
      <c r="K57" s="136"/>
      <c r="L57" s="136"/>
      <c r="M57" s="136"/>
      <c r="N57" s="136"/>
      <c r="O57" s="136"/>
      <c r="P57" s="136"/>
      <c r="Q57" s="136"/>
      <c r="R57" s="136"/>
      <c r="S57" s="136"/>
      <c r="T57" s="136"/>
      <c r="U57" s="136"/>
      <c r="V57" s="136"/>
      <c r="W57" s="136"/>
      <c r="X57" s="136"/>
      <c r="Y57" s="136"/>
      <c r="Z57" s="136"/>
    </row>
    <row r="58" spans="1:26" ht="14.25" customHeight="1">
      <c r="A58" s="136"/>
      <c r="B58" s="136"/>
      <c r="C58" s="136"/>
      <c r="D58" s="136"/>
      <c r="E58" s="136"/>
      <c r="F58" s="136"/>
      <c r="G58" s="136"/>
      <c r="H58" s="136"/>
      <c r="I58" s="140"/>
      <c r="J58" s="136"/>
      <c r="K58" s="136"/>
      <c r="L58" s="136"/>
      <c r="M58" s="136"/>
      <c r="N58" s="136"/>
      <c r="O58" s="136"/>
      <c r="P58" s="136"/>
      <c r="Q58" s="136"/>
      <c r="R58" s="136"/>
      <c r="S58" s="136"/>
      <c r="T58" s="136"/>
      <c r="U58" s="136"/>
      <c r="V58" s="136"/>
      <c r="W58" s="136"/>
      <c r="X58" s="136"/>
      <c r="Y58" s="136"/>
      <c r="Z58" s="136"/>
    </row>
    <row r="59" spans="1:26" ht="14.25" customHeight="1">
      <c r="A59" s="136"/>
      <c r="B59" s="136"/>
      <c r="C59" s="136"/>
      <c r="D59" s="136"/>
      <c r="E59" s="136"/>
      <c r="F59" s="136"/>
      <c r="G59" s="136"/>
      <c r="H59" s="136"/>
      <c r="I59" s="140"/>
      <c r="J59" s="136"/>
      <c r="K59" s="136"/>
      <c r="L59" s="136"/>
      <c r="M59" s="136"/>
      <c r="N59" s="136"/>
      <c r="O59" s="136"/>
      <c r="P59" s="136"/>
      <c r="Q59" s="136"/>
      <c r="R59" s="136"/>
      <c r="S59" s="136"/>
      <c r="T59" s="136"/>
      <c r="U59" s="136"/>
      <c r="V59" s="136"/>
      <c r="W59" s="136"/>
      <c r="X59" s="136"/>
      <c r="Y59" s="136"/>
      <c r="Z59" s="136"/>
    </row>
    <row r="60" spans="1:26" ht="14.25" customHeight="1">
      <c r="A60" s="136"/>
      <c r="B60" s="136"/>
      <c r="C60" s="136"/>
      <c r="D60" s="136"/>
      <c r="E60" s="136"/>
      <c r="F60" s="136"/>
      <c r="G60" s="136"/>
      <c r="H60" s="136"/>
      <c r="I60" s="140"/>
      <c r="J60" s="136"/>
      <c r="K60" s="136"/>
      <c r="L60" s="136"/>
      <c r="M60" s="136"/>
      <c r="N60" s="136"/>
      <c r="O60" s="136"/>
      <c r="P60" s="136"/>
      <c r="Q60" s="136"/>
      <c r="R60" s="136"/>
      <c r="S60" s="136"/>
      <c r="T60" s="136"/>
      <c r="U60" s="136"/>
      <c r="V60" s="136"/>
      <c r="W60" s="136"/>
      <c r="X60" s="136"/>
      <c r="Y60" s="136"/>
      <c r="Z60" s="136"/>
    </row>
    <row r="61" spans="1:26" ht="14.25" customHeight="1">
      <c r="A61" s="136"/>
      <c r="B61" s="136"/>
      <c r="C61" s="136"/>
      <c r="D61" s="136"/>
      <c r="E61" s="136"/>
      <c r="F61" s="136"/>
      <c r="G61" s="136"/>
      <c r="H61" s="136"/>
      <c r="I61" s="140"/>
      <c r="J61" s="136"/>
      <c r="K61" s="136"/>
      <c r="L61" s="136"/>
      <c r="M61" s="136"/>
      <c r="N61" s="136"/>
      <c r="O61" s="136"/>
      <c r="P61" s="136"/>
      <c r="Q61" s="136"/>
      <c r="R61" s="136"/>
      <c r="S61" s="136"/>
      <c r="T61" s="136"/>
      <c r="U61" s="136"/>
      <c r="V61" s="136"/>
      <c r="W61" s="136"/>
      <c r="X61" s="136"/>
      <c r="Y61" s="136"/>
      <c r="Z61" s="136"/>
    </row>
    <row r="62" spans="1:26" ht="14.25" customHeight="1">
      <c r="A62" s="136"/>
      <c r="B62" s="136"/>
      <c r="C62" s="136"/>
      <c r="D62" s="136"/>
      <c r="E62" s="136"/>
      <c r="F62" s="136"/>
      <c r="G62" s="136"/>
      <c r="H62" s="136"/>
      <c r="I62" s="140"/>
      <c r="J62" s="136"/>
      <c r="K62" s="136"/>
      <c r="L62" s="136"/>
      <c r="M62" s="136"/>
      <c r="N62" s="136"/>
      <c r="O62" s="136"/>
      <c r="P62" s="136"/>
      <c r="Q62" s="136"/>
      <c r="R62" s="136"/>
      <c r="S62" s="136"/>
      <c r="T62" s="136"/>
      <c r="U62" s="136"/>
      <c r="V62" s="136"/>
      <c r="W62" s="136"/>
      <c r="X62" s="136"/>
      <c r="Y62" s="136"/>
      <c r="Z62" s="136"/>
    </row>
    <row r="63" spans="1:26" ht="14.25" customHeight="1">
      <c r="A63" s="136"/>
      <c r="B63" s="136"/>
      <c r="C63" s="136"/>
      <c r="D63" s="136"/>
      <c r="E63" s="136"/>
      <c r="F63" s="136"/>
      <c r="G63" s="136"/>
      <c r="H63" s="136"/>
      <c r="I63" s="140"/>
      <c r="J63" s="136"/>
      <c r="K63" s="136"/>
      <c r="L63" s="136"/>
      <c r="M63" s="136"/>
      <c r="N63" s="136"/>
      <c r="O63" s="136"/>
      <c r="P63" s="136"/>
      <c r="Q63" s="136"/>
      <c r="R63" s="136"/>
      <c r="S63" s="136"/>
      <c r="T63" s="136"/>
      <c r="U63" s="136"/>
      <c r="V63" s="136"/>
      <c r="W63" s="136"/>
      <c r="X63" s="136"/>
      <c r="Y63" s="136"/>
      <c r="Z63" s="136"/>
    </row>
    <row r="64" spans="1:26" ht="14.25" customHeight="1">
      <c r="A64" s="136"/>
      <c r="B64" s="136"/>
      <c r="C64" s="136"/>
      <c r="D64" s="136"/>
      <c r="E64" s="136"/>
      <c r="F64" s="136"/>
      <c r="G64" s="136"/>
      <c r="H64" s="136"/>
      <c r="I64" s="140"/>
      <c r="J64" s="136"/>
      <c r="K64" s="136"/>
      <c r="L64" s="136"/>
      <c r="M64" s="136"/>
      <c r="N64" s="136"/>
      <c r="O64" s="136"/>
      <c r="P64" s="136"/>
      <c r="Q64" s="136"/>
      <c r="R64" s="136"/>
      <c r="S64" s="136"/>
      <c r="T64" s="136"/>
      <c r="U64" s="136"/>
      <c r="V64" s="136"/>
      <c r="W64" s="136"/>
      <c r="X64" s="136"/>
      <c r="Y64" s="136"/>
      <c r="Z64" s="136"/>
    </row>
    <row r="65" spans="1:26" ht="14.25" customHeight="1">
      <c r="A65" s="136"/>
      <c r="B65" s="136"/>
      <c r="C65" s="136"/>
      <c r="D65" s="136"/>
      <c r="E65" s="136"/>
      <c r="F65" s="136"/>
      <c r="G65" s="136"/>
      <c r="H65" s="136"/>
      <c r="I65" s="140"/>
      <c r="J65" s="136"/>
      <c r="K65" s="136"/>
      <c r="L65" s="136"/>
      <c r="M65" s="136"/>
      <c r="N65" s="136"/>
      <c r="O65" s="136"/>
      <c r="P65" s="136"/>
      <c r="Q65" s="136"/>
      <c r="R65" s="136"/>
      <c r="S65" s="136"/>
      <c r="T65" s="136"/>
      <c r="U65" s="136"/>
      <c r="V65" s="136"/>
      <c r="W65" s="136"/>
      <c r="X65" s="136"/>
      <c r="Y65" s="136"/>
      <c r="Z65" s="136"/>
    </row>
    <row r="66" spans="1:26" ht="14.25" customHeight="1">
      <c r="A66" s="136"/>
      <c r="B66" s="136"/>
      <c r="C66" s="136"/>
      <c r="D66" s="136"/>
      <c r="E66" s="136"/>
      <c r="F66" s="136"/>
      <c r="G66" s="136"/>
      <c r="H66" s="136"/>
      <c r="I66" s="140"/>
      <c r="J66" s="136"/>
      <c r="K66" s="136"/>
      <c r="L66" s="136"/>
      <c r="M66" s="136"/>
      <c r="N66" s="136"/>
      <c r="O66" s="136"/>
      <c r="P66" s="136"/>
      <c r="Q66" s="136"/>
      <c r="R66" s="136"/>
      <c r="S66" s="136"/>
      <c r="T66" s="136"/>
      <c r="U66" s="136"/>
      <c r="V66" s="136"/>
      <c r="W66" s="136"/>
      <c r="X66" s="136"/>
      <c r="Y66" s="136"/>
      <c r="Z66" s="136"/>
    </row>
    <row r="67" spans="1:26" ht="14.25" customHeight="1">
      <c r="A67" s="136"/>
      <c r="B67" s="136"/>
      <c r="C67" s="136"/>
      <c r="D67" s="136"/>
      <c r="E67" s="136"/>
      <c r="F67" s="136"/>
      <c r="G67" s="136"/>
      <c r="H67" s="136"/>
      <c r="I67" s="140"/>
      <c r="J67" s="136"/>
      <c r="K67" s="136"/>
      <c r="L67" s="136"/>
      <c r="M67" s="136"/>
      <c r="N67" s="136"/>
      <c r="O67" s="136"/>
      <c r="P67" s="136"/>
      <c r="Q67" s="136"/>
      <c r="R67" s="136"/>
      <c r="S67" s="136"/>
      <c r="T67" s="136"/>
      <c r="U67" s="136"/>
      <c r="V67" s="136"/>
      <c r="W67" s="136"/>
      <c r="X67" s="136"/>
      <c r="Y67" s="136"/>
      <c r="Z67" s="136"/>
    </row>
    <row r="68" spans="1:26" ht="14.25" customHeight="1">
      <c r="A68" s="136"/>
      <c r="B68" s="136"/>
      <c r="C68" s="136"/>
      <c r="D68" s="136"/>
      <c r="E68" s="136"/>
      <c r="F68" s="136"/>
      <c r="G68" s="136"/>
      <c r="H68" s="136"/>
      <c r="I68" s="140"/>
      <c r="J68" s="136"/>
      <c r="K68" s="136"/>
      <c r="L68" s="136"/>
      <c r="M68" s="136"/>
      <c r="N68" s="136"/>
      <c r="O68" s="136"/>
      <c r="P68" s="136"/>
      <c r="Q68" s="136"/>
      <c r="R68" s="136"/>
      <c r="S68" s="136"/>
      <c r="T68" s="136"/>
      <c r="U68" s="136"/>
      <c r="V68" s="136"/>
      <c r="W68" s="136"/>
      <c r="X68" s="136"/>
      <c r="Y68" s="136"/>
      <c r="Z68" s="136"/>
    </row>
    <row r="69" spans="1:26" ht="14.25" customHeight="1">
      <c r="A69" s="136"/>
      <c r="B69" s="136"/>
      <c r="C69" s="136"/>
      <c r="D69" s="136"/>
      <c r="E69" s="136"/>
      <c r="F69" s="136"/>
      <c r="G69" s="136"/>
      <c r="H69" s="136"/>
      <c r="I69" s="140"/>
      <c r="J69" s="136"/>
      <c r="K69" s="136"/>
      <c r="L69" s="136"/>
      <c r="M69" s="136"/>
      <c r="N69" s="136"/>
      <c r="O69" s="136"/>
      <c r="P69" s="136"/>
      <c r="Q69" s="136"/>
      <c r="R69" s="136"/>
      <c r="S69" s="136"/>
      <c r="T69" s="136"/>
      <c r="U69" s="136"/>
      <c r="V69" s="136"/>
      <c r="W69" s="136"/>
      <c r="X69" s="136"/>
      <c r="Y69" s="136"/>
      <c r="Z69" s="136"/>
    </row>
    <row r="70" spans="1:26" ht="14.25" customHeight="1">
      <c r="A70" s="136"/>
      <c r="B70" s="136"/>
      <c r="C70" s="136"/>
      <c r="D70" s="136"/>
      <c r="E70" s="136"/>
      <c r="F70" s="136"/>
      <c r="G70" s="136"/>
      <c r="H70" s="136"/>
      <c r="I70" s="140"/>
      <c r="J70" s="136"/>
      <c r="K70" s="136"/>
      <c r="L70" s="136"/>
      <c r="M70" s="136"/>
      <c r="N70" s="136"/>
      <c r="O70" s="136"/>
      <c r="P70" s="136"/>
      <c r="Q70" s="136"/>
      <c r="R70" s="136"/>
      <c r="S70" s="136"/>
      <c r="T70" s="136"/>
      <c r="U70" s="136"/>
      <c r="V70" s="136"/>
      <c r="W70" s="136"/>
      <c r="X70" s="136"/>
      <c r="Y70" s="136"/>
      <c r="Z70" s="136"/>
    </row>
    <row r="71" spans="1:26" ht="14.25" customHeight="1">
      <c r="A71" s="136"/>
      <c r="B71" s="136"/>
      <c r="C71" s="136"/>
      <c r="D71" s="136"/>
      <c r="E71" s="136"/>
      <c r="F71" s="136"/>
      <c r="G71" s="136"/>
      <c r="H71" s="136"/>
      <c r="I71" s="140"/>
      <c r="J71" s="136"/>
      <c r="K71" s="136"/>
      <c r="L71" s="136"/>
      <c r="M71" s="136"/>
      <c r="N71" s="136"/>
      <c r="O71" s="136"/>
      <c r="P71" s="136"/>
      <c r="Q71" s="136"/>
      <c r="R71" s="136"/>
      <c r="S71" s="136"/>
      <c r="T71" s="136"/>
      <c r="U71" s="136"/>
      <c r="V71" s="136"/>
      <c r="W71" s="136"/>
      <c r="X71" s="136"/>
      <c r="Y71" s="136"/>
      <c r="Z71" s="136"/>
    </row>
    <row r="72" spans="1:26" ht="14.25" customHeight="1">
      <c r="A72" s="136"/>
      <c r="B72" s="136"/>
      <c r="C72" s="136"/>
      <c r="D72" s="136"/>
      <c r="E72" s="136"/>
      <c r="F72" s="136"/>
      <c r="G72" s="136"/>
      <c r="H72" s="136"/>
      <c r="I72" s="140"/>
      <c r="J72" s="136"/>
      <c r="K72" s="136"/>
      <c r="L72" s="136"/>
      <c r="M72" s="136"/>
      <c r="N72" s="136"/>
      <c r="O72" s="136"/>
      <c r="P72" s="136"/>
      <c r="Q72" s="136"/>
      <c r="R72" s="136"/>
      <c r="S72" s="136"/>
      <c r="T72" s="136"/>
      <c r="U72" s="136"/>
      <c r="V72" s="136"/>
      <c r="W72" s="136"/>
      <c r="X72" s="136"/>
      <c r="Y72" s="136"/>
      <c r="Z72" s="136"/>
    </row>
    <row r="73" spans="1:26" ht="14.25" customHeight="1">
      <c r="A73" s="136"/>
      <c r="B73" s="136"/>
      <c r="C73" s="136"/>
      <c r="D73" s="136"/>
      <c r="E73" s="136"/>
      <c r="F73" s="136"/>
      <c r="G73" s="136"/>
      <c r="H73" s="136"/>
      <c r="I73" s="140"/>
      <c r="J73" s="136"/>
      <c r="K73" s="136"/>
      <c r="L73" s="136"/>
      <c r="M73" s="136"/>
      <c r="N73" s="136"/>
      <c r="O73" s="136"/>
      <c r="P73" s="136"/>
      <c r="Q73" s="136"/>
      <c r="R73" s="136"/>
      <c r="S73" s="136"/>
      <c r="T73" s="136"/>
      <c r="U73" s="136"/>
      <c r="V73" s="136"/>
      <c r="W73" s="136"/>
      <c r="X73" s="136"/>
      <c r="Y73" s="136"/>
      <c r="Z73" s="136"/>
    </row>
    <row r="74" spans="1:26" ht="14.25" customHeight="1">
      <c r="A74" s="136"/>
      <c r="B74" s="136"/>
      <c r="C74" s="136"/>
      <c r="D74" s="136"/>
      <c r="E74" s="136"/>
      <c r="F74" s="136"/>
      <c r="G74" s="136"/>
      <c r="H74" s="136"/>
      <c r="I74" s="140"/>
      <c r="J74" s="136"/>
      <c r="K74" s="136"/>
      <c r="L74" s="136"/>
      <c r="M74" s="136"/>
      <c r="N74" s="136"/>
      <c r="O74" s="136"/>
      <c r="P74" s="136"/>
      <c r="Q74" s="136"/>
      <c r="R74" s="136"/>
      <c r="S74" s="136"/>
      <c r="T74" s="136"/>
      <c r="U74" s="136"/>
      <c r="V74" s="136"/>
      <c r="W74" s="136"/>
      <c r="X74" s="136"/>
      <c r="Y74" s="136"/>
      <c r="Z74" s="136"/>
    </row>
    <row r="75" spans="1:26" ht="14.25" customHeight="1">
      <c r="A75" s="136"/>
      <c r="B75" s="136"/>
      <c r="C75" s="136"/>
      <c r="D75" s="136"/>
      <c r="E75" s="136"/>
      <c r="F75" s="136"/>
      <c r="G75" s="136"/>
      <c r="H75" s="136"/>
      <c r="I75" s="140"/>
      <c r="J75" s="136"/>
      <c r="K75" s="136"/>
      <c r="L75" s="136"/>
      <c r="M75" s="136"/>
      <c r="N75" s="136"/>
      <c r="O75" s="136"/>
      <c r="P75" s="136"/>
      <c r="Q75" s="136"/>
      <c r="R75" s="136"/>
      <c r="S75" s="136"/>
      <c r="T75" s="136"/>
      <c r="U75" s="136"/>
      <c r="V75" s="136"/>
      <c r="W75" s="136"/>
      <c r="X75" s="136"/>
      <c r="Y75" s="136"/>
      <c r="Z75" s="136"/>
    </row>
    <row r="76" spans="1:26" ht="14.25" customHeight="1">
      <c r="A76" s="136"/>
      <c r="B76" s="136"/>
      <c r="C76" s="136"/>
      <c r="D76" s="136"/>
      <c r="E76" s="136"/>
      <c r="F76" s="136"/>
      <c r="G76" s="136"/>
      <c r="H76" s="136"/>
      <c r="I76" s="140"/>
      <c r="J76" s="136"/>
      <c r="K76" s="136"/>
      <c r="L76" s="136"/>
      <c r="M76" s="136"/>
      <c r="N76" s="136"/>
      <c r="O76" s="136"/>
      <c r="P76" s="136"/>
      <c r="Q76" s="136"/>
      <c r="R76" s="136"/>
      <c r="S76" s="136"/>
      <c r="T76" s="136"/>
      <c r="U76" s="136"/>
      <c r="V76" s="136"/>
      <c r="W76" s="136"/>
      <c r="X76" s="136"/>
      <c r="Y76" s="136"/>
      <c r="Z76" s="136"/>
    </row>
    <row r="77" spans="1:26" ht="14.25" customHeight="1">
      <c r="A77" s="136"/>
      <c r="B77" s="136"/>
      <c r="C77" s="136"/>
      <c r="D77" s="136"/>
      <c r="E77" s="136"/>
      <c r="F77" s="136"/>
      <c r="G77" s="136"/>
      <c r="H77" s="136"/>
      <c r="I77" s="140"/>
      <c r="J77" s="136"/>
      <c r="K77" s="136"/>
      <c r="L77" s="136"/>
      <c r="M77" s="136"/>
      <c r="N77" s="136"/>
      <c r="O77" s="136"/>
      <c r="P77" s="136"/>
      <c r="Q77" s="136"/>
      <c r="R77" s="136"/>
      <c r="S77" s="136"/>
      <c r="T77" s="136"/>
      <c r="U77" s="136"/>
      <c r="V77" s="136"/>
      <c r="W77" s="136"/>
      <c r="X77" s="136"/>
      <c r="Y77" s="136"/>
      <c r="Z77" s="136"/>
    </row>
    <row r="78" spans="1:26" ht="14.25" customHeight="1">
      <c r="A78" s="136"/>
      <c r="B78" s="136"/>
      <c r="C78" s="136"/>
      <c r="D78" s="136"/>
      <c r="E78" s="136"/>
      <c r="F78" s="136"/>
      <c r="G78" s="136"/>
      <c r="H78" s="136"/>
      <c r="I78" s="140"/>
      <c r="J78" s="136"/>
      <c r="K78" s="136"/>
      <c r="L78" s="136"/>
      <c r="M78" s="136"/>
      <c r="N78" s="136"/>
      <c r="O78" s="136"/>
      <c r="P78" s="136"/>
      <c r="Q78" s="136"/>
      <c r="R78" s="136"/>
      <c r="S78" s="136"/>
      <c r="T78" s="136"/>
      <c r="U78" s="136"/>
      <c r="V78" s="136"/>
      <c r="W78" s="136"/>
      <c r="X78" s="136"/>
      <c r="Y78" s="136"/>
      <c r="Z78" s="136"/>
    </row>
    <row r="79" spans="1:26" ht="14.25" customHeight="1">
      <c r="A79" s="136"/>
      <c r="B79" s="136"/>
      <c r="C79" s="136"/>
      <c r="D79" s="136"/>
      <c r="E79" s="136"/>
      <c r="F79" s="136"/>
      <c r="G79" s="136"/>
      <c r="H79" s="136"/>
      <c r="I79" s="140"/>
      <c r="J79" s="136"/>
      <c r="K79" s="136"/>
      <c r="L79" s="136"/>
      <c r="M79" s="136"/>
      <c r="N79" s="136"/>
      <c r="O79" s="136"/>
      <c r="P79" s="136"/>
      <c r="Q79" s="136"/>
      <c r="R79" s="136"/>
      <c r="S79" s="136"/>
      <c r="T79" s="136"/>
      <c r="U79" s="136"/>
      <c r="V79" s="136"/>
      <c r="W79" s="136"/>
      <c r="X79" s="136"/>
      <c r="Y79" s="136"/>
      <c r="Z79" s="136"/>
    </row>
    <row r="80" spans="1:26" ht="14.25" customHeight="1">
      <c r="A80" s="136"/>
      <c r="B80" s="136"/>
      <c r="C80" s="136"/>
      <c r="D80" s="136"/>
      <c r="E80" s="136"/>
      <c r="F80" s="136"/>
      <c r="G80" s="136"/>
      <c r="H80" s="136"/>
      <c r="I80" s="140"/>
      <c r="J80" s="136"/>
      <c r="K80" s="136"/>
      <c r="L80" s="136"/>
      <c r="M80" s="136"/>
      <c r="N80" s="136"/>
      <c r="O80" s="136"/>
      <c r="P80" s="136"/>
      <c r="Q80" s="136"/>
      <c r="R80" s="136"/>
      <c r="S80" s="136"/>
      <c r="T80" s="136"/>
      <c r="U80" s="136"/>
      <c r="V80" s="136"/>
      <c r="W80" s="136"/>
      <c r="X80" s="136"/>
      <c r="Y80" s="136"/>
      <c r="Z80" s="136"/>
    </row>
    <row r="81" spans="1:26" ht="14.25" customHeight="1">
      <c r="A81" s="136"/>
      <c r="B81" s="136"/>
      <c r="C81" s="136"/>
      <c r="D81" s="136"/>
      <c r="E81" s="136"/>
      <c r="F81" s="136"/>
      <c r="G81" s="136"/>
      <c r="H81" s="136"/>
      <c r="I81" s="140"/>
      <c r="J81" s="136"/>
      <c r="K81" s="136"/>
      <c r="L81" s="136"/>
      <c r="M81" s="136"/>
      <c r="N81" s="136"/>
      <c r="O81" s="136"/>
      <c r="P81" s="136"/>
      <c r="Q81" s="136"/>
      <c r="R81" s="136"/>
      <c r="S81" s="136"/>
      <c r="T81" s="136"/>
      <c r="U81" s="136"/>
      <c r="V81" s="136"/>
      <c r="W81" s="136"/>
      <c r="X81" s="136"/>
      <c r="Y81" s="136"/>
      <c r="Z81" s="136"/>
    </row>
    <row r="82" spans="1:26" ht="14.25" customHeight="1">
      <c r="A82" s="136"/>
      <c r="B82" s="136"/>
      <c r="C82" s="136"/>
      <c r="D82" s="136"/>
      <c r="E82" s="136"/>
      <c r="F82" s="136"/>
      <c r="G82" s="136"/>
      <c r="H82" s="136"/>
      <c r="I82" s="140"/>
      <c r="J82" s="136"/>
      <c r="K82" s="136"/>
      <c r="L82" s="136"/>
      <c r="M82" s="136"/>
      <c r="N82" s="136"/>
      <c r="O82" s="136"/>
      <c r="P82" s="136"/>
      <c r="Q82" s="136"/>
      <c r="R82" s="136"/>
      <c r="S82" s="136"/>
      <c r="T82" s="136"/>
      <c r="U82" s="136"/>
      <c r="V82" s="136"/>
      <c r="W82" s="136"/>
      <c r="X82" s="136"/>
      <c r="Y82" s="136"/>
      <c r="Z82" s="136"/>
    </row>
    <row r="83" spans="1:26" ht="14.25" customHeight="1">
      <c r="A83" s="136"/>
      <c r="B83" s="136"/>
      <c r="C83" s="136"/>
      <c r="D83" s="136"/>
      <c r="E83" s="136"/>
      <c r="F83" s="136"/>
      <c r="G83" s="136"/>
      <c r="H83" s="136"/>
      <c r="I83" s="140"/>
      <c r="J83" s="136"/>
      <c r="K83" s="136"/>
      <c r="L83" s="136"/>
      <c r="M83" s="136"/>
      <c r="N83" s="136"/>
      <c r="O83" s="136"/>
      <c r="P83" s="136"/>
      <c r="Q83" s="136"/>
      <c r="R83" s="136"/>
      <c r="S83" s="136"/>
      <c r="T83" s="136"/>
      <c r="U83" s="136"/>
      <c r="V83" s="136"/>
      <c r="W83" s="136"/>
      <c r="X83" s="136"/>
      <c r="Y83" s="136"/>
      <c r="Z83" s="136"/>
    </row>
    <row r="84" spans="1:26" ht="14.25" customHeight="1">
      <c r="A84" s="136"/>
      <c r="B84" s="136"/>
      <c r="C84" s="136"/>
      <c r="D84" s="136"/>
      <c r="E84" s="136"/>
      <c r="F84" s="136"/>
      <c r="G84" s="136"/>
      <c r="H84" s="136"/>
      <c r="I84" s="140"/>
      <c r="J84" s="136"/>
      <c r="K84" s="136"/>
      <c r="L84" s="136"/>
      <c r="M84" s="136"/>
      <c r="N84" s="136"/>
      <c r="O84" s="136"/>
      <c r="P84" s="136"/>
      <c r="Q84" s="136"/>
      <c r="R84" s="136"/>
      <c r="S84" s="136"/>
      <c r="T84" s="136"/>
      <c r="U84" s="136"/>
      <c r="V84" s="136"/>
      <c r="W84" s="136"/>
      <c r="X84" s="136"/>
      <c r="Y84" s="136"/>
      <c r="Z84" s="136"/>
    </row>
    <row r="85" spans="1:26" ht="14.25" customHeight="1">
      <c r="A85" s="136"/>
      <c r="B85" s="136"/>
      <c r="C85" s="136"/>
      <c r="D85" s="136"/>
      <c r="E85" s="136"/>
      <c r="F85" s="136"/>
      <c r="G85" s="136"/>
      <c r="H85" s="136"/>
      <c r="I85" s="140"/>
      <c r="J85" s="136"/>
      <c r="K85" s="136"/>
      <c r="L85" s="136"/>
      <c r="M85" s="136"/>
      <c r="N85" s="136"/>
      <c r="O85" s="136"/>
      <c r="P85" s="136"/>
      <c r="Q85" s="136"/>
      <c r="R85" s="136"/>
      <c r="S85" s="136"/>
      <c r="T85" s="136"/>
      <c r="U85" s="136"/>
      <c r="V85" s="136"/>
      <c r="W85" s="136"/>
      <c r="X85" s="136"/>
      <c r="Y85" s="136"/>
      <c r="Z85" s="136"/>
    </row>
    <row r="86" spans="1:26" ht="14.25" customHeight="1">
      <c r="A86" s="136"/>
      <c r="B86" s="136"/>
      <c r="C86" s="136"/>
      <c r="D86" s="136"/>
      <c r="E86" s="136"/>
      <c r="F86" s="136"/>
      <c r="G86" s="136"/>
      <c r="H86" s="136"/>
      <c r="I86" s="140"/>
      <c r="J86" s="136"/>
      <c r="K86" s="136"/>
      <c r="L86" s="136"/>
      <c r="M86" s="136"/>
      <c r="N86" s="136"/>
      <c r="O86" s="136"/>
      <c r="P86" s="136"/>
      <c r="Q86" s="136"/>
      <c r="R86" s="136"/>
      <c r="S86" s="136"/>
      <c r="T86" s="136"/>
      <c r="U86" s="136"/>
      <c r="V86" s="136"/>
      <c r="W86" s="136"/>
      <c r="X86" s="136"/>
      <c r="Y86" s="136"/>
      <c r="Z86" s="136"/>
    </row>
    <row r="87" spans="1:26" ht="14.25" customHeight="1">
      <c r="A87" s="136"/>
      <c r="B87" s="136"/>
      <c r="C87" s="136"/>
      <c r="D87" s="136"/>
      <c r="E87" s="136"/>
      <c r="F87" s="136"/>
      <c r="G87" s="136"/>
      <c r="H87" s="136"/>
      <c r="I87" s="140"/>
      <c r="J87" s="136"/>
      <c r="K87" s="136"/>
      <c r="L87" s="136"/>
      <c r="M87" s="136"/>
      <c r="N87" s="136"/>
      <c r="O87" s="136"/>
      <c r="P87" s="136"/>
      <c r="Q87" s="136"/>
      <c r="R87" s="136"/>
      <c r="S87" s="136"/>
      <c r="T87" s="136"/>
      <c r="U87" s="136"/>
      <c r="V87" s="136"/>
      <c r="W87" s="136"/>
      <c r="X87" s="136"/>
      <c r="Y87" s="136"/>
      <c r="Z87" s="136"/>
    </row>
    <row r="88" spans="1:26" ht="14.25" customHeight="1">
      <c r="A88" s="136"/>
      <c r="B88" s="136"/>
      <c r="C88" s="136"/>
      <c r="D88" s="136"/>
      <c r="E88" s="136"/>
      <c r="F88" s="136"/>
      <c r="G88" s="136"/>
      <c r="H88" s="136"/>
      <c r="I88" s="140"/>
      <c r="J88" s="136"/>
      <c r="K88" s="136"/>
      <c r="L88" s="136"/>
      <c r="M88" s="136"/>
      <c r="N88" s="136"/>
      <c r="O88" s="136"/>
      <c r="P88" s="136"/>
      <c r="Q88" s="136"/>
      <c r="R88" s="136"/>
      <c r="S88" s="136"/>
      <c r="T88" s="136"/>
      <c r="U88" s="136"/>
      <c r="V88" s="136"/>
      <c r="W88" s="136"/>
      <c r="X88" s="136"/>
      <c r="Y88" s="136"/>
      <c r="Z88" s="136"/>
    </row>
    <row r="89" spans="1:26" ht="14.25" customHeight="1">
      <c r="A89" s="136"/>
      <c r="B89" s="136"/>
      <c r="C89" s="136"/>
      <c r="D89" s="136"/>
      <c r="E89" s="136"/>
      <c r="F89" s="136"/>
      <c r="G89" s="136"/>
      <c r="H89" s="136"/>
      <c r="I89" s="140"/>
      <c r="J89" s="136"/>
      <c r="K89" s="136"/>
      <c r="L89" s="136"/>
      <c r="M89" s="136"/>
      <c r="N89" s="136"/>
      <c r="O89" s="136"/>
      <c r="P89" s="136"/>
      <c r="Q89" s="136"/>
      <c r="R89" s="136"/>
      <c r="S89" s="136"/>
      <c r="T89" s="136"/>
      <c r="U89" s="136"/>
      <c r="V89" s="136"/>
      <c r="W89" s="136"/>
      <c r="X89" s="136"/>
      <c r="Y89" s="136"/>
      <c r="Z89" s="136"/>
    </row>
    <row r="90" spans="1:26" ht="14.25" customHeight="1">
      <c r="A90" s="136"/>
      <c r="B90" s="136"/>
      <c r="C90" s="136"/>
      <c r="D90" s="136"/>
      <c r="E90" s="136"/>
      <c r="F90" s="136"/>
      <c r="G90" s="136"/>
      <c r="H90" s="136"/>
      <c r="I90" s="140"/>
      <c r="J90" s="136"/>
      <c r="K90" s="136"/>
      <c r="L90" s="136"/>
      <c r="M90" s="136"/>
      <c r="N90" s="136"/>
      <c r="O90" s="136"/>
      <c r="P90" s="136"/>
      <c r="Q90" s="136"/>
      <c r="R90" s="136"/>
      <c r="S90" s="136"/>
      <c r="T90" s="136"/>
      <c r="U90" s="136"/>
      <c r="V90" s="136"/>
      <c r="W90" s="136"/>
      <c r="X90" s="136"/>
      <c r="Y90" s="136"/>
      <c r="Z90" s="136"/>
    </row>
    <row r="91" spans="1:26" ht="14.25" customHeight="1">
      <c r="A91" s="136"/>
      <c r="B91" s="136"/>
      <c r="C91" s="136"/>
      <c r="D91" s="136"/>
      <c r="E91" s="136"/>
      <c r="F91" s="136"/>
      <c r="G91" s="136"/>
      <c r="H91" s="136"/>
      <c r="I91" s="140"/>
      <c r="J91" s="136"/>
      <c r="K91" s="136"/>
      <c r="L91" s="136"/>
      <c r="M91" s="136"/>
      <c r="N91" s="136"/>
      <c r="O91" s="136"/>
      <c r="P91" s="136"/>
      <c r="Q91" s="136"/>
      <c r="R91" s="136"/>
      <c r="S91" s="136"/>
      <c r="T91" s="136"/>
      <c r="U91" s="136"/>
      <c r="V91" s="136"/>
      <c r="W91" s="136"/>
      <c r="X91" s="136"/>
      <c r="Y91" s="136"/>
      <c r="Z91" s="136"/>
    </row>
    <row r="92" spans="1:26" ht="14.25" customHeight="1">
      <c r="A92" s="136"/>
      <c r="B92" s="136"/>
      <c r="C92" s="136"/>
      <c r="D92" s="136"/>
      <c r="E92" s="136"/>
      <c r="F92" s="136"/>
      <c r="G92" s="136"/>
      <c r="H92" s="136"/>
      <c r="I92" s="140"/>
      <c r="J92" s="136"/>
      <c r="K92" s="136"/>
      <c r="L92" s="136"/>
      <c r="M92" s="136"/>
      <c r="N92" s="136"/>
      <c r="O92" s="136"/>
      <c r="P92" s="136"/>
      <c r="Q92" s="136"/>
      <c r="R92" s="136"/>
      <c r="S92" s="136"/>
      <c r="T92" s="136"/>
      <c r="U92" s="136"/>
      <c r="V92" s="136"/>
      <c r="W92" s="136"/>
      <c r="X92" s="136"/>
      <c r="Y92" s="136"/>
      <c r="Z92" s="136"/>
    </row>
    <row r="93" spans="1:26" ht="14.25" customHeight="1">
      <c r="A93" s="136"/>
      <c r="B93" s="136"/>
      <c r="C93" s="136"/>
      <c r="D93" s="136"/>
      <c r="E93" s="136"/>
      <c r="F93" s="136"/>
      <c r="G93" s="136"/>
      <c r="H93" s="136"/>
      <c r="I93" s="140"/>
      <c r="J93" s="136"/>
      <c r="K93" s="136"/>
      <c r="L93" s="136"/>
      <c r="M93" s="136"/>
      <c r="N93" s="136"/>
      <c r="O93" s="136"/>
      <c r="P93" s="136"/>
      <c r="Q93" s="136"/>
      <c r="R93" s="136"/>
      <c r="S93" s="136"/>
      <c r="T93" s="136"/>
      <c r="U93" s="136"/>
      <c r="V93" s="136"/>
      <c r="W93" s="136"/>
      <c r="X93" s="136"/>
      <c r="Y93" s="136"/>
      <c r="Z93" s="136"/>
    </row>
    <row r="94" spans="1:26" ht="14.25" customHeight="1">
      <c r="A94" s="136"/>
      <c r="B94" s="136"/>
      <c r="C94" s="136"/>
      <c r="D94" s="136"/>
      <c r="E94" s="136"/>
      <c r="F94" s="136"/>
      <c r="G94" s="136"/>
      <c r="H94" s="136"/>
      <c r="I94" s="140"/>
      <c r="J94" s="136"/>
      <c r="K94" s="136"/>
      <c r="L94" s="136"/>
      <c r="M94" s="136"/>
      <c r="N94" s="136"/>
      <c r="O94" s="136"/>
      <c r="P94" s="136"/>
      <c r="Q94" s="136"/>
      <c r="R94" s="136"/>
      <c r="S94" s="136"/>
      <c r="T94" s="136"/>
      <c r="U94" s="136"/>
      <c r="V94" s="136"/>
      <c r="W94" s="136"/>
      <c r="X94" s="136"/>
      <c r="Y94" s="136"/>
      <c r="Z94" s="136"/>
    </row>
    <row r="95" spans="1:26" ht="14.25" customHeight="1">
      <c r="A95" s="136"/>
      <c r="B95" s="136"/>
      <c r="C95" s="136"/>
      <c r="D95" s="136"/>
      <c r="E95" s="136"/>
      <c r="F95" s="136"/>
      <c r="G95" s="136"/>
      <c r="H95" s="136"/>
      <c r="I95" s="140"/>
      <c r="J95" s="136"/>
      <c r="K95" s="136"/>
      <c r="L95" s="136"/>
      <c r="M95" s="136"/>
      <c r="N95" s="136"/>
      <c r="O95" s="136"/>
      <c r="P95" s="136"/>
      <c r="Q95" s="136"/>
      <c r="R95" s="136"/>
      <c r="S95" s="136"/>
      <c r="T95" s="136"/>
      <c r="U95" s="136"/>
      <c r="V95" s="136"/>
      <c r="W95" s="136"/>
      <c r="X95" s="136"/>
      <c r="Y95" s="136"/>
      <c r="Z95" s="136"/>
    </row>
    <row r="96" spans="1:26" ht="14.25" customHeight="1">
      <c r="A96" s="136"/>
      <c r="B96" s="136"/>
      <c r="C96" s="136"/>
      <c r="D96" s="136"/>
      <c r="E96" s="136"/>
      <c r="F96" s="136"/>
      <c r="G96" s="136"/>
      <c r="H96" s="136"/>
      <c r="I96" s="140"/>
      <c r="J96" s="136"/>
      <c r="K96" s="136"/>
      <c r="L96" s="136"/>
      <c r="M96" s="136"/>
      <c r="N96" s="136"/>
      <c r="O96" s="136"/>
      <c r="P96" s="136"/>
      <c r="Q96" s="136"/>
      <c r="R96" s="136"/>
      <c r="S96" s="136"/>
      <c r="T96" s="136"/>
      <c r="U96" s="136"/>
      <c r="V96" s="136"/>
      <c r="W96" s="136"/>
      <c r="X96" s="136"/>
      <c r="Y96" s="136"/>
      <c r="Z96" s="136"/>
    </row>
    <row r="97" spans="1:26" ht="14.25" customHeight="1">
      <c r="A97" s="136"/>
      <c r="B97" s="136"/>
      <c r="C97" s="136"/>
      <c r="D97" s="136"/>
      <c r="E97" s="136"/>
      <c r="F97" s="136"/>
      <c r="G97" s="136"/>
      <c r="H97" s="136"/>
      <c r="I97" s="140"/>
      <c r="J97" s="136"/>
      <c r="K97" s="136"/>
      <c r="L97" s="136"/>
      <c r="M97" s="136"/>
      <c r="N97" s="136"/>
      <c r="O97" s="136"/>
      <c r="P97" s="136"/>
      <c r="Q97" s="136"/>
      <c r="R97" s="136"/>
      <c r="S97" s="136"/>
      <c r="T97" s="136"/>
      <c r="U97" s="136"/>
      <c r="V97" s="136"/>
      <c r="W97" s="136"/>
      <c r="X97" s="136"/>
      <c r="Y97" s="136"/>
      <c r="Z97" s="136"/>
    </row>
    <row r="98" spans="1:26" ht="14.25" customHeight="1">
      <c r="A98" s="136"/>
      <c r="B98" s="136"/>
      <c r="C98" s="136"/>
      <c r="D98" s="136"/>
      <c r="E98" s="136"/>
      <c r="F98" s="136"/>
      <c r="G98" s="136"/>
      <c r="H98" s="136"/>
      <c r="I98" s="140"/>
      <c r="J98" s="136"/>
      <c r="K98" s="136"/>
      <c r="L98" s="136"/>
      <c r="M98" s="136"/>
      <c r="N98" s="136"/>
      <c r="O98" s="136"/>
      <c r="P98" s="136"/>
      <c r="Q98" s="136"/>
      <c r="R98" s="136"/>
      <c r="S98" s="136"/>
      <c r="T98" s="136"/>
      <c r="U98" s="136"/>
      <c r="V98" s="136"/>
      <c r="W98" s="136"/>
      <c r="X98" s="136"/>
      <c r="Y98" s="136"/>
      <c r="Z98" s="136"/>
    </row>
    <row r="99" spans="1:26" ht="14.25" customHeight="1">
      <c r="A99" s="136"/>
      <c r="B99" s="136"/>
      <c r="C99" s="136"/>
      <c r="D99" s="136"/>
      <c r="E99" s="136"/>
      <c r="F99" s="136"/>
      <c r="G99" s="136"/>
      <c r="H99" s="136"/>
      <c r="I99" s="140"/>
      <c r="J99" s="136"/>
      <c r="K99" s="136"/>
      <c r="L99" s="136"/>
      <c r="M99" s="136"/>
      <c r="N99" s="136"/>
      <c r="O99" s="136"/>
      <c r="P99" s="136"/>
      <c r="Q99" s="136"/>
      <c r="R99" s="136"/>
      <c r="S99" s="136"/>
      <c r="T99" s="136"/>
      <c r="U99" s="136"/>
      <c r="V99" s="136"/>
      <c r="W99" s="136"/>
      <c r="X99" s="136"/>
      <c r="Y99" s="136"/>
      <c r="Z99" s="136"/>
    </row>
    <row r="100" spans="1:26" ht="14.25" customHeight="1">
      <c r="A100" s="136"/>
      <c r="B100" s="136"/>
      <c r="C100" s="136"/>
      <c r="D100" s="136"/>
      <c r="E100" s="136"/>
      <c r="F100" s="136"/>
      <c r="G100" s="136"/>
      <c r="H100" s="136"/>
      <c r="I100" s="140"/>
      <c r="J100" s="136"/>
      <c r="K100" s="136"/>
      <c r="L100" s="136"/>
      <c r="M100" s="136"/>
      <c r="N100" s="136"/>
      <c r="O100" s="136"/>
      <c r="P100" s="136"/>
      <c r="Q100" s="136"/>
      <c r="R100" s="136"/>
      <c r="S100" s="136"/>
      <c r="T100" s="136"/>
      <c r="U100" s="136"/>
      <c r="V100" s="136"/>
      <c r="W100" s="136"/>
      <c r="X100" s="136"/>
      <c r="Y100" s="136"/>
      <c r="Z100" s="136"/>
    </row>
    <row r="101" spans="1:26" ht="14.25" customHeight="1">
      <c r="A101" s="136"/>
      <c r="B101" s="136"/>
      <c r="C101" s="136"/>
      <c r="D101" s="136"/>
      <c r="E101" s="136"/>
      <c r="F101" s="136"/>
      <c r="G101" s="136"/>
      <c r="H101" s="136"/>
      <c r="I101" s="140"/>
      <c r="J101" s="136"/>
      <c r="K101" s="136"/>
      <c r="L101" s="136"/>
      <c r="M101" s="136"/>
      <c r="N101" s="136"/>
      <c r="O101" s="136"/>
      <c r="P101" s="136"/>
      <c r="Q101" s="136"/>
      <c r="R101" s="136"/>
      <c r="S101" s="136"/>
      <c r="T101" s="136"/>
      <c r="U101" s="136"/>
      <c r="V101" s="136"/>
      <c r="W101" s="136"/>
      <c r="X101" s="136"/>
      <c r="Y101" s="136"/>
      <c r="Z101" s="136"/>
    </row>
    <row r="102" spans="1:26" ht="14.25" customHeight="1">
      <c r="A102" s="136"/>
      <c r="B102" s="136"/>
      <c r="C102" s="136"/>
      <c r="D102" s="136"/>
      <c r="E102" s="136"/>
      <c r="F102" s="136"/>
      <c r="G102" s="136"/>
      <c r="H102" s="136"/>
      <c r="I102" s="140"/>
      <c r="J102" s="136"/>
      <c r="K102" s="136"/>
      <c r="L102" s="136"/>
      <c r="M102" s="136"/>
      <c r="N102" s="136"/>
      <c r="O102" s="136"/>
      <c r="P102" s="136"/>
      <c r="Q102" s="136"/>
      <c r="R102" s="136"/>
      <c r="S102" s="136"/>
      <c r="T102" s="136"/>
      <c r="U102" s="136"/>
      <c r="V102" s="136"/>
      <c r="W102" s="136"/>
      <c r="X102" s="136"/>
      <c r="Y102" s="136"/>
      <c r="Z102" s="136"/>
    </row>
    <row r="103" spans="1:26" ht="14.25" customHeight="1">
      <c r="A103" s="136"/>
      <c r="B103" s="136"/>
      <c r="C103" s="136"/>
      <c r="D103" s="136"/>
      <c r="E103" s="136"/>
      <c r="F103" s="136"/>
      <c r="G103" s="136"/>
      <c r="H103" s="136"/>
      <c r="I103" s="140"/>
      <c r="J103" s="136"/>
      <c r="K103" s="136"/>
      <c r="L103" s="136"/>
      <c r="M103" s="136"/>
      <c r="N103" s="136"/>
      <c r="O103" s="136"/>
      <c r="P103" s="136"/>
      <c r="Q103" s="136"/>
      <c r="R103" s="136"/>
      <c r="S103" s="136"/>
      <c r="T103" s="136"/>
      <c r="U103" s="136"/>
      <c r="V103" s="136"/>
      <c r="W103" s="136"/>
      <c r="X103" s="136"/>
      <c r="Y103" s="136"/>
      <c r="Z103" s="136"/>
    </row>
    <row r="104" spans="1:26" ht="14.25" customHeight="1">
      <c r="A104" s="136"/>
      <c r="B104" s="136"/>
      <c r="C104" s="136"/>
      <c r="D104" s="136"/>
      <c r="E104" s="136"/>
      <c r="F104" s="136"/>
      <c r="G104" s="136"/>
      <c r="H104" s="136"/>
      <c r="I104" s="140"/>
      <c r="J104" s="136"/>
      <c r="K104" s="136"/>
      <c r="L104" s="136"/>
      <c r="M104" s="136"/>
      <c r="N104" s="136"/>
      <c r="O104" s="136"/>
      <c r="P104" s="136"/>
      <c r="Q104" s="136"/>
      <c r="R104" s="136"/>
      <c r="S104" s="136"/>
      <c r="T104" s="136"/>
      <c r="U104" s="136"/>
      <c r="V104" s="136"/>
      <c r="W104" s="136"/>
      <c r="X104" s="136"/>
      <c r="Y104" s="136"/>
      <c r="Z104" s="136"/>
    </row>
    <row r="105" spans="1:26" ht="14.25" customHeight="1">
      <c r="A105" s="136"/>
      <c r="B105" s="136"/>
      <c r="C105" s="136"/>
      <c r="D105" s="136"/>
      <c r="E105" s="136"/>
      <c r="F105" s="136"/>
      <c r="G105" s="136"/>
      <c r="H105" s="136"/>
      <c r="I105" s="140"/>
      <c r="J105" s="136"/>
      <c r="K105" s="136"/>
      <c r="L105" s="136"/>
      <c r="M105" s="136"/>
      <c r="N105" s="136"/>
      <c r="O105" s="136"/>
      <c r="P105" s="136"/>
      <c r="Q105" s="136"/>
      <c r="R105" s="136"/>
      <c r="S105" s="136"/>
      <c r="T105" s="136"/>
      <c r="U105" s="136"/>
      <c r="V105" s="136"/>
      <c r="W105" s="136"/>
      <c r="X105" s="136"/>
      <c r="Y105" s="136"/>
      <c r="Z105" s="136"/>
    </row>
    <row r="106" spans="1:26" ht="14.25" customHeight="1">
      <c r="A106" s="136"/>
      <c r="B106" s="136"/>
      <c r="C106" s="136"/>
      <c r="D106" s="136"/>
      <c r="E106" s="136"/>
      <c r="F106" s="136"/>
      <c r="G106" s="136"/>
      <c r="H106" s="136"/>
      <c r="I106" s="140"/>
      <c r="J106" s="136"/>
      <c r="K106" s="136"/>
      <c r="L106" s="136"/>
      <c r="M106" s="136"/>
      <c r="N106" s="136"/>
      <c r="O106" s="136"/>
      <c r="P106" s="136"/>
      <c r="Q106" s="136"/>
      <c r="R106" s="136"/>
      <c r="S106" s="136"/>
      <c r="T106" s="136"/>
      <c r="U106" s="136"/>
      <c r="V106" s="136"/>
      <c r="W106" s="136"/>
      <c r="X106" s="136"/>
      <c r="Y106" s="136"/>
      <c r="Z106" s="136"/>
    </row>
    <row r="107" spans="1:26" ht="14.25" customHeight="1">
      <c r="A107" s="136"/>
      <c r="B107" s="136"/>
      <c r="C107" s="136"/>
      <c r="D107" s="136"/>
      <c r="E107" s="136"/>
      <c r="F107" s="136"/>
      <c r="G107" s="136"/>
      <c r="H107" s="136"/>
      <c r="I107" s="140"/>
      <c r="J107" s="136"/>
      <c r="K107" s="136"/>
      <c r="L107" s="136"/>
      <c r="M107" s="136"/>
      <c r="N107" s="136"/>
      <c r="O107" s="136"/>
      <c r="P107" s="136"/>
      <c r="Q107" s="136"/>
      <c r="R107" s="136"/>
      <c r="S107" s="136"/>
      <c r="T107" s="136"/>
      <c r="U107" s="136"/>
      <c r="V107" s="136"/>
      <c r="W107" s="136"/>
      <c r="X107" s="136"/>
      <c r="Y107" s="136"/>
      <c r="Z107" s="136"/>
    </row>
    <row r="108" spans="1:26" ht="14.25" customHeight="1">
      <c r="A108" s="136"/>
      <c r="B108" s="136"/>
      <c r="C108" s="136"/>
      <c r="D108" s="136"/>
      <c r="E108" s="136"/>
      <c r="F108" s="136"/>
      <c r="G108" s="136"/>
      <c r="H108" s="136"/>
      <c r="I108" s="140"/>
      <c r="J108" s="136"/>
      <c r="K108" s="136"/>
      <c r="L108" s="136"/>
      <c r="M108" s="136"/>
      <c r="N108" s="136"/>
      <c r="O108" s="136"/>
      <c r="P108" s="136"/>
      <c r="Q108" s="136"/>
      <c r="R108" s="136"/>
      <c r="S108" s="136"/>
      <c r="T108" s="136"/>
      <c r="U108" s="136"/>
      <c r="V108" s="136"/>
      <c r="W108" s="136"/>
      <c r="X108" s="136"/>
      <c r="Y108" s="136"/>
      <c r="Z108" s="136"/>
    </row>
    <row r="109" spans="1:26" ht="14.25" customHeight="1">
      <c r="A109" s="136"/>
      <c r="B109" s="136"/>
      <c r="C109" s="136"/>
      <c r="D109" s="136"/>
      <c r="E109" s="136"/>
      <c r="F109" s="136"/>
      <c r="G109" s="136"/>
      <c r="H109" s="136"/>
      <c r="I109" s="140"/>
      <c r="J109" s="136"/>
      <c r="K109" s="136"/>
      <c r="L109" s="136"/>
      <c r="M109" s="136"/>
      <c r="N109" s="136"/>
      <c r="O109" s="136"/>
      <c r="P109" s="136"/>
      <c r="Q109" s="136"/>
      <c r="R109" s="136"/>
      <c r="S109" s="136"/>
      <c r="T109" s="136"/>
      <c r="U109" s="136"/>
      <c r="V109" s="136"/>
      <c r="W109" s="136"/>
      <c r="X109" s="136"/>
      <c r="Y109" s="136"/>
      <c r="Z109" s="136"/>
    </row>
    <row r="110" spans="1:26" ht="14.25" customHeight="1">
      <c r="A110" s="136"/>
      <c r="B110" s="136"/>
      <c r="C110" s="136"/>
      <c r="D110" s="136"/>
      <c r="E110" s="136"/>
      <c r="F110" s="136"/>
      <c r="G110" s="136"/>
      <c r="H110" s="136"/>
      <c r="I110" s="140"/>
      <c r="J110" s="136"/>
      <c r="K110" s="136"/>
      <c r="L110" s="136"/>
      <c r="M110" s="136"/>
      <c r="N110" s="136"/>
      <c r="O110" s="136"/>
      <c r="P110" s="136"/>
      <c r="Q110" s="136"/>
      <c r="R110" s="136"/>
      <c r="S110" s="136"/>
      <c r="T110" s="136"/>
      <c r="U110" s="136"/>
      <c r="V110" s="136"/>
      <c r="W110" s="136"/>
      <c r="X110" s="136"/>
      <c r="Y110" s="136"/>
      <c r="Z110" s="136"/>
    </row>
    <row r="111" spans="1:26" ht="14.25" customHeight="1">
      <c r="A111" s="136"/>
      <c r="B111" s="136"/>
      <c r="C111" s="136"/>
      <c r="D111" s="136"/>
      <c r="E111" s="136"/>
      <c r="F111" s="136"/>
      <c r="G111" s="136"/>
      <c r="H111" s="136"/>
      <c r="I111" s="140"/>
      <c r="J111" s="136"/>
      <c r="K111" s="136"/>
      <c r="L111" s="136"/>
      <c r="M111" s="136"/>
      <c r="N111" s="136"/>
      <c r="O111" s="136"/>
      <c r="P111" s="136"/>
      <c r="Q111" s="136"/>
      <c r="R111" s="136"/>
      <c r="S111" s="136"/>
      <c r="T111" s="136"/>
      <c r="U111" s="136"/>
      <c r="V111" s="136"/>
      <c r="W111" s="136"/>
      <c r="X111" s="136"/>
      <c r="Y111" s="136"/>
      <c r="Z111" s="136"/>
    </row>
    <row r="112" spans="1:26" ht="14.25" customHeight="1">
      <c r="A112" s="136"/>
      <c r="B112" s="136"/>
      <c r="C112" s="136"/>
      <c r="D112" s="136"/>
      <c r="E112" s="136"/>
      <c r="F112" s="136"/>
      <c r="G112" s="136"/>
      <c r="H112" s="136"/>
      <c r="I112" s="140"/>
      <c r="J112" s="136"/>
      <c r="K112" s="136"/>
      <c r="L112" s="136"/>
      <c r="M112" s="136"/>
      <c r="N112" s="136"/>
      <c r="O112" s="136"/>
      <c r="P112" s="136"/>
      <c r="Q112" s="136"/>
      <c r="R112" s="136"/>
      <c r="S112" s="136"/>
      <c r="T112" s="136"/>
      <c r="U112" s="136"/>
      <c r="V112" s="136"/>
      <c r="W112" s="136"/>
      <c r="X112" s="136"/>
      <c r="Y112" s="136"/>
      <c r="Z112" s="136"/>
    </row>
    <row r="113" spans="1:26" ht="14.25" customHeight="1">
      <c r="A113" s="136"/>
      <c r="B113" s="136"/>
      <c r="C113" s="136"/>
      <c r="D113" s="136"/>
      <c r="E113" s="136"/>
      <c r="F113" s="136"/>
      <c r="G113" s="136"/>
      <c r="H113" s="136"/>
      <c r="I113" s="140"/>
      <c r="J113" s="136"/>
      <c r="K113" s="136"/>
      <c r="L113" s="136"/>
      <c r="M113" s="136"/>
      <c r="N113" s="136"/>
      <c r="O113" s="136"/>
      <c r="P113" s="136"/>
      <c r="Q113" s="136"/>
      <c r="R113" s="136"/>
      <c r="S113" s="136"/>
      <c r="T113" s="136"/>
      <c r="U113" s="136"/>
      <c r="V113" s="136"/>
      <c r="W113" s="136"/>
      <c r="X113" s="136"/>
      <c r="Y113" s="136"/>
      <c r="Z113" s="136"/>
    </row>
    <row r="114" spans="1:26" ht="14.25" customHeight="1">
      <c r="A114" s="136"/>
      <c r="B114" s="136"/>
      <c r="C114" s="136"/>
      <c r="D114" s="136"/>
      <c r="E114" s="136"/>
      <c r="F114" s="136"/>
      <c r="G114" s="136"/>
      <c r="H114" s="136"/>
      <c r="I114" s="140"/>
      <c r="J114" s="136"/>
      <c r="K114" s="136"/>
      <c r="L114" s="136"/>
      <c r="M114" s="136"/>
      <c r="N114" s="136"/>
      <c r="O114" s="136"/>
      <c r="P114" s="136"/>
      <c r="Q114" s="136"/>
      <c r="R114" s="136"/>
      <c r="S114" s="136"/>
      <c r="T114" s="136"/>
      <c r="U114" s="136"/>
      <c r="V114" s="136"/>
      <c r="W114" s="136"/>
      <c r="X114" s="136"/>
      <c r="Y114" s="136"/>
      <c r="Z114" s="136"/>
    </row>
    <row r="115" spans="1:26" ht="14.25" customHeight="1">
      <c r="A115" s="136"/>
      <c r="B115" s="136"/>
      <c r="C115" s="136"/>
      <c r="D115" s="136"/>
      <c r="E115" s="136"/>
      <c r="F115" s="136"/>
      <c r="G115" s="136"/>
      <c r="H115" s="136"/>
      <c r="I115" s="140"/>
      <c r="J115" s="136"/>
      <c r="K115" s="136"/>
      <c r="L115" s="136"/>
      <c r="M115" s="136"/>
      <c r="N115" s="136"/>
      <c r="O115" s="136"/>
      <c r="P115" s="136"/>
      <c r="Q115" s="136"/>
      <c r="R115" s="136"/>
      <c r="S115" s="136"/>
      <c r="T115" s="136"/>
      <c r="U115" s="136"/>
      <c r="V115" s="136"/>
      <c r="W115" s="136"/>
      <c r="X115" s="136"/>
      <c r="Y115" s="136"/>
      <c r="Z115" s="136"/>
    </row>
    <row r="116" spans="1:26" ht="14.25" customHeight="1">
      <c r="A116" s="136"/>
      <c r="B116" s="136"/>
      <c r="C116" s="136"/>
      <c r="D116" s="136"/>
      <c r="E116" s="136"/>
      <c r="F116" s="136"/>
      <c r="G116" s="136"/>
      <c r="H116" s="136"/>
      <c r="I116" s="140"/>
      <c r="J116" s="136"/>
      <c r="K116" s="136"/>
      <c r="L116" s="136"/>
      <c r="M116" s="136"/>
      <c r="N116" s="136"/>
      <c r="O116" s="136"/>
      <c r="P116" s="136"/>
      <c r="Q116" s="136"/>
      <c r="R116" s="136"/>
      <c r="S116" s="136"/>
      <c r="T116" s="136"/>
      <c r="U116" s="136"/>
      <c r="V116" s="136"/>
      <c r="W116" s="136"/>
      <c r="X116" s="136"/>
      <c r="Y116" s="136"/>
      <c r="Z116" s="136"/>
    </row>
    <row r="117" spans="1:26" ht="14.25" customHeight="1">
      <c r="A117" s="136"/>
      <c r="B117" s="136"/>
      <c r="C117" s="136"/>
      <c r="D117" s="136"/>
      <c r="E117" s="136"/>
      <c r="F117" s="136"/>
      <c r="G117" s="136"/>
      <c r="H117" s="136"/>
      <c r="I117" s="140"/>
      <c r="J117" s="136"/>
      <c r="K117" s="136"/>
      <c r="L117" s="136"/>
      <c r="M117" s="136"/>
      <c r="N117" s="136"/>
      <c r="O117" s="136"/>
      <c r="P117" s="136"/>
      <c r="Q117" s="136"/>
      <c r="R117" s="136"/>
      <c r="S117" s="136"/>
      <c r="T117" s="136"/>
      <c r="U117" s="136"/>
      <c r="V117" s="136"/>
      <c r="W117" s="136"/>
      <c r="X117" s="136"/>
      <c r="Y117" s="136"/>
      <c r="Z117" s="136"/>
    </row>
    <row r="118" spans="1:26" ht="14.25" customHeight="1">
      <c r="A118" s="136"/>
      <c r="B118" s="136"/>
      <c r="C118" s="136"/>
      <c r="D118" s="136"/>
      <c r="E118" s="136"/>
      <c r="F118" s="136"/>
      <c r="G118" s="136"/>
      <c r="H118" s="136"/>
      <c r="I118" s="140"/>
      <c r="J118" s="136"/>
      <c r="K118" s="136"/>
      <c r="L118" s="136"/>
      <c r="M118" s="136"/>
      <c r="N118" s="136"/>
      <c r="O118" s="136"/>
      <c r="P118" s="136"/>
      <c r="Q118" s="136"/>
      <c r="R118" s="136"/>
      <c r="S118" s="136"/>
      <c r="T118" s="136"/>
      <c r="U118" s="136"/>
      <c r="V118" s="136"/>
      <c r="W118" s="136"/>
      <c r="X118" s="136"/>
      <c r="Y118" s="136"/>
      <c r="Z118" s="136"/>
    </row>
    <row r="119" spans="1:26" ht="14.25" customHeight="1">
      <c r="A119" s="136"/>
      <c r="B119" s="136"/>
      <c r="C119" s="136"/>
      <c r="D119" s="136"/>
      <c r="E119" s="136"/>
      <c r="F119" s="136"/>
      <c r="G119" s="136"/>
      <c r="H119" s="136"/>
      <c r="I119" s="140"/>
      <c r="J119" s="136"/>
      <c r="K119" s="136"/>
      <c r="L119" s="136"/>
      <c r="M119" s="136"/>
      <c r="N119" s="136"/>
      <c r="O119" s="136"/>
      <c r="P119" s="136"/>
      <c r="Q119" s="136"/>
      <c r="R119" s="136"/>
      <c r="S119" s="136"/>
      <c r="T119" s="136"/>
      <c r="U119" s="136"/>
      <c r="V119" s="136"/>
      <c r="W119" s="136"/>
      <c r="X119" s="136"/>
      <c r="Y119" s="136"/>
      <c r="Z119" s="136"/>
    </row>
    <row r="120" spans="1:26" ht="14.25" customHeight="1">
      <c r="A120" s="136"/>
      <c r="B120" s="136"/>
      <c r="C120" s="136"/>
      <c r="D120" s="136"/>
      <c r="E120" s="136"/>
      <c r="F120" s="136"/>
      <c r="G120" s="136"/>
      <c r="H120" s="136"/>
      <c r="I120" s="140"/>
      <c r="J120" s="136"/>
      <c r="K120" s="136"/>
      <c r="L120" s="136"/>
      <c r="M120" s="136"/>
      <c r="N120" s="136"/>
      <c r="O120" s="136"/>
      <c r="P120" s="136"/>
      <c r="Q120" s="136"/>
      <c r="R120" s="136"/>
      <c r="S120" s="136"/>
      <c r="T120" s="136"/>
      <c r="U120" s="136"/>
      <c r="V120" s="136"/>
      <c r="W120" s="136"/>
      <c r="X120" s="136"/>
      <c r="Y120" s="136"/>
      <c r="Z120" s="136"/>
    </row>
    <row r="121" spans="1:26" ht="14.25" customHeight="1">
      <c r="A121" s="136"/>
      <c r="B121" s="136"/>
      <c r="C121" s="136"/>
      <c r="D121" s="136"/>
      <c r="E121" s="136"/>
      <c r="F121" s="136"/>
      <c r="G121" s="136"/>
      <c r="H121" s="136"/>
      <c r="I121" s="140"/>
      <c r="J121" s="136"/>
      <c r="K121" s="136"/>
      <c r="L121" s="136"/>
      <c r="M121" s="136"/>
      <c r="N121" s="136"/>
      <c r="O121" s="136"/>
      <c r="P121" s="136"/>
      <c r="Q121" s="136"/>
      <c r="R121" s="136"/>
      <c r="S121" s="136"/>
      <c r="T121" s="136"/>
      <c r="U121" s="136"/>
      <c r="V121" s="136"/>
      <c r="W121" s="136"/>
      <c r="X121" s="136"/>
      <c r="Y121" s="136"/>
      <c r="Z121" s="136"/>
    </row>
    <row r="122" spans="1:26" ht="14.25" customHeight="1">
      <c r="A122" s="136"/>
      <c r="B122" s="136"/>
      <c r="C122" s="136"/>
      <c r="D122" s="136"/>
      <c r="E122" s="136"/>
      <c r="F122" s="136"/>
      <c r="G122" s="136"/>
      <c r="H122" s="136"/>
      <c r="I122" s="140"/>
      <c r="J122" s="136"/>
      <c r="K122" s="136"/>
      <c r="L122" s="136"/>
      <c r="M122" s="136"/>
      <c r="N122" s="136"/>
      <c r="O122" s="136"/>
      <c r="P122" s="136"/>
      <c r="Q122" s="136"/>
      <c r="R122" s="136"/>
      <c r="S122" s="136"/>
      <c r="T122" s="136"/>
      <c r="U122" s="136"/>
      <c r="V122" s="136"/>
      <c r="W122" s="136"/>
      <c r="X122" s="136"/>
      <c r="Y122" s="136"/>
      <c r="Z122" s="136"/>
    </row>
    <row r="123" spans="1:26" ht="14.25" customHeight="1">
      <c r="A123" s="136"/>
      <c r="B123" s="136"/>
      <c r="C123" s="136"/>
      <c r="D123" s="136"/>
      <c r="E123" s="136"/>
      <c r="F123" s="136"/>
      <c r="G123" s="136"/>
      <c r="H123" s="136"/>
      <c r="I123" s="140"/>
      <c r="J123" s="136"/>
      <c r="K123" s="136"/>
      <c r="L123" s="136"/>
      <c r="M123" s="136"/>
      <c r="N123" s="136"/>
      <c r="O123" s="136"/>
      <c r="P123" s="136"/>
      <c r="Q123" s="136"/>
      <c r="R123" s="136"/>
      <c r="S123" s="136"/>
      <c r="T123" s="136"/>
      <c r="U123" s="136"/>
      <c r="V123" s="136"/>
      <c r="W123" s="136"/>
      <c r="X123" s="136"/>
      <c r="Y123" s="136"/>
      <c r="Z123" s="136"/>
    </row>
    <row r="124" spans="1:26" ht="14.25" customHeight="1">
      <c r="A124" s="136"/>
      <c r="B124" s="136"/>
      <c r="C124" s="136"/>
      <c r="D124" s="136"/>
      <c r="E124" s="136"/>
      <c r="F124" s="136"/>
      <c r="G124" s="136"/>
      <c r="H124" s="136"/>
      <c r="I124" s="140"/>
      <c r="J124" s="136"/>
      <c r="K124" s="136"/>
      <c r="L124" s="136"/>
      <c r="M124" s="136"/>
      <c r="N124" s="136"/>
      <c r="O124" s="136"/>
      <c r="P124" s="136"/>
      <c r="Q124" s="136"/>
      <c r="R124" s="136"/>
      <c r="S124" s="136"/>
      <c r="T124" s="136"/>
      <c r="U124" s="136"/>
      <c r="V124" s="136"/>
      <c r="W124" s="136"/>
      <c r="X124" s="136"/>
      <c r="Y124" s="136"/>
      <c r="Z124" s="136"/>
    </row>
    <row r="125" spans="1:26" ht="14.25" customHeight="1">
      <c r="A125" s="136"/>
      <c r="B125" s="136"/>
      <c r="C125" s="136"/>
      <c r="D125" s="136"/>
      <c r="E125" s="136"/>
      <c r="F125" s="136"/>
      <c r="G125" s="136"/>
      <c r="H125" s="136"/>
      <c r="I125" s="140"/>
      <c r="J125" s="136"/>
      <c r="K125" s="136"/>
      <c r="L125" s="136"/>
      <c r="M125" s="136"/>
      <c r="N125" s="136"/>
      <c r="O125" s="136"/>
      <c r="P125" s="136"/>
      <c r="Q125" s="136"/>
      <c r="R125" s="136"/>
      <c r="S125" s="136"/>
      <c r="T125" s="136"/>
      <c r="U125" s="136"/>
      <c r="V125" s="136"/>
      <c r="W125" s="136"/>
      <c r="X125" s="136"/>
      <c r="Y125" s="136"/>
      <c r="Z125" s="136"/>
    </row>
    <row r="126" spans="1:26" ht="14.25" customHeight="1">
      <c r="A126" s="136"/>
      <c r="B126" s="136"/>
      <c r="C126" s="136"/>
      <c r="D126" s="136"/>
      <c r="E126" s="136"/>
      <c r="F126" s="136"/>
      <c r="G126" s="136"/>
      <c r="H126" s="136"/>
      <c r="I126" s="140"/>
      <c r="J126" s="136"/>
      <c r="K126" s="136"/>
      <c r="L126" s="136"/>
      <c r="M126" s="136"/>
      <c r="N126" s="136"/>
      <c r="O126" s="136"/>
      <c r="P126" s="136"/>
      <c r="Q126" s="136"/>
      <c r="R126" s="136"/>
      <c r="S126" s="136"/>
      <c r="T126" s="136"/>
      <c r="U126" s="136"/>
      <c r="V126" s="136"/>
      <c r="W126" s="136"/>
      <c r="X126" s="136"/>
      <c r="Y126" s="136"/>
      <c r="Z126" s="136"/>
    </row>
    <row r="127" spans="1:26" ht="14.25" customHeight="1">
      <c r="A127" s="136"/>
      <c r="B127" s="136"/>
      <c r="C127" s="136"/>
      <c r="D127" s="136"/>
      <c r="E127" s="136"/>
      <c r="F127" s="136"/>
      <c r="G127" s="136"/>
      <c r="H127" s="136"/>
      <c r="I127" s="140"/>
      <c r="J127" s="136"/>
      <c r="K127" s="136"/>
      <c r="L127" s="136"/>
      <c r="M127" s="136"/>
      <c r="N127" s="136"/>
      <c r="O127" s="136"/>
      <c r="P127" s="136"/>
      <c r="Q127" s="136"/>
      <c r="R127" s="136"/>
      <c r="S127" s="136"/>
      <c r="T127" s="136"/>
      <c r="U127" s="136"/>
      <c r="V127" s="136"/>
      <c r="W127" s="136"/>
      <c r="X127" s="136"/>
      <c r="Y127" s="136"/>
      <c r="Z127" s="136"/>
    </row>
    <row r="128" spans="1:26" ht="14.25" customHeight="1">
      <c r="A128" s="136"/>
      <c r="B128" s="136"/>
      <c r="C128" s="136"/>
      <c r="D128" s="136"/>
      <c r="E128" s="136"/>
      <c r="F128" s="136"/>
      <c r="G128" s="136"/>
      <c r="H128" s="136"/>
      <c r="I128" s="140"/>
      <c r="J128" s="136"/>
      <c r="K128" s="136"/>
      <c r="L128" s="136"/>
      <c r="M128" s="136"/>
      <c r="N128" s="136"/>
      <c r="O128" s="136"/>
      <c r="P128" s="136"/>
      <c r="Q128" s="136"/>
      <c r="R128" s="136"/>
      <c r="S128" s="136"/>
      <c r="T128" s="136"/>
      <c r="U128" s="136"/>
      <c r="V128" s="136"/>
      <c r="W128" s="136"/>
      <c r="X128" s="136"/>
      <c r="Y128" s="136"/>
      <c r="Z128" s="136"/>
    </row>
    <row r="129" spans="1:26" ht="14.25" customHeight="1">
      <c r="A129" s="136"/>
      <c r="B129" s="136"/>
      <c r="C129" s="136"/>
      <c r="D129" s="136"/>
      <c r="E129" s="136"/>
      <c r="F129" s="136"/>
      <c r="G129" s="136"/>
      <c r="H129" s="136"/>
      <c r="I129" s="140"/>
      <c r="J129" s="136"/>
      <c r="K129" s="136"/>
      <c r="L129" s="136"/>
      <c r="M129" s="136"/>
      <c r="N129" s="136"/>
      <c r="O129" s="136"/>
      <c r="P129" s="136"/>
      <c r="Q129" s="136"/>
      <c r="R129" s="136"/>
      <c r="S129" s="136"/>
      <c r="T129" s="136"/>
      <c r="U129" s="136"/>
      <c r="V129" s="136"/>
      <c r="W129" s="136"/>
      <c r="X129" s="136"/>
      <c r="Y129" s="136"/>
      <c r="Z129" s="136"/>
    </row>
    <row r="130" spans="1:26" ht="14.25" customHeight="1">
      <c r="A130" s="136"/>
      <c r="B130" s="136"/>
      <c r="C130" s="136"/>
      <c r="D130" s="136"/>
      <c r="E130" s="136"/>
      <c r="F130" s="136"/>
      <c r="G130" s="136"/>
      <c r="H130" s="136"/>
      <c r="I130" s="140"/>
      <c r="J130" s="136"/>
      <c r="K130" s="136"/>
      <c r="L130" s="136"/>
      <c r="M130" s="136"/>
      <c r="N130" s="136"/>
      <c r="O130" s="136"/>
      <c r="P130" s="136"/>
      <c r="Q130" s="136"/>
      <c r="R130" s="136"/>
      <c r="S130" s="136"/>
      <c r="T130" s="136"/>
      <c r="U130" s="136"/>
      <c r="V130" s="136"/>
      <c r="W130" s="136"/>
      <c r="X130" s="136"/>
      <c r="Y130" s="136"/>
      <c r="Z130" s="136"/>
    </row>
    <row r="131" spans="1:26" ht="14.25" customHeight="1">
      <c r="A131" s="136"/>
      <c r="B131" s="136"/>
      <c r="C131" s="136"/>
      <c r="D131" s="136"/>
      <c r="E131" s="136"/>
      <c r="F131" s="136"/>
      <c r="G131" s="136"/>
      <c r="H131" s="136"/>
      <c r="I131" s="140"/>
      <c r="J131" s="136"/>
      <c r="K131" s="136"/>
      <c r="L131" s="136"/>
      <c r="M131" s="136"/>
      <c r="N131" s="136"/>
      <c r="O131" s="136"/>
      <c r="P131" s="136"/>
      <c r="Q131" s="136"/>
      <c r="R131" s="136"/>
      <c r="S131" s="136"/>
      <c r="T131" s="136"/>
      <c r="U131" s="136"/>
      <c r="V131" s="136"/>
      <c r="W131" s="136"/>
      <c r="X131" s="136"/>
      <c r="Y131" s="136"/>
      <c r="Z131" s="136"/>
    </row>
    <row r="132" spans="1:26" ht="14.25" customHeight="1">
      <c r="A132" s="136"/>
      <c r="B132" s="136"/>
      <c r="C132" s="136"/>
      <c r="D132" s="136"/>
      <c r="E132" s="136"/>
      <c r="F132" s="136"/>
      <c r="G132" s="136"/>
      <c r="H132" s="136"/>
      <c r="I132" s="140"/>
      <c r="J132" s="136"/>
      <c r="K132" s="136"/>
      <c r="L132" s="136"/>
      <c r="M132" s="136"/>
      <c r="N132" s="136"/>
      <c r="O132" s="136"/>
      <c r="P132" s="136"/>
      <c r="Q132" s="136"/>
      <c r="R132" s="136"/>
      <c r="S132" s="136"/>
      <c r="T132" s="136"/>
      <c r="U132" s="136"/>
      <c r="V132" s="136"/>
      <c r="W132" s="136"/>
      <c r="X132" s="136"/>
      <c r="Y132" s="136"/>
      <c r="Z132" s="136"/>
    </row>
    <row r="133" spans="1:26" ht="14.25" customHeight="1">
      <c r="A133" s="136"/>
      <c r="B133" s="136"/>
      <c r="C133" s="136"/>
      <c r="D133" s="136"/>
      <c r="E133" s="136"/>
      <c r="F133" s="136"/>
      <c r="G133" s="136"/>
      <c r="H133" s="136"/>
      <c r="I133" s="140"/>
      <c r="J133" s="136"/>
      <c r="K133" s="136"/>
      <c r="L133" s="136"/>
      <c r="M133" s="136"/>
      <c r="N133" s="136"/>
      <c r="O133" s="136"/>
      <c r="P133" s="136"/>
      <c r="Q133" s="136"/>
      <c r="R133" s="136"/>
      <c r="S133" s="136"/>
      <c r="T133" s="136"/>
      <c r="U133" s="136"/>
      <c r="V133" s="136"/>
      <c r="W133" s="136"/>
      <c r="X133" s="136"/>
      <c r="Y133" s="136"/>
      <c r="Z133" s="136"/>
    </row>
    <row r="134" spans="1:26" ht="14.25" customHeight="1">
      <c r="A134" s="136"/>
      <c r="B134" s="136"/>
      <c r="C134" s="136"/>
      <c r="D134" s="136"/>
      <c r="E134" s="136"/>
      <c r="F134" s="136"/>
      <c r="G134" s="136"/>
      <c r="H134" s="136"/>
      <c r="I134" s="140"/>
      <c r="J134" s="136"/>
      <c r="K134" s="136"/>
      <c r="L134" s="136"/>
      <c r="M134" s="136"/>
      <c r="N134" s="136"/>
      <c r="O134" s="136"/>
      <c r="P134" s="136"/>
      <c r="Q134" s="136"/>
      <c r="R134" s="136"/>
      <c r="S134" s="136"/>
      <c r="T134" s="136"/>
      <c r="U134" s="136"/>
      <c r="V134" s="136"/>
      <c r="W134" s="136"/>
      <c r="X134" s="136"/>
      <c r="Y134" s="136"/>
      <c r="Z134" s="136"/>
    </row>
    <row r="135" spans="1:26" ht="14.25" customHeight="1">
      <c r="A135" s="136"/>
      <c r="B135" s="136"/>
      <c r="C135" s="136"/>
      <c r="D135" s="136"/>
      <c r="E135" s="136"/>
      <c r="F135" s="136"/>
      <c r="G135" s="136"/>
      <c r="H135" s="136"/>
      <c r="I135" s="140"/>
      <c r="J135" s="136"/>
      <c r="K135" s="136"/>
      <c r="L135" s="136"/>
      <c r="M135" s="136"/>
      <c r="N135" s="136"/>
      <c r="O135" s="136"/>
      <c r="P135" s="136"/>
      <c r="Q135" s="136"/>
      <c r="R135" s="136"/>
      <c r="S135" s="136"/>
      <c r="T135" s="136"/>
      <c r="U135" s="136"/>
      <c r="V135" s="136"/>
      <c r="W135" s="136"/>
      <c r="X135" s="136"/>
      <c r="Y135" s="136"/>
      <c r="Z135" s="136"/>
    </row>
    <row r="136" spans="1:26" ht="14.25" customHeight="1">
      <c r="A136" s="136"/>
      <c r="B136" s="136"/>
      <c r="C136" s="136"/>
      <c r="D136" s="136"/>
      <c r="E136" s="136"/>
      <c r="F136" s="136"/>
      <c r="G136" s="136"/>
      <c r="H136" s="136"/>
      <c r="I136" s="140"/>
      <c r="J136" s="136"/>
      <c r="K136" s="136"/>
      <c r="L136" s="136"/>
      <c r="M136" s="136"/>
      <c r="N136" s="136"/>
      <c r="O136" s="136"/>
      <c r="P136" s="136"/>
      <c r="Q136" s="136"/>
      <c r="R136" s="136"/>
      <c r="S136" s="136"/>
      <c r="T136" s="136"/>
      <c r="U136" s="136"/>
      <c r="V136" s="136"/>
      <c r="W136" s="136"/>
      <c r="X136" s="136"/>
      <c r="Y136" s="136"/>
      <c r="Z136" s="136"/>
    </row>
    <row r="137" spans="1:26" ht="14.25" customHeight="1">
      <c r="A137" s="136"/>
      <c r="B137" s="136"/>
      <c r="C137" s="136"/>
      <c r="D137" s="136"/>
      <c r="E137" s="136"/>
      <c r="F137" s="136"/>
      <c r="G137" s="136"/>
      <c r="H137" s="136"/>
      <c r="I137" s="140"/>
      <c r="J137" s="136"/>
      <c r="K137" s="136"/>
      <c r="L137" s="136"/>
      <c r="M137" s="136"/>
      <c r="N137" s="136"/>
      <c r="O137" s="136"/>
      <c r="P137" s="136"/>
      <c r="Q137" s="136"/>
      <c r="R137" s="136"/>
      <c r="S137" s="136"/>
      <c r="T137" s="136"/>
      <c r="U137" s="136"/>
      <c r="V137" s="136"/>
      <c r="W137" s="136"/>
      <c r="X137" s="136"/>
      <c r="Y137" s="136"/>
      <c r="Z137" s="136"/>
    </row>
    <row r="138" spans="1:26" ht="14.25" customHeight="1">
      <c r="A138" s="136"/>
      <c r="B138" s="136"/>
      <c r="C138" s="136"/>
      <c r="D138" s="136"/>
      <c r="E138" s="136"/>
      <c r="F138" s="136"/>
      <c r="G138" s="136"/>
      <c r="H138" s="136"/>
      <c r="I138" s="140"/>
      <c r="J138" s="136"/>
      <c r="K138" s="136"/>
      <c r="L138" s="136"/>
      <c r="M138" s="136"/>
      <c r="N138" s="136"/>
      <c r="O138" s="136"/>
      <c r="P138" s="136"/>
      <c r="Q138" s="136"/>
      <c r="R138" s="136"/>
      <c r="S138" s="136"/>
      <c r="T138" s="136"/>
      <c r="U138" s="136"/>
      <c r="V138" s="136"/>
      <c r="W138" s="136"/>
      <c r="X138" s="136"/>
      <c r="Y138" s="136"/>
      <c r="Z138" s="136"/>
    </row>
    <row r="139" spans="1:26" ht="14.25" customHeight="1">
      <c r="A139" s="136"/>
      <c r="B139" s="136"/>
      <c r="C139" s="136"/>
      <c r="D139" s="136"/>
      <c r="E139" s="136"/>
      <c r="F139" s="136"/>
      <c r="G139" s="136"/>
      <c r="H139" s="136"/>
      <c r="I139" s="140"/>
      <c r="J139" s="136"/>
      <c r="K139" s="136"/>
      <c r="L139" s="136"/>
      <c r="M139" s="136"/>
      <c r="N139" s="136"/>
      <c r="O139" s="136"/>
      <c r="P139" s="136"/>
      <c r="Q139" s="136"/>
      <c r="R139" s="136"/>
      <c r="S139" s="136"/>
      <c r="T139" s="136"/>
      <c r="U139" s="136"/>
      <c r="V139" s="136"/>
      <c r="W139" s="136"/>
      <c r="X139" s="136"/>
      <c r="Y139" s="136"/>
      <c r="Z139" s="136"/>
    </row>
    <row r="140" spans="1:26" ht="14.25" customHeight="1">
      <c r="A140" s="136"/>
      <c r="B140" s="136"/>
      <c r="C140" s="136"/>
      <c r="D140" s="136"/>
      <c r="E140" s="136"/>
      <c r="F140" s="136"/>
      <c r="G140" s="136"/>
      <c r="H140" s="136"/>
      <c r="I140" s="140"/>
      <c r="J140" s="136"/>
      <c r="K140" s="136"/>
      <c r="L140" s="136"/>
      <c r="M140" s="136"/>
      <c r="N140" s="136"/>
      <c r="O140" s="136"/>
      <c r="P140" s="136"/>
      <c r="Q140" s="136"/>
      <c r="R140" s="136"/>
      <c r="S140" s="136"/>
      <c r="T140" s="136"/>
      <c r="U140" s="136"/>
      <c r="V140" s="136"/>
      <c r="W140" s="136"/>
      <c r="X140" s="136"/>
      <c r="Y140" s="136"/>
      <c r="Z140" s="136"/>
    </row>
    <row r="141" spans="1:26" ht="14.25" customHeight="1">
      <c r="A141" s="136"/>
      <c r="B141" s="136"/>
      <c r="C141" s="136"/>
      <c r="D141" s="136"/>
      <c r="E141" s="136"/>
      <c r="F141" s="136"/>
      <c r="G141" s="136"/>
      <c r="H141" s="136"/>
      <c r="I141" s="140"/>
      <c r="J141" s="136"/>
      <c r="K141" s="136"/>
      <c r="L141" s="136"/>
      <c r="M141" s="136"/>
      <c r="N141" s="136"/>
      <c r="O141" s="136"/>
      <c r="P141" s="136"/>
      <c r="Q141" s="136"/>
      <c r="R141" s="136"/>
      <c r="S141" s="136"/>
      <c r="T141" s="136"/>
      <c r="U141" s="136"/>
      <c r="V141" s="136"/>
      <c r="W141" s="136"/>
      <c r="X141" s="136"/>
      <c r="Y141" s="136"/>
      <c r="Z141" s="136"/>
    </row>
    <row r="142" spans="1:26" ht="14.25" customHeight="1">
      <c r="A142" s="136"/>
      <c r="B142" s="136"/>
      <c r="C142" s="136"/>
      <c r="D142" s="136"/>
      <c r="E142" s="136"/>
      <c r="F142" s="136"/>
      <c r="G142" s="136"/>
      <c r="H142" s="136"/>
      <c r="I142" s="140"/>
      <c r="J142" s="136"/>
      <c r="K142" s="136"/>
      <c r="L142" s="136"/>
      <c r="M142" s="136"/>
      <c r="N142" s="136"/>
      <c r="O142" s="136"/>
      <c r="P142" s="136"/>
      <c r="Q142" s="136"/>
      <c r="R142" s="136"/>
      <c r="S142" s="136"/>
      <c r="T142" s="136"/>
      <c r="U142" s="136"/>
      <c r="V142" s="136"/>
      <c r="W142" s="136"/>
      <c r="X142" s="136"/>
      <c r="Y142" s="136"/>
      <c r="Z142" s="136"/>
    </row>
    <row r="143" spans="1:26" ht="14.25" customHeight="1">
      <c r="A143" s="136"/>
      <c r="B143" s="136"/>
      <c r="C143" s="136"/>
      <c r="D143" s="136"/>
      <c r="E143" s="136"/>
      <c r="F143" s="136"/>
      <c r="G143" s="136"/>
      <c r="H143" s="136"/>
      <c r="I143" s="140"/>
      <c r="J143" s="136"/>
      <c r="K143" s="136"/>
      <c r="L143" s="136"/>
      <c r="M143" s="136"/>
      <c r="N143" s="136"/>
      <c r="O143" s="136"/>
      <c r="P143" s="136"/>
      <c r="Q143" s="136"/>
      <c r="R143" s="136"/>
      <c r="S143" s="136"/>
      <c r="T143" s="136"/>
      <c r="U143" s="136"/>
      <c r="V143" s="136"/>
      <c r="W143" s="136"/>
      <c r="X143" s="136"/>
      <c r="Y143" s="136"/>
      <c r="Z143" s="136"/>
    </row>
    <row r="144" spans="1:26" ht="14.25" customHeight="1">
      <c r="A144" s="136"/>
      <c r="B144" s="136"/>
      <c r="C144" s="136"/>
      <c r="D144" s="136"/>
      <c r="E144" s="136"/>
      <c r="F144" s="136"/>
      <c r="G144" s="136"/>
      <c r="H144" s="136"/>
      <c r="I144" s="140"/>
      <c r="J144" s="136"/>
      <c r="K144" s="136"/>
      <c r="L144" s="136"/>
      <c r="M144" s="136"/>
      <c r="N144" s="136"/>
      <c r="O144" s="136"/>
      <c r="P144" s="136"/>
      <c r="Q144" s="136"/>
      <c r="R144" s="136"/>
      <c r="S144" s="136"/>
      <c r="T144" s="136"/>
      <c r="U144" s="136"/>
      <c r="V144" s="136"/>
      <c r="W144" s="136"/>
      <c r="X144" s="136"/>
      <c r="Y144" s="136"/>
      <c r="Z144" s="136"/>
    </row>
    <row r="145" spans="1:26" ht="14.25" customHeight="1">
      <c r="A145" s="136"/>
      <c r="B145" s="136"/>
      <c r="C145" s="136"/>
      <c r="D145" s="136"/>
      <c r="E145" s="136"/>
      <c r="F145" s="136"/>
      <c r="G145" s="136"/>
      <c r="H145" s="136"/>
      <c r="I145" s="140"/>
      <c r="J145" s="136"/>
      <c r="K145" s="136"/>
      <c r="L145" s="136"/>
      <c r="M145" s="136"/>
      <c r="N145" s="136"/>
      <c r="O145" s="136"/>
      <c r="P145" s="136"/>
      <c r="Q145" s="136"/>
      <c r="R145" s="136"/>
      <c r="S145" s="136"/>
      <c r="T145" s="136"/>
      <c r="U145" s="136"/>
      <c r="V145" s="136"/>
      <c r="W145" s="136"/>
      <c r="X145" s="136"/>
      <c r="Y145" s="136"/>
      <c r="Z145" s="136"/>
    </row>
    <row r="146" spans="1:26" ht="14.25" customHeight="1">
      <c r="A146" s="136"/>
      <c r="B146" s="136"/>
      <c r="C146" s="136"/>
      <c r="D146" s="136"/>
      <c r="E146" s="136"/>
      <c r="F146" s="136"/>
      <c r="G146" s="136"/>
      <c r="H146" s="136"/>
      <c r="I146" s="140"/>
      <c r="J146" s="136"/>
      <c r="K146" s="136"/>
      <c r="L146" s="136"/>
      <c r="M146" s="136"/>
      <c r="N146" s="136"/>
      <c r="O146" s="136"/>
      <c r="P146" s="136"/>
      <c r="Q146" s="136"/>
      <c r="R146" s="136"/>
      <c r="S146" s="136"/>
      <c r="T146" s="136"/>
      <c r="U146" s="136"/>
      <c r="V146" s="136"/>
      <c r="W146" s="136"/>
      <c r="X146" s="136"/>
      <c r="Y146" s="136"/>
      <c r="Z146" s="136"/>
    </row>
    <row r="147" spans="1:26" ht="14.25" customHeight="1">
      <c r="A147" s="136"/>
      <c r="B147" s="136"/>
      <c r="C147" s="136"/>
      <c r="D147" s="136"/>
      <c r="E147" s="136"/>
      <c r="F147" s="136"/>
      <c r="G147" s="136"/>
      <c r="H147" s="136"/>
      <c r="I147" s="140"/>
      <c r="J147" s="136"/>
      <c r="K147" s="136"/>
      <c r="L147" s="136"/>
      <c r="M147" s="136"/>
      <c r="N147" s="136"/>
      <c r="O147" s="136"/>
      <c r="P147" s="136"/>
      <c r="Q147" s="136"/>
      <c r="R147" s="136"/>
      <c r="S147" s="136"/>
      <c r="T147" s="136"/>
      <c r="U147" s="136"/>
      <c r="V147" s="136"/>
      <c r="W147" s="136"/>
      <c r="X147" s="136"/>
      <c r="Y147" s="136"/>
      <c r="Z147" s="136"/>
    </row>
    <row r="148" spans="1:26" ht="14.25" customHeight="1">
      <c r="A148" s="136"/>
      <c r="B148" s="136"/>
      <c r="C148" s="136"/>
      <c r="D148" s="136"/>
      <c r="E148" s="136"/>
      <c r="F148" s="136"/>
      <c r="G148" s="136"/>
      <c r="H148" s="136"/>
      <c r="I148" s="140"/>
      <c r="J148" s="136"/>
      <c r="K148" s="136"/>
      <c r="L148" s="136"/>
      <c r="M148" s="136"/>
      <c r="N148" s="136"/>
      <c r="O148" s="136"/>
      <c r="P148" s="136"/>
      <c r="Q148" s="136"/>
      <c r="R148" s="136"/>
      <c r="S148" s="136"/>
      <c r="T148" s="136"/>
      <c r="U148" s="136"/>
      <c r="V148" s="136"/>
      <c r="W148" s="136"/>
      <c r="X148" s="136"/>
      <c r="Y148" s="136"/>
      <c r="Z148" s="136"/>
    </row>
    <row r="149" spans="1:26" ht="14.25" customHeight="1">
      <c r="A149" s="136"/>
      <c r="B149" s="136"/>
      <c r="C149" s="136"/>
      <c r="D149" s="136"/>
      <c r="E149" s="136"/>
      <c r="F149" s="136"/>
      <c r="G149" s="136"/>
      <c r="H149" s="136"/>
      <c r="I149" s="140"/>
      <c r="J149" s="136"/>
      <c r="K149" s="136"/>
      <c r="L149" s="136"/>
      <c r="M149" s="136"/>
      <c r="N149" s="136"/>
      <c r="O149" s="136"/>
      <c r="P149" s="136"/>
      <c r="Q149" s="136"/>
      <c r="R149" s="136"/>
      <c r="S149" s="136"/>
      <c r="T149" s="136"/>
      <c r="U149" s="136"/>
      <c r="V149" s="136"/>
      <c r="W149" s="136"/>
      <c r="X149" s="136"/>
      <c r="Y149" s="136"/>
      <c r="Z149" s="136"/>
    </row>
    <row r="150" spans="1:26" ht="14.25" customHeight="1">
      <c r="A150" s="136"/>
      <c r="B150" s="136"/>
      <c r="C150" s="136"/>
      <c r="D150" s="136"/>
      <c r="E150" s="136"/>
      <c r="F150" s="136"/>
      <c r="G150" s="136"/>
      <c r="H150" s="136"/>
      <c r="I150" s="140"/>
      <c r="J150" s="136"/>
      <c r="K150" s="136"/>
      <c r="L150" s="136"/>
      <c r="M150" s="136"/>
      <c r="N150" s="136"/>
      <c r="O150" s="136"/>
      <c r="P150" s="136"/>
      <c r="Q150" s="136"/>
      <c r="R150" s="136"/>
      <c r="S150" s="136"/>
      <c r="T150" s="136"/>
      <c r="U150" s="136"/>
      <c r="V150" s="136"/>
      <c r="W150" s="136"/>
      <c r="X150" s="136"/>
      <c r="Y150" s="136"/>
      <c r="Z150" s="136"/>
    </row>
    <row r="151" spans="1:26" ht="14.25" customHeight="1">
      <c r="A151" s="136"/>
      <c r="B151" s="136"/>
      <c r="C151" s="136"/>
      <c r="D151" s="136"/>
      <c r="E151" s="136"/>
      <c r="F151" s="136"/>
      <c r="G151" s="136"/>
      <c r="H151" s="136"/>
      <c r="I151" s="140"/>
      <c r="J151" s="136"/>
      <c r="K151" s="136"/>
      <c r="L151" s="136"/>
      <c r="M151" s="136"/>
      <c r="N151" s="136"/>
      <c r="O151" s="136"/>
      <c r="P151" s="136"/>
      <c r="Q151" s="136"/>
      <c r="R151" s="136"/>
      <c r="S151" s="136"/>
      <c r="T151" s="136"/>
      <c r="U151" s="136"/>
      <c r="V151" s="136"/>
      <c r="W151" s="136"/>
      <c r="X151" s="136"/>
      <c r="Y151" s="136"/>
      <c r="Z151" s="136"/>
    </row>
    <row r="152" spans="1:26" ht="14.25" customHeight="1">
      <c r="A152" s="136"/>
      <c r="B152" s="136"/>
      <c r="C152" s="136"/>
      <c r="D152" s="136"/>
      <c r="E152" s="136"/>
      <c r="F152" s="136"/>
      <c r="G152" s="136"/>
      <c r="H152" s="136"/>
      <c r="I152" s="140"/>
      <c r="J152" s="136"/>
      <c r="K152" s="136"/>
      <c r="L152" s="136"/>
      <c r="M152" s="136"/>
      <c r="N152" s="136"/>
      <c r="O152" s="136"/>
      <c r="P152" s="136"/>
      <c r="Q152" s="136"/>
      <c r="R152" s="136"/>
      <c r="S152" s="136"/>
      <c r="T152" s="136"/>
      <c r="U152" s="136"/>
      <c r="V152" s="136"/>
      <c r="W152" s="136"/>
      <c r="X152" s="136"/>
      <c r="Y152" s="136"/>
      <c r="Z152" s="136"/>
    </row>
    <row r="153" spans="1:26" ht="14.25" customHeight="1">
      <c r="A153" s="136"/>
      <c r="B153" s="136"/>
      <c r="C153" s="136"/>
      <c r="D153" s="136"/>
      <c r="E153" s="136"/>
      <c r="F153" s="136"/>
      <c r="G153" s="136"/>
      <c r="H153" s="136"/>
      <c r="I153" s="140"/>
      <c r="J153" s="136"/>
      <c r="K153" s="136"/>
      <c r="L153" s="136"/>
      <c r="M153" s="136"/>
      <c r="N153" s="136"/>
      <c r="O153" s="136"/>
      <c r="P153" s="136"/>
      <c r="Q153" s="136"/>
      <c r="R153" s="136"/>
      <c r="S153" s="136"/>
      <c r="T153" s="136"/>
      <c r="U153" s="136"/>
      <c r="V153" s="136"/>
      <c r="W153" s="136"/>
      <c r="X153" s="136"/>
      <c r="Y153" s="136"/>
      <c r="Z153" s="136"/>
    </row>
    <row r="154" spans="1:26" ht="14.25" customHeight="1">
      <c r="A154" s="136"/>
      <c r="B154" s="136"/>
      <c r="C154" s="136"/>
      <c r="D154" s="136"/>
      <c r="E154" s="136"/>
      <c r="F154" s="136"/>
      <c r="G154" s="136"/>
      <c r="H154" s="136"/>
      <c r="I154" s="140"/>
      <c r="J154" s="136"/>
      <c r="K154" s="136"/>
      <c r="L154" s="136"/>
      <c r="M154" s="136"/>
      <c r="N154" s="136"/>
      <c r="O154" s="136"/>
      <c r="P154" s="136"/>
      <c r="Q154" s="136"/>
      <c r="R154" s="136"/>
      <c r="S154" s="136"/>
      <c r="T154" s="136"/>
      <c r="U154" s="136"/>
      <c r="V154" s="136"/>
      <c r="W154" s="136"/>
      <c r="X154" s="136"/>
      <c r="Y154" s="136"/>
      <c r="Z154" s="136"/>
    </row>
    <row r="155" spans="1:26" ht="14.25" customHeight="1">
      <c r="A155" s="136"/>
      <c r="B155" s="136"/>
      <c r="C155" s="136"/>
      <c r="D155" s="136"/>
      <c r="E155" s="136"/>
      <c r="F155" s="136"/>
      <c r="G155" s="136"/>
      <c r="H155" s="136"/>
      <c r="I155" s="140"/>
      <c r="J155" s="136"/>
      <c r="K155" s="136"/>
      <c r="L155" s="136"/>
      <c r="M155" s="136"/>
      <c r="N155" s="136"/>
      <c r="O155" s="136"/>
      <c r="P155" s="136"/>
      <c r="Q155" s="136"/>
      <c r="R155" s="136"/>
      <c r="S155" s="136"/>
      <c r="T155" s="136"/>
      <c r="U155" s="136"/>
      <c r="V155" s="136"/>
      <c r="W155" s="136"/>
      <c r="X155" s="136"/>
      <c r="Y155" s="136"/>
      <c r="Z155" s="136"/>
    </row>
    <row r="156" spans="1:26" ht="14.25" customHeight="1">
      <c r="A156" s="136"/>
      <c r="B156" s="136"/>
      <c r="C156" s="136"/>
      <c r="D156" s="136"/>
      <c r="E156" s="136"/>
      <c r="F156" s="136"/>
      <c r="G156" s="136"/>
      <c r="H156" s="136"/>
      <c r="I156" s="140"/>
      <c r="J156" s="136"/>
      <c r="K156" s="136"/>
      <c r="L156" s="136"/>
      <c r="M156" s="136"/>
      <c r="N156" s="136"/>
      <c r="O156" s="136"/>
      <c r="P156" s="136"/>
      <c r="Q156" s="136"/>
      <c r="R156" s="136"/>
      <c r="S156" s="136"/>
      <c r="T156" s="136"/>
      <c r="U156" s="136"/>
      <c r="V156" s="136"/>
      <c r="W156" s="136"/>
      <c r="X156" s="136"/>
      <c r="Y156" s="136"/>
      <c r="Z156" s="136"/>
    </row>
    <row r="157" spans="1:26" ht="14.25" customHeight="1">
      <c r="A157" s="136"/>
      <c r="B157" s="136"/>
      <c r="C157" s="136"/>
      <c r="D157" s="136"/>
      <c r="E157" s="136"/>
      <c r="F157" s="136"/>
      <c r="G157" s="136"/>
      <c r="H157" s="136"/>
      <c r="I157" s="140"/>
      <c r="J157" s="136"/>
      <c r="K157" s="136"/>
      <c r="L157" s="136"/>
      <c r="M157" s="136"/>
      <c r="N157" s="136"/>
      <c r="O157" s="136"/>
      <c r="P157" s="136"/>
      <c r="Q157" s="136"/>
      <c r="R157" s="136"/>
      <c r="S157" s="136"/>
      <c r="T157" s="136"/>
      <c r="U157" s="136"/>
      <c r="V157" s="136"/>
      <c r="W157" s="136"/>
      <c r="X157" s="136"/>
      <c r="Y157" s="136"/>
      <c r="Z157" s="136"/>
    </row>
    <row r="158" spans="1:26" ht="14.25" customHeight="1">
      <c r="A158" s="136"/>
      <c r="B158" s="136"/>
      <c r="C158" s="136"/>
      <c r="D158" s="136"/>
      <c r="E158" s="136"/>
      <c r="F158" s="136"/>
      <c r="G158" s="136"/>
      <c r="H158" s="136"/>
      <c r="I158" s="140"/>
      <c r="J158" s="136"/>
      <c r="K158" s="136"/>
      <c r="L158" s="136"/>
      <c r="M158" s="136"/>
      <c r="N158" s="136"/>
      <c r="O158" s="136"/>
      <c r="P158" s="136"/>
      <c r="Q158" s="136"/>
      <c r="R158" s="136"/>
      <c r="S158" s="136"/>
      <c r="T158" s="136"/>
      <c r="U158" s="136"/>
      <c r="V158" s="136"/>
      <c r="W158" s="136"/>
      <c r="X158" s="136"/>
      <c r="Y158" s="136"/>
      <c r="Z158" s="136"/>
    </row>
    <row r="159" spans="1:26" ht="14.25" customHeight="1">
      <c r="A159" s="136"/>
      <c r="B159" s="136"/>
      <c r="C159" s="136"/>
      <c r="D159" s="136"/>
      <c r="E159" s="136"/>
      <c r="F159" s="136"/>
      <c r="G159" s="136"/>
      <c r="H159" s="136"/>
      <c r="I159" s="140"/>
      <c r="J159" s="136"/>
      <c r="K159" s="136"/>
      <c r="L159" s="136"/>
      <c r="M159" s="136"/>
      <c r="N159" s="136"/>
      <c r="O159" s="136"/>
      <c r="P159" s="136"/>
      <c r="Q159" s="136"/>
      <c r="R159" s="136"/>
      <c r="S159" s="136"/>
      <c r="T159" s="136"/>
      <c r="U159" s="136"/>
      <c r="V159" s="136"/>
      <c r="W159" s="136"/>
      <c r="X159" s="136"/>
      <c r="Y159" s="136"/>
      <c r="Z159" s="136"/>
    </row>
    <row r="160" spans="1:26" ht="14.25" customHeight="1">
      <c r="A160" s="136"/>
      <c r="B160" s="136"/>
      <c r="C160" s="136"/>
      <c r="D160" s="136"/>
      <c r="E160" s="136"/>
      <c r="F160" s="136"/>
      <c r="G160" s="136"/>
      <c r="H160" s="136"/>
      <c r="I160" s="140"/>
      <c r="J160" s="136"/>
      <c r="K160" s="136"/>
      <c r="L160" s="136"/>
      <c r="M160" s="136"/>
      <c r="N160" s="136"/>
      <c r="O160" s="136"/>
      <c r="P160" s="136"/>
      <c r="Q160" s="136"/>
      <c r="R160" s="136"/>
      <c r="S160" s="136"/>
      <c r="T160" s="136"/>
      <c r="U160" s="136"/>
      <c r="V160" s="136"/>
      <c r="W160" s="136"/>
      <c r="X160" s="136"/>
      <c r="Y160" s="136"/>
      <c r="Z160" s="136"/>
    </row>
    <row r="161" spans="1:26" ht="14.25" customHeight="1">
      <c r="A161" s="136"/>
      <c r="B161" s="136"/>
      <c r="C161" s="136"/>
      <c r="D161" s="136"/>
      <c r="E161" s="136"/>
      <c r="F161" s="136"/>
      <c r="G161" s="136"/>
      <c r="H161" s="136"/>
      <c r="I161" s="140"/>
      <c r="J161" s="136"/>
      <c r="K161" s="136"/>
      <c r="L161" s="136"/>
      <c r="M161" s="136"/>
      <c r="N161" s="136"/>
      <c r="O161" s="136"/>
      <c r="P161" s="136"/>
      <c r="Q161" s="136"/>
      <c r="R161" s="136"/>
      <c r="S161" s="136"/>
      <c r="T161" s="136"/>
      <c r="U161" s="136"/>
      <c r="V161" s="136"/>
      <c r="W161" s="136"/>
      <c r="X161" s="136"/>
      <c r="Y161" s="136"/>
      <c r="Z161" s="136"/>
    </row>
    <row r="162" spans="1:26" ht="14.25" customHeight="1">
      <c r="A162" s="136"/>
      <c r="B162" s="136"/>
      <c r="C162" s="136"/>
      <c r="D162" s="136"/>
      <c r="E162" s="136"/>
      <c r="F162" s="136"/>
      <c r="G162" s="136"/>
      <c r="H162" s="136"/>
      <c r="I162" s="140"/>
      <c r="J162" s="136"/>
      <c r="K162" s="136"/>
      <c r="L162" s="136"/>
      <c r="M162" s="136"/>
      <c r="N162" s="136"/>
      <c r="O162" s="136"/>
      <c r="P162" s="136"/>
      <c r="Q162" s="136"/>
      <c r="R162" s="136"/>
      <c r="S162" s="136"/>
      <c r="T162" s="136"/>
      <c r="U162" s="136"/>
      <c r="V162" s="136"/>
      <c r="W162" s="136"/>
      <c r="X162" s="136"/>
      <c r="Y162" s="136"/>
      <c r="Z162" s="136"/>
    </row>
    <row r="163" spans="1:26" ht="14.25" customHeight="1">
      <c r="A163" s="136"/>
      <c r="B163" s="136"/>
      <c r="C163" s="136"/>
      <c r="D163" s="136"/>
      <c r="E163" s="136"/>
      <c r="F163" s="136"/>
      <c r="G163" s="136"/>
      <c r="H163" s="136"/>
      <c r="I163" s="140"/>
      <c r="J163" s="136"/>
      <c r="K163" s="136"/>
      <c r="L163" s="136"/>
      <c r="M163" s="136"/>
      <c r="N163" s="136"/>
      <c r="O163" s="136"/>
      <c r="P163" s="136"/>
      <c r="Q163" s="136"/>
      <c r="R163" s="136"/>
      <c r="S163" s="136"/>
      <c r="T163" s="136"/>
      <c r="U163" s="136"/>
      <c r="V163" s="136"/>
      <c r="W163" s="136"/>
      <c r="X163" s="136"/>
      <c r="Y163" s="136"/>
      <c r="Z163" s="136"/>
    </row>
    <row r="164" spans="1:26" ht="14.25" customHeight="1">
      <c r="A164" s="136"/>
      <c r="B164" s="136"/>
      <c r="C164" s="136"/>
      <c r="D164" s="136"/>
      <c r="E164" s="136"/>
      <c r="F164" s="136"/>
      <c r="G164" s="136"/>
      <c r="H164" s="136"/>
      <c r="I164" s="140"/>
      <c r="J164" s="136"/>
      <c r="K164" s="136"/>
      <c r="L164" s="136"/>
      <c r="M164" s="136"/>
      <c r="N164" s="136"/>
      <c r="O164" s="136"/>
      <c r="P164" s="136"/>
      <c r="Q164" s="136"/>
      <c r="R164" s="136"/>
      <c r="S164" s="136"/>
      <c r="T164" s="136"/>
      <c r="U164" s="136"/>
      <c r="V164" s="136"/>
      <c r="W164" s="136"/>
      <c r="X164" s="136"/>
      <c r="Y164" s="136"/>
      <c r="Z164" s="136"/>
    </row>
    <row r="165" spans="1:26" ht="14.25" customHeight="1">
      <c r="A165" s="136"/>
      <c r="B165" s="136"/>
      <c r="C165" s="136"/>
      <c r="D165" s="136"/>
      <c r="E165" s="136"/>
      <c r="F165" s="136"/>
      <c r="G165" s="136"/>
      <c r="H165" s="136"/>
      <c r="I165" s="140"/>
      <c r="J165" s="136"/>
      <c r="K165" s="136"/>
      <c r="L165" s="136"/>
      <c r="M165" s="136"/>
      <c r="N165" s="136"/>
      <c r="O165" s="136"/>
      <c r="P165" s="136"/>
      <c r="Q165" s="136"/>
      <c r="R165" s="136"/>
      <c r="S165" s="136"/>
      <c r="T165" s="136"/>
      <c r="U165" s="136"/>
      <c r="V165" s="136"/>
      <c r="W165" s="136"/>
      <c r="X165" s="136"/>
      <c r="Y165" s="136"/>
      <c r="Z165" s="136"/>
    </row>
    <row r="166" spans="1:26" ht="14.25" customHeight="1">
      <c r="A166" s="136"/>
      <c r="B166" s="136"/>
      <c r="C166" s="136"/>
      <c r="D166" s="136"/>
      <c r="E166" s="136"/>
      <c r="F166" s="136"/>
      <c r="G166" s="136"/>
      <c r="H166" s="136"/>
      <c r="I166" s="140"/>
      <c r="J166" s="136"/>
      <c r="K166" s="136"/>
      <c r="L166" s="136"/>
      <c r="M166" s="136"/>
      <c r="N166" s="136"/>
      <c r="O166" s="136"/>
      <c r="P166" s="136"/>
      <c r="Q166" s="136"/>
      <c r="R166" s="136"/>
      <c r="S166" s="136"/>
      <c r="T166" s="136"/>
      <c r="U166" s="136"/>
      <c r="V166" s="136"/>
      <c r="W166" s="136"/>
      <c r="X166" s="136"/>
      <c r="Y166" s="136"/>
      <c r="Z166" s="136"/>
    </row>
    <row r="167" spans="1:26" ht="14.25" customHeight="1">
      <c r="A167" s="136"/>
      <c r="B167" s="136"/>
      <c r="C167" s="136"/>
      <c r="D167" s="136"/>
      <c r="E167" s="136"/>
      <c r="F167" s="136"/>
      <c r="G167" s="136"/>
      <c r="H167" s="136"/>
      <c r="I167" s="140"/>
      <c r="J167" s="136"/>
      <c r="K167" s="136"/>
      <c r="L167" s="136"/>
      <c r="M167" s="136"/>
      <c r="N167" s="136"/>
      <c r="O167" s="136"/>
      <c r="P167" s="136"/>
      <c r="Q167" s="136"/>
      <c r="R167" s="136"/>
      <c r="S167" s="136"/>
      <c r="T167" s="136"/>
      <c r="U167" s="136"/>
      <c r="V167" s="136"/>
      <c r="W167" s="136"/>
      <c r="X167" s="136"/>
      <c r="Y167" s="136"/>
      <c r="Z167" s="136"/>
    </row>
    <row r="168" spans="1:26" ht="14.25" customHeight="1">
      <c r="A168" s="136"/>
      <c r="B168" s="136"/>
      <c r="C168" s="136"/>
      <c r="D168" s="136"/>
      <c r="E168" s="136"/>
      <c r="F168" s="136"/>
      <c r="G168" s="136"/>
      <c r="H168" s="136"/>
      <c r="I168" s="140"/>
      <c r="J168" s="136"/>
      <c r="K168" s="136"/>
      <c r="L168" s="136"/>
      <c r="M168" s="136"/>
      <c r="N168" s="136"/>
      <c r="O168" s="136"/>
      <c r="P168" s="136"/>
      <c r="Q168" s="136"/>
      <c r="R168" s="136"/>
      <c r="S168" s="136"/>
      <c r="T168" s="136"/>
      <c r="U168" s="136"/>
      <c r="V168" s="136"/>
      <c r="W168" s="136"/>
      <c r="X168" s="136"/>
      <c r="Y168" s="136"/>
      <c r="Z168" s="136"/>
    </row>
    <row r="169" spans="1:26" ht="14.25" customHeight="1">
      <c r="A169" s="136"/>
      <c r="B169" s="136"/>
      <c r="C169" s="136"/>
      <c r="D169" s="136"/>
      <c r="E169" s="136"/>
      <c r="F169" s="136"/>
      <c r="G169" s="136"/>
      <c r="H169" s="136"/>
      <c r="I169" s="140"/>
      <c r="J169" s="136"/>
      <c r="K169" s="136"/>
      <c r="L169" s="136"/>
      <c r="M169" s="136"/>
      <c r="N169" s="136"/>
      <c r="O169" s="136"/>
      <c r="P169" s="136"/>
      <c r="Q169" s="136"/>
      <c r="R169" s="136"/>
      <c r="S169" s="136"/>
      <c r="T169" s="136"/>
      <c r="U169" s="136"/>
      <c r="V169" s="136"/>
      <c r="W169" s="136"/>
      <c r="X169" s="136"/>
      <c r="Y169" s="136"/>
      <c r="Z169" s="136"/>
    </row>
    <row r="170" spans="1:26" ht="14.25" customHeight="1">
      <c r="A170" s="136"/>
      <c r="B170" s="136"/>
      <c r="C170" s="136"/>
      <c r="D170" s="136"/>
      <c r="E170" s="136"/>
      <c r="F170" s="136"/>
      <c r="G170" s="136"/>
      <c r="H170" s="136"/>
      <c r="I170" s="140"/>
      <c r="J170" s="136"/>
      <c r="K170" s="136"/>
      <c r="L170" s="136"/>
      <c r="M170" s="136"/>
      <c r="N170" s="136"/>
      <c r="O170" s="136"/>
      <c r="P170" s="136"/>
      <c r="Q170" s="136"/>
      <c r="R170" s="136"/>
      <c r="S170" s="136"/>
      <c r="T170" s="136"/>
      <c r="U170" s="136"/>
      <c r="V170" s="136"/>
      <c r="W170" s="136"/>
      <c r="X170" s="136"/>
      <c r="Y170" s="136"/>
      <c r="Z170" s="136"/>
    </row>
    <row r="171" spans="1:26" ht="14.25" customHeight="1">
      <c r="A171" s="136"/>
      <c r="B171" s="136"/>
      <c r="C171" s="136"/>
      <c r="D171" s="136"/>
      <c r="E171" s="136"/>
      <c r="F171" s="136"/>
      <c r="G171" s="136"/>
      <c r="H171" s="136"/>
      <c r="I171" s="140"/>
      <c r="J171" s="136"/>
      <c r="K171" s="136"/>
      <c r="L171" s="136"/>
      <c r="M171" s="136"/>
      <c r="N171" s="136"/>
      <c r="O171" s="136"/>
      <c r="P171" s="136"/>
      <c r="Q171" s="136"/>
      <c r="R171" s="136"/>
      <c r="S171" s="136"/>
      <c r="T171" s="136"/>
      <c r="U171" s="136"/>
      <c r="V171" s="136"/>
      <c r="W171" s="136"/>
      <c r="X171" s="136"/>
      <c r="Y171" s="136"/>
      <c r="Z171" s="136"/>
    </row>
    <row r="172" spans="1:26" ht="14.25" customHeight="1">
      <c r="A172" s="136"/>
      <c r="B172" s="136"/>
      <c r="C172" s="136"/>
      <c r="D172" s="136"/>
      <c r="E172" s="136"/>
      <c r="F172" s="136"/>
      <c r="G172" s="136"/>
      <c r="H172" s="136"/>
      <c r="I172" s="140"/>
      <c r="J172" s="136"/>
      <c r="K172" s="136"/>
      <c r="L172" s="136"/>
      <c r="M172" s="136"/>
      <c r="N172" s="136"/>
      <c r="O172" s="136"/>
      <c r="P172" s="136"/>
      <c r="Q172" s="136"/>
      <c r="R172" s="136"/>
      <c r="S172" s="136"/>
      <c r="T172" s="136"/>
      <c r="U172" s="136"/>
      <c r="V172" s="136"/>
      <c r="W172" s="136"/>
      <c r="X172" s="136"/>
      <c r="Y172" s="136"/>
      <c r="Z172" s="136"/>
    </row>
    <row r="173" spans="1:26" ht="14.25" customHeight="1">
      <c r="A173" s="136"/>
      <c r="B173" s="136"/>
      <c r="C173" s="136"/>
      <c r="D173" s="136"/>
      <c r="E173" s="136"/>
      <c r="F173" s="136"/>
      <c r="G173" s="136"/>
      <c r="H173" s="136"/>
      <c r="I173" s="140"/>
      <c r="J173" s="136"/>
      <c r="K173" s="136"/>
      <c r="L173" s="136"/>
      <c r="M173" s="136"/>
      <c r="N173" s="136"/>
      <c r="O173" s="136"/>
      <c r="P173" s="136"/>
      <c r="Q173" s="136"/>
      <c r="R173" s="136"/>
      <c r="S173" s="136"/>
      <c r="T173" s="136"/>
      <c r="U173" s="136"/>
      <c r="V173" s="136"/>
      <c r="W173" s="136"/>
      <c r="X173" s="136"/>
      <c r="Y173" s="136"/>
      <c r="Z173" s="136"/>
    </row>
    <row r="174" spans="1:26" ht="14.25" customHeight="1">
      <c r="A174" s="136"/>
      <c r="B174" s="136"/>
      <c r="C174" s="136"/>
      <c r="D174" s="136"/>
      <c r="E174" s="136"/>
      <c r="F174" s="136"/>
      <c r="G174" s="136"/>
      <c r="H174" s="136"/>
      <c r="I174" s="140"/>
      <c r="J174" s="136"/>
      <c r="K174" s="136"/>
      <c r="L174" s="136"/>
      <c r="M174" s="136"/>
      <c r="N174" s="136"/>
      <c r="O174" s="136"/>
      <c r="P174" s="136"/>
      <c r="Q174" s="136"/>
      <c r="R174" s="136"/>
      <c r="S174" s="136"/>
      <c r="T174" s="136"/>
      <c r="U174" s="136"/>
      <c r="V174" s="136"/>
      <c r="W174" s="136"/>
      <c r="X174" s="136"/>
      <c r="Y174" s="136"/>
      <c r="Z174" s="136"/>
    </row>
    <row r="175" spans="1:26" ht="14.25" customHeight="1">
      <c r="A175" s="136"/>
      <c r="B175" s="136"/>
      <c r="C175" s="136"/>
      <c r="D175" s="136"/>
      <c r="E175" s="136"/>
      <c r="F175" s="136"/>
      <c r="G175" s="136"/>
      <c r="H175" s="136"/>
      <c r="I175" s="140"/>
      <c r="J175" s="136"/>
      <c r="K175" s="136"/>
      <c r="L175" s="136"/>
      <c r="M175" s="136"/>
      <c r="N175" s="136"/>
      <c r="O175" s="136"/>
      <c r="P175" s="136"/>
      <c r="Q175" s="136"/>
      <c r="R175" s="136"/>
      <c r="S175" s="136"/>
      <c r="T175" s="136"/>
      <c r="U175" s="136"/>
      <c r="V175" s="136"/>
      <c r="W175" s="136"/>
      <c r="X175" s="136"/>
      <c r="Y175" s="136"/>
      <c r="Z175" s="136"/>
    </row>
    <row r="176" spans="1:26" ht="14.25" customHeight="1">
      <c r="A176" s="136"/>
      <c r="B176" s="136"/>
      <c r="C176" s="136"/>
      <c r="D176" s="136"/>
      <c r="E176" s="136"/>
      <c r="F176" s="136"/>
      <c r="G176" s="136"/>
      <c r="H176" s="136"/>
      <c r="I176" s="140"/>
      <c r="J176" s="136"/>
      <c r="K176" s="136"/>
      <c r="L176" s="136"/>
      <c r="M176" s="136"/>
      <c r="N176" s="136"/>
      <c r="O176" s="136"/>
      <c r="P176" s="136"/>
      <c r="Q176" s="136"/>
      <c r="R176" s="136"/>
      <c r="S176" s="136"/>
      <c r="T176" s="136"/>
      <c r="U176" s="136"/>
      <c r="V176" s="136"/>
      <c r="W176" s="136"/>
      <c r="X176" s="136"/>
      <c r="Y176" s="136"/>
      <c r="Z176" s="136"/>
    </row>
    <row r="177" spans="1:26" ht="14.25" customHeight="1">
      <c r="A177" s="136"/>
      <c r="B177" s="136"/>
      <c r="C177" s="136"/>
      <c r="D177" s="136"/>
      <c r="E177" s="136"/>
      <c r="F177" s="136"/>
      <c r="G177" s="136"/>
      <c r="H177" s="136"/>
      <c r="I177" s="140"/>
      <c r="J177" s="136"/>
      <c r="K177" s="136"/>
      <c r="L177" s="136"/>
      <c r="M177" s="136"/>
      <c r="N177" s="136"/>
      <c r="O177" s="136"/>
      <c r="P177" s="136"/>
      <c r="Q177" s="136"/>
      <c r="R177" s="136"/>
      <c r="S177" s="136"/>
      <c r="T177" s="136"/>
      <c r="U177" s="136"/>
      <c r="V177" s="136"/>
      <c r="W177" s="136"/>
      <c r="X177" s="136"/>
      <c r="Y177" s="136"/>
      <c r="Z177" s="136"/>
    </row>
    <row r="178" spans="1:26" ht="14.25" customHeight="1">
      <c r="A178" s="136"/>
      <c r="B178" s="136"/>
      <c r="C178" s="136"/>
      <c r="D178" s="136"/>
      <c r="E178" s="136"/>
      <c r="F178" s="136"/>
      <c r="G178" s="136"/>
      <c r="H178" s="136"/>
      <c r="I178" s="140"/>
      <c r="J178" s="136"/>
      <c r="K178" s="136"/>
      <c r="L178" s="136"/>
      <c r="M178" s="136"/>
      <c r="N178" s="136"/>
      <c r="O178" s="136"/>
      <c r="P178" s="136"/>
      <c r="Q178" s="136"/>
      <c r="R178" s="136"/>
      <c r="S178" s="136"/>
      <c r="T178" s="136"/>
      <c r="U178" s="136"/>
      <c r="V178" s="136"/>
      <c r="W178" s="136"/>
      <c r="X178" s="136"/>
      <c r="Y178" s="136"/>
      <c r="Z178" s="136"/>
    </row>
    <row r="179" spans="1:26" ht="14.25" customHeight="1">
      <c r="A179" s="136"/>
      <c r="B179" s="136"/>
      <c r="C179" s="136"/>
      <c r="D179" s="136"/>
      <c r="E179" s="136"/>
      <c r="F179" s="136"/>
      <c r="G179" s="136"/>
      <c r="H179" s="136"/>
      <c r="I179" s="140"/>
      <c r="J179" s="136"/>
      <c r="K179" s="136"/>
      <c r="L179" s="136"/>
      <c r="M179" s="136"/>
      <c r="N179" s="136"/>
      <c r="O179" s="136"/>
      <c r="P179" s="136"/>
      <c r="Q179" s="136"/>
      <c r="R179" s="136"/>
      <c r="S179" s="136"/>
      <c r="T179" s="136"/>
      <c r="U179" s="136"/>
      <c r="V179" s="136"/>
      <c r="W179" s="136"/>
      <c r="X179" s="136"/>
      <c r="Y179" s="136"/>
      <c r="Z179" s="136"/>
    </row>
    <row r="180" spans="1:26" ht="14.25" customHeight="1">
      <c r="A180" s="136"/>
      <c r="B180" s="136"/>
      <c r="C180" s="136"/>
      <c r="D180" s="136"/>
      <c r="E180" s="136"/>
      <c r="F180" s="136"/>
      <c r="G180" s="136"/>
      <c r="H180" s="136"/>
      <c r="I180" s="140"/>
      <c r="J180" s="136"/>
      <c r="K180" s="136"/>
      <c r="L180" s="136"/>
      <c r="M180" s="136"/>
      <c r="N180" s="136"/>
      <c r="O180" s="136"/>
      <c r="P180" s="136"/>
      <c r="Q180" s="136"/>
      <c r="R180" s="136"/>
      <c r="S180" s="136"/>
      <c r="T180" s="136"/>
      <c r="U180" s="136"/>
      <c r="V180" s="136"/>
      <c r="W180" s="136"/>
      <c r="X180" s="136"/>
      <c r="Y180" s="136"/>
      <c r="Z180" s="136"/>
    </row>
    <row r="181" spans="1:26" ht="14.25" customHeight="1">
      <c r="A181" s="136"/>
      <c r="B181" s="136"/>
      <c r="C181" s="136"/>
      <c r="D181" s="136"/>
      <c r="E181" s="136"/>
      <c r="F181" s="136"/>
      <c r="G181" s="136"/>
      <c r="H181" s="136"/>
      <c r="I181" s="140"/>
      <c r="J181" s="136"/>
      <c r="K181" s="136"/>
      <c r="L181" s="136"/>
      <c r="M181" s="136"/>
      <c r="N181" s="136"/>
      <c r="O181" s="136"/>
      <c r="P181" s="136"/>
      <c r="Q181" s="136"/>
      <c r="R181" s="136"/>
      <c r="S181" s="136"/>
      <c r="T181" s="136"/>
      <c r="U181" s="136"/>
      <c r="V181" s="136"/>
      <c r="W181" s="136"/>
      <c r="X181" s="136"/>
      <c r="Y181" s="136"/>
      <c r="Z181" s="136"/>
    </row>
    <row r="182" spans="1:26" ht="14.25" customHeight="1">
      <c r="A182" s="136"/>
      <c r="B182" s="136"/>
      <c r="C182" s="136"/>
      <c r="D182" s="136"/>
      <c r="E182" s="136"/>
      <c r="F182" s="136"/>
      <c r="G182" s="136"/>
      <c r="H182" s="136"/>
      <c r="I182" s="140"/>
      <c r="J182" s="136"/>
      <c r="K182" s="136"/>
      <c r="L182" s="136"/>
      <c r="M182" s="136"/>
      <c r="N182" s="136"/>
      <c r="O182" s="136"/>
      <c r="P182" s="136"/>
      <c r="Q182" s="136"/>
      <c r="R182" s="136"/>
      <c r="S182" s="136"/>
      <c r="T182" s="136"/>
      <c r="U182" s="136"/>
      <c r="V182" s="136"/>
      <c r="W182" s="136"/>
      <c r="X182" s="136"/>
      <c r="Y182" s="136"/>
      <c r="Z182" s="136"/>
    </row>
    <row r="183" spans="1:26" ht="14.25" customHeight="1">
      <c r="A183" s="136"/>
      <c r="B183" s="136"/>
      <c r="C183" s="136"/>
      <c r="D183" s="136"/>
      <c r="E183" s="136"/>
      <c r="F183" s="136"/>
      <c r="G183" s="136"/>
      <c r="H183" s="136"/>
      <c r="I183" s="140"/>
      <c r="J183" s="136"/>
      <c r="K183" s="136"/>
      <c r="L183" s="136"/>
      <c r="M183" s="136"/>
      <c r="N183" s="136"/>
      <c r="O183" s="136"/>
      <c r="P183" s="136"/>
      <c r="Q183" s="136"/>
      <c r="R183" s="136"/>
      <c r="S183" s="136"/>
      <c r="T183" s="136"/>
      <c r="U183" s="136"/>
      <c r="V183" s="136"/>
      <c r="W183" s="136"/>
      <c r="X183" s="136"/>
      <c r="Y183" s="136"/>
      <c r="Z183" s="136"/>
    </row>
    <row r="184" spans="1:26" ht="14.25" customHeight="1">
      <c r="A184" s="136"/>
      <c r="B184" s="136"/>
      <c r="C184" s="136"/>
      <c r="D184" s="136"/>
      <c r="E184" s="136"/>
      <c r="F184" s="136"/>
      <c r="G184" s="136"/>
      <c r="H184" s="136"/>
      <c r="I184" s="140"/>
      <c r="J184" s="136"/>
      <c r="K184" s="136"/>
      <c r="L184" s="136"/>
      <c r="M184" s="136"/>
      <c r="N184" s="136"/>
      <c r="O184" s="136"/>
      <c r="P184" s="136"/>
      <c r="Q184" s="136"/>
      <c r="R184" s="136"/>
      <c r="S184" s="136"/>
      <c r="T184" s="136"/>
      <c r="U184" s="136"/>
      <c r="V184" s="136"/>
      <c r="W184" s="136"/>
      <c r="X184" s="136"/>
      <c r="Y184" s="136"/>
      <c r="Z184" s="136"/>
    </row>
    <row r="185" spans="1:26" ht="14.25" customHeight="1">
      <c r="A185" s="136"/>
      <c r="B185" s="136"/>
      <c r="C185" s="136"/>
      <c r="D185" s="136"/>
      <c r="E185" s="136"/>
      <c r="F185" s="136"/>
      <c r="G185" s="136"/>
      <c r="H185" s="136"/>
      <c r="I185" s="140"/>
      <c r="J185" s="136"/>
      <c r="K185" s="136"/>
      <c r="L185" s="136"/>
      <c r="M185" s="136"/>
      <c r="N185" s="136"/>
      <c r="O185" s="136"/>
      <c r="P185" s="136"/>
      <c r="Q185" s="136"/>
      <c r="R185" s="136"/>
      <c r="S185" s="136"/>
      <c r="T185" s="136"/>
      <c r="U185" s="136"/>
      <c r="V185" s="136"/>
      <c r="W185" s="136"/>
      <c r="X185" s="136"/>
      <c r="Y185" s="136"/>
      <c r="Z185" s="136"/>
    </row>
    <row r="186" spans="1:26" ht="14.25" customHeight="1">
      <c r="A186" s="136"/>
      <c r="B186" s="136"/>
      <c r="C186" s="136"/>
      <c r="D186" s="136"/>
      <c r="E186" s="136"/>
      <c r="F186" s="136"/>
      <c r="G186" s="136"/>
      <c r="H186" s="136"/>
      <c r="I186" s="140"/>
      <c r="J186" s="136"/>
      <c r="K186" s="136"/>
      <c r="L186" s="136"/>
      <c r="M186" s="136"/>
      <c r="N186" s="136"/>
      <c r="O186" s="136"/>
      <c r="P186" s="136"/>
      <c r="Q186" s="136"/>
      <c r="R186" s="136"/>
      <c r="S186" s="136"/>
      <c r="T186" s="136"/>
      <c r="U186" s="136"/>
      <c r="V186" s="136"/>
      <c r="W186" s="136"/>
      <c r="X186" s="136"/>
      <c r="Y186" s="136"/>
      <c r="Z186" s="136"/>
    </row>
    <row r="187" spans="1:26" ht="14.25" customHeight="1">
      <c r="A187" s="136"/>
      <c r="B187" s="136"/>
      <c r="C187" s="136"/>
      <c r="D187" s="136"/>
      <c r="E187" s="136"/>
      <c r="F187" s="136"/>
      <c r="G187" s="136"/>
      <c r="H187" s="136"/>
      <c r="I187" s="140"/>
      <c r="J187" s="136"/>
      <c r="K187" s="136"/>
      <c r="L187" s="136"/>
      <c r="M187" s="136"/>
      <c r="N187" s="136"/>
      <c r="O187" s="136"/>
      <c r="P187" s="136"/>
      <c r="Q187" s="136"/>
      <c r="R187" s="136"/>
      <c r="S187" s="136"/>
      <c r="T187" s="136"/>
      <c r="U187" s="136"/>
      <c r="V187" s="136"/>
      <c r="W187" s="136"/>
      <c r="X187" s="136"/>
      <c r="Y187" s="136"/>
      <c r="Z187" s="136"/>
    </row>
    <row r="188" spans="1:26" ht="14.25" customHeight="1">
      <c r="A188" s="136"/>
      <c r="B188" s="136"/>
      <c r="C188" s="136"/>
      <c r="D188" s="136"/>
      <c r="E188" s="136"/>
      <c r="F188" s="136"/>
      <c r="G188" s="136"/>
      <c r="H188" s="136"/>
      <c r="I188" s="140"/>
      <c r="J188" s="136"/>
      <c r="K188" s="136"/>
      <c r="L188" s="136"/>
      <c r="M188" s="136"/>
      <c r="N188" s="136"/>
      <c r="O188" s="136"/>
      <c r="P188" s="136"/>
      <c r="Q188" s="136"/>
      <c r="R188" s="136"/>
      <c r="S188" s="136"/>
      <c r="T188" s="136"/>
      <c r="U188" s="136"/>
      <c r="V188" s="136"/>
      <c r="W188" s="136"/>
      <c r="X188" s="136"/>
      <c r="Y188" s="136"/>
      <c r="Z188" s="136"/>
    </row>
    <row r="189" spans="1:26" ht="14.25" customHeight="1">
      <c r="A189" s="136"/>
      <c r="B189" s="136"/>
      <c r="C189" s="136"/>
      <c r="D189" s="136"/>
      <c r="E189" s="136"/>
      <c r="F189" s="136"/>
      <c r="G189" s="136"/>
      <c r="H189" s="136"/>
      <c r="I189" s="140"/>
      <c r="J189" s="136"/>
      <c r="K189" s="136"/>
      <c r="L189" s="136"/>
      <c r="M189" s="136"/>
      <c r="N189" s="136"/>
      <c r="O189" s="136"/>
      <c r="P189" s="136"/>
      <c r="Q189" s="136"/>
      <c r="R189" s="136"/>
      <c r="S189" s="136"/>
      <c r="T189" s="136"/>
      <c r="U189" s="136"/>
      <c r="V189" s="136"/>
      <c r="W189" s="136"/>
      <c r="X189" s="136"/>
      <c r="Y189" s="136"/>
      <c r="Z189" s="136"/>
    </row>
    <row r="190" spans="1:26" ht="14.25" customHeight="1">
      <c r="A190" s="136"/>
      <c r="B190" s="136"/>
      <c r="C190" s="136"/>
      <c r="D190" s="136"/>
      <c r="E190" s="136"/>
      <c r="F190" s="136"/>
      <c r="G190" s="136"/>
      <c r="H190" s="136"/>
      <c r="I190" s="140"/>
      <c r="J190" s="136"/>
      <c r="K190" s="136"/>
      <c r="L190" s="136"/>
      <c r="M190" s="136"/>
      <c r="N190" s="136"/>
      <c r="O190" s="136"/>
      <c r="P190" s="136"/>
      <c r="Q190" s="136"/>
      <c r="R190" s="136"/>
      <c r="S190" s="136"/>
      <c r="T190" s="136"/>
      <c r="U190" s="136"/>
      <c r="V190" s="136"/>
      <c r="W190" s="136"/>
      <c r="X190" s="136"/>
      <c r="Y190" s="136"/>
      <c r="Z190" s="136"/>
    </row>
    <row r="191" spans="1:26" ht="14.25" customHeight="1">
      <c r="A191" s="136"/>
      <c r="B191" s="136"/>
      <c r="C191" s="136"/>
      <c r="D191" s="136"/>
      <c r="E191" s="136"/>
      <c r="F191" s="136"/>
      <c r="G191" s="136"/>
      <c r="H191" s="136"/>
      <c r="I191" s="140"/>
      <c r="J191" s="136"/>
      <c r="K191" s="136"/>
      <c r="L191" s="136"/>
      <c r="M191" s="136"/>
      <c r="N191" s="136"/>
      <c r="O191" s="136"/>
      <c r="P191" s="136"/>
      <c r="Q191" s="136"/>
      <c r="R191" s="136"/>
      <c r="S191" s="136"/>
      <c r="T191" s="136"/>
      <c r="U191" s="136"/>
      <c r="V191" s="136"/>
      <c r="W191" s="136"/>
      <c r="X191" s="136"/>
      <c r="Y191" s="136"/>
      <c r="Z191" s="136"/>
    </row>
    <row r="192" spans="1:26" ht="14.25" customHeight="1">
      <c r="A192" s="136"/>
      <c r="B192" s="136"/>
      <c r="C192" s="136"/>
      <c r="D192" s="136"/>
      <c r="E192" s="136"/>
      <c r="F192" s="136"/>
      <c r="G192" s="136"/>
      <c r="H192" s="136"/>
      <c r="I192" s="140"/>
      <c r="J192" s="136"/>
      <c r="K192" s="136"/>
      <c r="L192" s="136"/>
      <c r="M192" s="136"/>
      <c r="N192" s="136"/>
      <c r="O192" s="136"/>
      <c r="P192" s="136"/>
      <c r="Q192" s="136"/>
      <c r="R192" s="136"/>
      <c r="S192" s="136"/>
      <c r="T192" s="136"/>
      <c r="U192" s="136"/>
      <c r="V192" s="136"/>
      <c r="W192" s="136"/>
      <c r="X192" s="136"/>
      <c r="Y192" s="136"/>
      <c r="Z192" s="136"/>
    </row>
    <row r="193" spans="1:26" ht="14.25" customHeight="1">
      <c r="A193" s="136"/>
      <c r="B193" s="136"/>
      <c r="C193" s="136"/>
      <c r="D193" s="136"/>
      <c r="E193" s="136"/>
      <c r="F193" s="136"/>
      <c r="G193" s="136"/>
      <c r="H193" s="136"/>
      <c r="I193" s="140"/>
      <c r="J193" s="136"/>
      <c r="K193" s="136"/>
      <c r="L193" s="136"/>
      <c r="M193" s="136"/>
      <c r="N193" s="136"/>
      <c r="O193" s="136"/>
      <c r="P193" s="136"/>
      <c r="Q193" s="136"/>
      <c r="R193" s="136"/>
      <c r="S193" s="136"/>
      <c r="T193" s="136"/>
      <c r="U193" s="136"/>
      <c r="V193" s="136"/>
      <c r="W193" s="136"/>
      <c r="X193" s="136"/>
      <c r="Y193" s="136"/>
      <c r="Z193" s="136"/>
    </row>
    <row r="194" spans="1:26" ht="14.25" customHeight="1">
      <c r="A194" s="136"/>
      <c r="B194" s="136"/>
      <c r="C194" s="136"/>
      <c r="D194" s="136"/>
      <c r="E194" s="136"/>
      <c r="F194" s="136"/>
      <c r="G194" s="136"/>
      <c r="H194" s="136"/>
      <c r="I194" s="140"/>
      <c r="J194" s="136"/>
      <c r="K194" s="136"/>
      <c r="L194" s="136"/>
      <c r="M194" s="136"/>
      <c r="N194" s="136"/>
      <c r="O194" s="136"/>
      <c r="P194" s="136"/>
      <c r="Q194" s="136"/>
      <c r="R194" s="136"/>
      <c r="S194" s="136"/>
      <c r="T194" s="136"/>
      <c r="U194" s="136"/>
      <c r="V194" s="136"/>
      <c r="W194" s="136"/>
      <c r="X194" s="136"/>
      <c r="Y194" s="136"/>
      <c r="Z194" s="136"/>
    </row>
    <row r="195" spans="1:26" ht="14.25" customHeight="1">
      <c r="A195" s="136"/>
      <c r="B195" s="136"/>
      <c r="C195" s="136"/>
      <c r="D195" s="136"/>
      <c r="E195" s="136"/>
      <c r="F195" s="136"/>
      <c r="G195" s="136"/>
      <c r="H195" s="136"/>
      <c r="I195" s="140"/>
      <c r="J195" s="136"/>
      <c r="K195" s="136"/>
      <c r="L195" s="136"/>
      <c r="M195" s="136"/>
      <c r="N195" s="136"/>
      <c r="O195" s="136"/>
      <c r="P195" s="136"/>
      <c r="Q195" s="136"/>
      <c r="R195" s="136"/>
      <c r="S195" s="136"/>
      <c r="T195" s="136"/>
      <c r="U195" s="136"/>
      <c r="V195" s="136"/>
      <c r="W195" s="136"/>
      <c r="X195" s="136"/>
      <c r="Y195" s="136"/>
      <c r="Z195" s="136"/>
    </row>
    <row r="196" spans="1:26" ht="14.25" customHeight="1">
      <c r="A196" s="136"/>
      <c r="B196" s="136"/>
      <c r="C196" s="136"/>
      <c r="D196" s="136"/>
      <c r="E196" s="136"/>
      <c r="F196" s="136"/>
      <c r="G196" s="136"/>
      <c r="H196" s="136"/>
      <c r="I196" s="140"/>
      <c r="J196" s="136"/>
      <c r="K196" s="136"/>
      <c r="L196" s="136"/>
      <c r="M196" s="136"/>
      <c r="N196" s="136"/>
      <c r="O196" s="136"/>
      <c r="P196" s="136"/>
      <c r="Q196" s="136"/>
      <c r="R196" s="136"/>
      <c r="S196" s="136"/>
      <c r="T196" s="136"/>
      <c r="U196" s="136"/>
      <c r="V196" s="136"/>
      <c r="W196" s="136"/>
      <c r="X196" s="136"/>
      <c r="Y196" s="136"/>
      <c r="Z196" s="136"/>
    </row>
    <row r="197" spans="1:26" ht="14.25" customHeight="1">
      <c r="A197" s="136"/>
      <c r="B197" s="136"/>
      <c r="C197" s="136"/>
      <c r="D197" s="136"/>
      <c r="E197" s="136"/>
      <c r="F197" s="136"/>
      <c r="G197" s="136"/>
      <c r="H197" s="136"/>
      <c r="I197" s="140"/>
      <c r="J197" s="136"/>
      <c r="K197" s="136"/>
      <c r="L197" s="136"/>
      <c r="M197" s="136"/>
      <c r="N197" s="136"/>
      <c r="O197" s="136"/>
      <c r="P197" s="136"/>
      <c r="Q197" s="136"/>
      <c r="R197" s="136"/>
      <c r="S197" s="136"/>
      <c r="T197" s="136"/>
      <c r="U197" s="136"/>
      <c r="V197" s="136"/>
      <c r="W197" s="136"/>
      <c r="X197" s="136"/>
      <c r="Y197" s="136"/>
      <c r="Z197" s="136"/>
    </row>
    <row r="198" spans="1:26" ht="14.25" customHeight="1">
      <c r="A198" s="136"/>
      <c r="B198" s="136"/>
      <c r="C198" s="136"/>
      <c r="D198" s="136"/>
      <c r="E198" s="136"/>
      <c r="F198" s="136"/>
      <c r="G198" s="136"/>
      <c r="H198" s="136"/>
      <c r="I198" s="140"/>
      <c r="J198" s="136"/>
      <c r="K198" s="136"/>
      <c r="L198" s="136"/>
      <c r="M198" s="136"/>
      <c r="N198" s="136"/>
      <c r="O198" s="136"/>
      <c r="P198" s="136"/>
      <c r="Q198" s="136"/>
      <c r="R198" s="136"/>
      <c r="S198" s="136"/>
      <c r="T198" s="136"/>
      <c r="U198" s="136"/>
      <c r="V198" s="136"/>
      <c r="W198" s="136"/>
      <c r="X198" s="136"/>
      <c r="Y198" s="136"/>
      <c r="Z198" s="136"/>
    </row>
    <row r="199" spans="1:26" ht="14.25" customHeight="1">
      <c r="A199" s="136"/>
      <c r="B199" s="136"/>
      <c r="C199" s="136"/>
      <c r="D199" s="136"/>
      <c r="E199" s="136"/>
      <c r="F199" s="136"/>
      <c r="G199" s="136"/>
      <c r="H199" s="136"/>
      <c r="I199" s="140"/>
      <c r="J199" s="136"/>
      <c r="K199" s="136"/>
      <c r="L199" s="136"/>
      <c r="M199" s="136"/>
      <c r="N199" s="136"/>
      <c r="O199" s="136"/>
      <c r="P199" s="136"/>
      <c r="Q199" s="136"/>
      <c r="R199" s="136"/>
      <c r="S199" s="136"/>
      <c r="T199" s="136"/>
      <c r="U199" s="136"/>
      <c r="V199" s="136"/>
      <c r="W199" s="136"/>
      <c r="X199" s="136"/>
      <c r="Y199" s="136"/>
      <c r="Z199" s="136"/>
    </row>
    <row r="200" spans="1:26" ht="14.25" customHeight="1">
      <c r="A200" s="136"/>
      <c r="B200" s="136"/>
      <c r="C200" s="136"/>
      <c r="D200" s="136"/>
      <c r="E200" s="136"/>
      <c r="F200" s="136"/>
      <c r="G200" s="136"/>
      <c r="H200" s="136"/>
      <c r="I200" s="140"/>
      <c r="J200" s="136"/>
      <c r="K200" s="136"/>
      <c r="L200" s="136"/>
      <c r="M200" s="136"/>
      <c r="N200" s="136"/>
      <c r="O200" s="136"/>
      <c r="P200" s="136"/>
      <c r="Q200" s="136"/>
      <c r="R200" s="136"/>
      <c r="S200" s="136"/>
      <c r="T200" s="136"/>
      <c r="U200" s="136"/>
      <c r="V200" s="136"/>
      <c r="W200" s="136"/>
      <c r="X200" s="136"/>
      <c r="Y200" s="136"/>
      <c r="Z200" s="136"/>
    </row>
    <row r="201" spans="1:26" ht="14.25" customHeight="1">
      <c r="A201" s="136"/>
      <c r="B201" s="136"/>
      <c r="C201" s="136"/>
      <c r="D201" s="136"/>
      <c r="E201" s="136"/>
      <c r="F201" s="136"/>
      <c r="G201" s="136"/>
      <c r="H201" s="136"/>
      <c r="I201" s="140"/>
      <c r="J201" s="136"/>
      <c r="K201" s="136"/>
      <c r="L201" s="136"/>
      <c r="M201" s="136"/>
      <c r="N201" s="136"/>
      <c r="O201" s="136"/>
      <c r="P201" s="136"/>
      <c r="Q201" s="136"/>
      <c r="R201" s="136"/>
      <c r="S201" s="136"/>
      <c r="T201" s="136"/>
      <c r="U201" s="136"/>
      <c r="V201" s="136"/>
      <c r="W201" s="136"/>
      <c r="X201" s="136"/>
      <c r="Y201" s="136"/>
      <c r="Z201" s="136"/>
    </row>
    <row r="202" spans="1:26" ht="14.25" customHeight="1">
      <c r="A202" s="136"/>
      <c r="B202" s="136"/>
      <c r="C202" s="136"/>
      <c r="D202" s="136"/>
      <c r="E202" s="136"/>
      <c r="F202" s="136"/>
      <c r="G202" s="136"/>
      <c r="H202" s="136"/>
      <c r="I202" s="140"/>
      <c r="J202" s="136"/>
      <c r="K202" s="136"/>
      <c r="L202" s="136"/>
      <c r="M202" s="136"/>
      <c r="N202" s="136"/>
      <c r="O202" s="136"/>
      <c r="P202" s="136"/>
      <c r="Q202" s="136"/>
      <c r="R202" s="136"/>
      <c r="S202" s="136"/>
      <c r="T202" s="136"/>
      <c r="U202" s="136"/>
      <c r="V202" s="136"/>
      <c r="W202" s="136"/>
      <c r="X202" s="136"/>
      <c r="Y202" s="136"/>
      <c r="Z202" s="136"/>
    </row>
    <row r="203" spans="1:26" ht="14.25" customHeight="1">
      <c r="A203" s="136"/>
      <c r="B203" s="136"/>
      <c r="C203" s="136"/>
      <c r="D203" s="136"/>
      <c r="E203" s="136"/>
      <c r="F203" s="136"/>
      <c r="G203" s="136"/>
      <c r="H203" s="136"/>
      <c r="I203" s="140"/>
      <c r="J203" s="136"/>
      <c r="K203" s="136"/>
      <c r="L203" s="136"/>
      <c r="M203" s="136"/>
      <c r="N203" s="136"/>
      <c r="O203" s="136"/>
      <c r="P203" s="136"/>
      <c r="Q203" s="136"/>
      <c r="R203" s="136"/>
      <c r="S203" s="136"/>
      <c r="T203" s="136"/>
      <c r="U203" s="136"/>
      <c r="V203" s="136"/>
      <c r="W203" s="136"/>
      <c r="X203" s="136"/>
      <c r="Y203" s="136"/>
      <c r="Z203" s="136"/>
    </row>
    <row r="204" spans="1:26" ht="14.25" customHeight="1">
      <c r="A204" s="136"/>
      <c r="B204" s="136"/>
      <c r="C204" s="136"/>
      <c r="D204" s="136"/>
      <c r="E204" s="136"/>
      <c r="F204" s="136"/>
      <c r="G204" s="136"/>
      <c r="H204" s="136"/>
      <c r="I204" s="140"/>
      <c r="J204" s="136"/>
      <c r="K204" s="136"/>
      <c r="L204" s="136"/>
      <c r="M204" s="136"/>
      <c r="N204" s="136"/>
      <c r="O204" s="136"/>
      <c r="P204" s="136"/>
      <c r="Q204" s="136"/>
      <c r="R204" s="136"/>
      <c r="S204" s="136"/>
      <c r="T204" s="136"/>
      <c r="U204" s="136"/>
      <c r="V204" s="136"/>
      <c r="W204" s="136"/>
      <c r="X204" s="136"/>
      <c r="Y204" s="136"/>
      <c r="Z204" s="136"/>
    </row>
    <row r="205" spans="1:26" ht="14.25" customHeight="1">
      <c r="A205" s="136"/>
      <c r="B205" s="136"/>
      <c r="C205" s="136"/>
      <c r="D205" s="136"/>
      <c r="E205" s="136"/>
      <c r="F205" s="136"/>
      <c r="G205" s="136"/>
      <c r="H205" s="136"/>
      <c r="I205" s="140"/>
      <c r="J205" s="136"/>
      <c r="K205" s="136"/>
      <c r="L205" s="136"/>
      <c r="M205" s="136"/>
      <c r="N205" s="136"/>
      <c r="O205" s="136"/>
      <c r="P205" s="136"/>
      <c r="Q205" s="136"/>
      <c r="R205" s="136"/>
      <c r="S205" s="136"/>
      <c r="T205" s="136"/>
      <c r="U205" s="136"/>
      <c r="V205" s="136"/>
      <c r="W205" s="136"/>
      <c r="X205" s="136"/>
      <c r="Y205" s="136"/>
      <c r="Z205" s="136"/>
    </row>
    <row r="206" spans="1:26" ht="14.25" customHeight="1">
      <c r="A206" s="136"/>
      <c r="B206" s="136"/>
      <c r="C206" s="136"/>
      <c r="D206" s="136"/>
      <c r="E206" s="136"/>
      <c r="F206" s="136"/>
      <c r="G206" s="136"/>
      <c r="H206" s="136"/>
      <c r="I206" s="140"/>
      <c r="J206" s="136"/>
      <c r="K206" s="136"/>
      <c r="L206" s="136"/>
      <c r="M206" s="136"/>
      <c r="N206" s="136"/>
      <c r="O206" s="136"/>
      <c r="P206" s="136"/>
      <c r="Q206" s="136"/>
      <c r="R206" s="136"/>
      <c r="S206" s="136"/>
      <c r="T206" s="136"/>
      <c r="U206" s="136"/>
      <c r="V206" s="136"/>
      <c r="W206" s="136"/>
      <c r="X206" s="136"/>
      <c r="Y206" s="136"/>
      <c r="Z206" s="136"/>
    </row>
    <row r="207" spans="1:26" ht="14.25" customHeight="1">
      <c r="A207" s="136"/>
      <c r="B207" s="136"/>
      <c r="C207" s="136"/>
      <c r="D207" s="136"/>
      <c r="E207" s="136"/>
      <c r="F207" s="136"/>
      <c r="G207" s="136"/>
      <c r="H207" s="136"/>
      <c r="I207" s="140"/>
      <c r="J207" s="136"/>
      <c r="K207" s="136"/>
      <c r="L207" s="136"/>
      <c r="M207" s="136"/>
      <c r="N207" s="136"/>
      <c r="O207" s="136"/>
      <c r="P207" s="136"/>
      <c r="Q207" s="136"/>
      <c r="R207" s="136"/>
      <c r="S207" s="136"/>
      <c r="T207" s="136"/>
      <c r="U207" s="136"/>
      <c r="V207" s="136"/>
      <c r="W207" s="136"/>
      <c r="X207" s="136"/>
      <c r="Y207" s="136"/>
      <c r="Z207" s="136"/>
    </row>
    <row r="208" spans="1:26" ht="14.25" customHeight="1">
      <c r="A208" s="136"/>
      <c r="B208" s="136"/>
      <c r="C208" s="136"/>
      <c r="D208" s="136"/>
      <c r="E208" s="136"/>
      <c r="F208" s="136"/>
      <c r="G208" s="136"/>
      <c r="H208" s="136"/>
      <c r="I208" s="140"/>
      <c r="J208" s="136"/>
      <c r="K208" s="136"/>
      <c r="L208" s="136"/>
      <c r="M208" s="136"/>
      <c r="N208" s="136"/>
      <c r="O208" s="136"/>
      <c r="P208" s="136"/>
      <c r="Q208" s="136"/>
      <c r="R208" s="136"/>
      <c r="S208" s="136"/>
      <c r="T208" s="136"/>
      <c r="U208" s="136"/>
      <c r="V208" s="136"/>
      <c r="W208" s="136"/>
      <c r="X208" s="136"/>
      <c r="Y208" s="136"/>
      <c r="Z208" s="136"/>
    </row>
    <row r="209" spans="1:26" ht="14.25" customHeight="1">
      <c r="A209" s="136"/>
      <c r="B209" s="136"/>
      <c r="C209" s="136"/>
      <c r="D209" s="136"/>
      <c r="E209" s="136"/>
      <c r="F209" s="136"/>
      <c r="G209" s="136"/>
      <c r="H209" s="136"/>
      <c r="I209" s="140"/>
      <c r="J209" s="136"/>
      <c r="K209" s="136"/>
      <c r="L209" s="136"/>
      <c r="M209" s="136"/>
      <c r="N209" s="136"/>
      <c r="O209" s="136"/>
      <c r="P209" s="136"/>
      <c r="Q209" s="136"/>
      <c r="R209" s="136"/>
      <c r="S209" s="136"/>
      <c r="T209" s="136"/>
      <c r="U209" s="136"/>
      <c r="V209" s="136"/>
      <c r="W209" s="136"/>
      <c r="X209" s="136"/>
      <c r="Y209" s="136"/>
      <c r="Z209" s="136"/>
    </row>
    <row r="210" spans="1:26" ht="14.25" customHeight="1">
      <c r="A210" s="136"/>
      <c r="B210" s="136"/>
      <c r="C210" s="136"/>
      <c r="D210" s="136"/>
      <c r="E210" s="136"/>
      <c r="F210" s="136"/>
      <c r="G210" s="136"/>
      <c r="H210" s="136"/>
      <c r="I210" s="140"/>
      <c r="J210" s="136"/>
      <c r="K210" s="136"/>
      <c r="L210" s="136"/>
      <c r="M210" s="136"/>
      <c r="N210" s="136"/>
      <c r="O210" s="136"/>
      <c r="P210" s="136"/>
      <c r="Q210" s="136"/>
      <c r="R210" s="136"/>
      <c r="S210" s="136"/>
      <c r="T210" s="136"/>
      <c r="U210" s="136"/>
      <c r="V210" s="136"/>
      <c r="W210" s="136"/>
      <c r="X210" s="136"/>
      <c r="Y210" s="136"/>
      <c r="Z210" s="136"/>
    </row>
    <row r="211" spans="1:26" ht="14.25" customHeight="1">
      <c r="A211" s="136"/>
      <c r="B211" s="136"/>
      <c r="C211" s="136"/>
      <c r="D211" s="136"/>
      <c r="E211" s="136"/>
      <c r="F211" s="136"/>
      <c r="G211" s="136"/>
      <c r="H211" s="136"/>
      <c r="I211" s="140"/>
      <c r="J211" s="136"/>
      <c r="K211" s="136"/>
      <c r="L211" s="136"/>
      <c r="M211" s="136"/>
      <c r="N211" s="136"/>
      <c r="O211" s="136"/>
      <c r="P211" s="136"/>
      <c r="Q211" s="136"/>
      <c r="R211" s="136"/>
      <c r="S211" s="136"/>
      <c r="T211" s="136"/>
      <c r="U211" s="136"/>
      <c r="V211" s="136"/>
      <c r="W211" s="136"/>
      <c r="X211" s="136"/>
      <c r="Y211" s="136"/>
      <c r="Z211" s="136"/>
    </row>
    <row r="212" spans="1:26" ht="14.25" customHeight="1">
      <c r="A212" s="136"/>
      <c r="B212" s="136"/>
      <c r="C212" s="136"/>
      <c r="D212" s="136"/>
      <c r="E212" s="136"/>
      <c r="F212" s="136"/>
      <c r="G212" s="136"/>
      <c r="H212" s="136"/>
      <c r="I212" s="140"/>
      <c r="J212" s="136"/>
      <c r="K212" s="136"/>
      <c r="L212" s="136"/>
      <c r="M212" s="136"/>
      <c r="N212" s="136"/>
      <c r="O212" s="136"/>
      <c r="P212" s="136"/>
      <c r="Q212" s="136"/>
      <c r="R212" s="136"/>
      <c r="S212" s="136"/>
      <c r="T212" s="136"/>
      <c r="U212" s="136"/>
      <c r="V212" s="136"/>
      <c r="W212" s="136"/>
      <c r="X212" s="136"/>
      <c r="Y212" s="136"/>
      <c r="Z212" s="136"/>
    </row>
    <row r="213" spans="1:26" ht="14.25" customHeight="1">
      <c r="A213" s="136"/>
      <c r="B213" s="136"/>
      <c r="C213" s="136"/>
      <c r="D213" s="136"/>
      <c r="E213" s="136"/>
      <c r="F213" s="136"/>
      <c r="G213" s="136"/>
      <c r="H213" s="136"/>
      <c r="I213" s="140"/>
      <c r="J213" s="136"/>
      <c r="K213" s="136"/>
      <c r="L213" s="136"/>
      <c r="M213" s="136"/>
      <c r="N213" s="136"/>
      <c r="O213" s="136"/>
      <c r="P213" s="136"/>
      <c r="Q213" s="136"/>
      <c r="R213" s="136"/>
      <c r="S213" s="136"/>
      <c r="T213" s="136"/>
      <c r="U213" s="136"/>
      <c r="V213" s="136"/>
      <c r="W213" s="136"/>
      <c r="X213" s="136"/>
      <c r="Y213" s="136"/>
      <c r="Z213" s="136"/>
    </row>
    <row r="214" spans="1:26" ht="14.25" customHeight="1">
      <c r="A214" s="136"/>
      <c r="B214" s="136"/>
      <c r="C214" s="136"/>
      <c r="D214" s="136"/>
      <c r="E214" s="136"/>
      <c r="F214" s="136"/>
      <c r="G214" s="136"/>
      <c r="H214" s="136"/>
      <c r="I214" s="140"/>
      <c r="J214" s="136"/>
      <c r="K214" s="136"/>
      <c r="L214" s="136"/>
      <c r="M214" s="136"/>
      <c r="N214" s="136"/>
      <c r="O214" s="136"/>
      <c r="P214" s="136"/>
      <c r="Q214" s="136"/>
      <c r="R214" s="136"/>
      <c r="S214" s="136"/>
      <c r="T214" s="136"/>
      <c r="U214" s="136"/>
      <c r="V214" s="136"/>
      <c r="W214" s="136"/>
      <c r="X214" s="136"/>
      <c r="Y214" s="136"/>
      <c r="Z214" s="136"/>
    </row>
    <row r="215" spans="1:26" ht="14.25" customHeight="1">
      <c r="A215" s="136"/>
      <c r="B215" s="136"/>
      <c r="C215" s="136"/>
      <c r="D215" s="136"/>
      <c r="E215" s="136"/>
      <c r="F215" s="136"/>
      <c r="G215" s="136"/>
      <c r="H215" s="136"/>
      <c r="I215" s="140"/>
      <c r="J215" s="136"/>
      <c r="K215" s="136"/>
      <c r="L215" s="136"/>
      <c r="M215" s="136"/>
      <c r="N215" s="136"/>
      <c r="O215" s="136"/>
      <c r="P215" s="136"/>
      <c r="Q215" s="136"/>
      <c r="R215" s="136"/>
      <c r="S215" s="136"/>
      <c r="T215" s="136"/>
      <c r="U215" s="136"/>
      <c r="V215" s="136"/>
      <c r="W215" s="136"/>
      <c r="X215" s="136"/>
      <c r="Y215" s="136"/>
      <c r="Z215" s="136"/>
    </row>
    <row r="216" spans="1:26" ht="14.25" customHeight="1">
      <c r="A216" s="136"/>
      <c r="B216" s="136"/>
      <c r="C216" s="136"/>
      <c r="D216" s="136"/>
      <c r="E216" s="136"/>
      <c r="F216" s="136"/>
      <c r="G216" s="136"/>
      <c r="H216" s="136"/>
      <c r="I216" s="140"/>
      <c r="J216" s="136"/>
      <c r="K216" s="136"/>
      <c r="L216" s="136"/>
      <c r="M216" s="136"/>
      <c r="N216" s="136"/>
      <c r="O216" s="136"/>
      <c r="P216" s="136"/>
      <c r="Q216" s="136"/>
      <c r="R216" s="136"/>
      <c r="S216" s="136"/>
      <c r="T216" s="136"/>
      <c r="U216" s="136"/>
      <c r="V216" s="136"/>
      <c r="W216" s="136"/>
      <c r="X216" s="136"/>
      <c r="Y216" s="136"/>
      <c r="Z216" s="136"/>
    </row>
    <row r="217" spans="1:26" ht="14.25" customHeight="1">
      <c r="A217" s="136"/>
      <c r="B217" s="136"/>
      <c r="C217" s="136"/>
      <c r="D217" s="136"/>
      <c r="E217" s="136"/>
      <c r="F217" s="136"/>
      <c r="G217" s="136"/>
      <c r="H217" s="136"/>
      <c r="I217" s="140"/>
      <c r="J217" s="136"/>
      <c r="K217" s="136"/>
      <c r="L217" s="136"/>
      <c r="M217" s="136"/>
      <c r="N217" s="136"/>
      <c r="O217" s="136"/>
      <c r="P217" s="136"/>
      <c r="Q217" s="136"/>
      <c r="R217" s="136"/>
      <c r="S217" s="136"/>
      <c r="T217" s="136"/>
      <c r="U217" s="136"/>
      <c r="V217" s="136"/>
      <c r="W217" s="136"/>
      <c r="X217" s="136"/>
      <c r="Y217" s="136"/>
      <c r="Z217" s="136"/>
    </row>
    <row r="218" spans="1:26" ht="14.25" customHeight="1">
      <c r="A218" s="136"/>
      <c r="B218" s="136"/>
      <c r="C218" s="136"/>
      <c r="D218" s="136"/>
      <c r="E218" s="136"/>
      <c r="F218" s="136"/>
      <c r="G218" s="136"/>
      <c r="H218" s="136"/>
      <c r="I218" s="140"/>
      <c r="J218" s="136"/>
      <c r="K218" s="136"/>
      <c r="L218" s="136"/>
      <c r="M218" s="136"/>
      <c r="N218" s="136"/>
      <c r="O218" s="136"/>
      <c r="P218" s="136"/>
      <c r="Q218" s="136"/>
      <c r="R218" s="136"/>
      <c r="S218" s="136"/>
      <c r="T218" s="136"/>
      <c r="U218" s="136"/>
      <c r="V218" s="136"/>
      <c r="W218" s="136"/>
      <c r="X218" s="136"/>
      <c r="Y218" s="136"/>
      <c r="Z218" s="136"/>
    </row>
    <row r="219" spans="1:26" ht="14.25" customHeight="1">
      <c r="A219" s="136"/>
      <c r="B219" s="136"/>
      <c r="C219" s="136"/>
      <c r="D219" s="136"/>
      <c r="E219" s="136"/>
      <c r="F219" s="136"/>
      <c r="G219" s="136"/>
      <c r="H219" s="136"/>
      <c r="I219" s="140"/>
      <c r="J219" s="136"/>
      <c r="K219" s="136"/>
      <c r="L219" s="136"/>
      <c r="M219" s="136"/>
      <c r="N219" s="136"/>
      <c r="O219" s="136"/>
      <c r="P219" s="136"/>
      <c r="Q219" s="136"/>
      <c r="R219" s="136"/>
      <c r="S219" s="136"/>
      <c r="T219" s="136"/>
      <c r="U219" s="136"/>
      <c r="V219" s="136"/>
      <c r="W219" s="136"/>
      <c r="X219" s="136"/>
      <c r="Y219" s="136"/>
      <c r="Z219" s="136"/>
    </row>
    <row r="220" spans="1:26" ht="14.25" customHeight="1">
      <c r="A220" s="136"/>
      <c r="B220" s="136"/>
      <c r="C220" s="136"/>
      <c r="D220" s="136"/>
      <c r="E220" s="136"/>
      <c r="F220" s="136"/>
      <c r="G220" s="136"/>
      <c r="H220" s="136"/>
      <c r="I220" s="140"/>
      <c r="J220" s="136"/>
      <c r="K220" s="136"/>
      <c r="L220" s="136"/>
      <c r="M220" s="136"/>
      <c r="N220" s="136"/>
      <c r="O220" s="136"/>
      <c r="P220" s="136"/>
      <c r="Q220" s="136"/>
      <c r="R220" s="136"/>
      <c r="S220" s="136"/>
      <c r="T220" s="136"/>
      <c r="U220" s="136"/>
      <c r="V220" s="136"/>
      <c r="W220" s="136"/>
      <c r="X220" s="136"/>
      <c r="Y220" s="136"/>
      <c r="Z220" s="136"/>
    </row>
    <row r="221" spans="1:26" ht="14.25" customHeight="1">
      <c r="A221" s="136"/>
      <c r="B221" s="136"/>
      <c r="C221" s="136"/>
      <c r="D221" s="136"/>
      <c r="E221" s="136"/>
      <c r="F221" s="136"/>
      <c r="G221" s="136"/>
      <c r="H221" s="136"/>
      <c r="I221" s="140"/>
      <c r="J221" s="136"/>
      <c r="K221" s="136"/>
      <c r="L221" s="136"/>
      <c r="M221" s="136"/>
      <c r="N221" s="136"/>
      <c r="O221" s="136"/>
      <c r="P221" s="136"/>
      <c r="Q221" s="136"/>
      <c r="R221" s="136"/>
      <c r="S221" s="136"/>
      <c r="T221" s="136"/>
      <c r="U221" s="136"/>
      <c r="V221" s="136"/>
      <c r="W221" s="136"/>
      <c r="X221" s="136"/>
      <c r="Y221" s="136"/>
      <c r="Z221" s="136"/>
    </row>
    <row r="222" spans="1:26" ht="14.25" customHeight="1">
      <c r="A222" s="136"/>
      <c r="B222" s="136"/>
      <c r="C222" s="136"/>
      <c r="D222" s="136"/>
      <c r="E222" s="136"/>
      <c r="F222" s="136"/>
      <c r="G222" s="136"/>
      <c r="H222" s="136"/>
      <c r="I222" s="140"/>
      <c r="J222" s="136"/>
      <c r="K222" s="136"/>
      <c r="L222" s="136"/>
      <c r="M222" s="136"/>
      <c r="N222" s="136"/>
      <c r="O222" s="136"/>
      <c r="P222" s="136"/>
      <c r="Q222" s="136"/>
      <c r="R222" s="136"/>
      <c r="S222" s="136"/>
      <c r="T222" s="136"/>
      <c r="U222" s="136"/>
      <c r="V222" s="136"/>
      <c r="W222" s="136"/>
      <c r="X222" s="136"/>
      <c r="Y222" s="136"/>
      <c r="Z222" s="136"/>
    </row>
    <row r="223" spans="1:26" ht="14.25" customHeight="1">
      <c r="A223" s="136"/>
      <c r="B223" s="136"/>
      <c r="C223" s="136"/>
      <c r="D223" s="136"/>
      <c r="E223" s="136"/>
      <c r="F223" s="136"/>
      <c r="G223" s="136"/>
      <c r="H223" s="136"/>
      <c r="I223" s="140"/>
      <c r="J223" s="136"/>
      <c r="K223" s="136"/>
      <c r="L223" s="136"/>
      <c r="M223" s="136"/>
      <c r="N223" s="136"/>
      <c r="O223" s="136"/>
      <c r="P223" s="136"/>
      <c r="Q223" s="136"/>
      <c r="R223" s="136"/>
      <c r="S223" s="136"/>
      <c r="T223" s="136"/>
      <c r="U223" s="136"/>
      <c r="V223" s="136"/>
      <c r="W223" s="136"/>
      <c r="X223" s="136"/>
      <c r="Y223" s="136"/>
      <c r="Z223" s="136"/>
    </row>
    <row r="224" spans="1:26" ht="14.25" customHeight="1">
      <c r="A224" s="136"/>
      <c r="B224" s="136"/>
      <c r="C224" s="136"/>
      <c r="D224" s="136"/>
      <c r="E224" s="136"/>
      <c r="F224" s="136"/>
      <c r="G224" s="136"/>
      <c r="H224" s="136"/>
      <c r="I224" s="140"/>
      <c r="J224" s="136"/>
      <c r="K224" s="136"/>
      <c r="L224" s="136"/>
      <c r="M224" s="136"/>
      <c r="N224" s="136"/>
      <c r="O224" s="136"/>
      <c r="P224" s="136"/>
      <c r="Q224" s="136"/>
      <c r="R224" s="136"/>
      <c r="S224" s="136"/>
      <c r="T224" s="136"/>
      <c r="U224" s="136"/>
      <c r="V224" s="136"/>
      <c r="W224" s="136"/>
      <c r="X224" s="136"/>
      <c r="Y224" s="136"/>
      <c r="Z224" s="136"/>
    </row>
    <row r="225" spans="1:26" ht="14.25" customHeight="1">
      <c r="A225" s="136"/>
      <c r="B225" s="136"/>
      <c r="C225" s="136"/>
      <c r="D225" s="136"/>
      <c r="E225" s="136"/>
      <c r="F225" s="136"/>
      <c r="G225" s="136"/>
      <c r="H225" s="136"/>
      <c r="I225" s="140"/>
      <c r="J225" s="136"/>
      <c r="K225" s="136"/>
      <c r="L225" s="136"/>
      <c r="M225" s="136"/>
      <c r="N225" s="136"/>
      <c r="O225" s="136"/>
      <c r="P225" s="136"/>
      <c r="Q225" s="136"/>
      <c r="R225" s="136"/>
      <c r="S225" s="136"/>
      <c r="T225" s="136"/>
      <c r="U225" s="136"/>
      <c r="V225" s="136"/>
      <c r="W225" s="136"/>
      <c r="X225" s="136"/>
      <c r="Y225" s="136"/>
      <c r="Z225" s="136"/>
    </row>
    <row r="226" spans="1:26" ht="14.25" customHeight="1">
      <c r="A226" s="136"/>
      <c r="B226" s="136"/>
      <c r="C226" s="136"/>
      <c r="D226" s="136"/>
      <c r="E226" s="136"/>
      <c r="F226" s="136"/>
      <c r="G226" s="136"/>
      <c r="H226" s="136"/>
      <c r="I226" s="140"/>
      <c r="J226" s="136"/>
      <c r="K226" s="136"/>
      <c r="L226" s="136"/>
      <c r="M226" s="136"/>
      <c r="N226" s="136"/>
      <c r="O226" s="136"/>
      <c r="P226" s="136"/>
      <c r="Q226" s="136"/>
      <c r="R226" s="136"/>
      <c r="S226" s="136"/>
      <c r="T226" s="136"/>
      <c r="U226" s="136"/>
      <c r="V226" s="136"/>
      <c r="W226" s="136"/>
      <c r="X226" s="136"/>
      <c r="Y226" s="136"/>
      <c r="Z226" s="136"/>
    </row>
    <row r="227" spans="1:26" ht="14.25" customHeight="1">
      <c r="A227" s="136"/>
      <c r="B227" s="136"/>
      <c r="C227" s="136"/>
      <c r="D227" s="136"/>
      <c r="E227" s="136"/>
      <c r="F227" s="136"/>
      <c r="G227" s="136"/>
      <c r="H227" s="136"/>
      <c r="I227" s="140"/>
      <c r="J227" s="136"/>
      <c r="K227" s="136"/>
      <c r="L227" s="136"/>
      <c r="M227" s="136"/>
      <c r="N227" s="136"/>
      <c r="O227" s="136"/>
      <c r="P227" s="136"/>
      <c r="Q227" s="136"/>
      <c r="R227" s="136"/>
      <c r="S227" s="136"/>
      <c r="T227" s="136"/>
      <c r="U227" s="136"/>
      <c r="V227" s="136"/>
      <c r="W227" s="136"/>
      <c r="X227" s="136"/>
      <c r="Y227" s="136"/>
      <c r="Z227" s="136"/>
    </row>
    <row r="228" spans="1:26" ht="14.25" customHeight="1">
      <c r="A228" s="136"/>
      <c r="B228" s="136"/>
      <c r="C228" s="136"/>
      <c r="D228" s="136"/>
      <c r="E228" s="136"/>
      <c r="F228" s="136"/>
      <c r="G228" s="136"/>
      <c r="H228" s="136"/>
      <c r="I228" s="140"/>
      <c r="J228" s="136"/>
      <c r="K228" s="136"/>
      <c r="L228" s="136"/>
      <c r="M228" s="136"/>
      <c r="N228" s="136"/>
      <c r="O228" s="136"/>
      <c r="P228" s="136"/>
      <c r="Q228" s="136"/>
      <c r="R228" s="136"/>
      <c r="S228" s="136"/>
      <c r="T228" s="136"/>
      <c r="U228" s="136"/>
      <c r="V228" s="136"/>
      <c r="W228" s="136"/>
      <c r="X228" s="136"/>
      <c r="Y228" s="136"/>
      <c r="Z228" s="136"/>
    </row>
    <row r="229" spans="1:26" ht="14.25" customHeight="1">
      <c r="A229" s="136"/>
      <c r="B229" s="136"/>
      <c r="C229" s="136"/>
      <c r="D229" s="136"/>
      <c r="E229" s="136"/>
      <c r="F229" s="136"/>
      <c r="G229" s="136"/>
      <c r="H229" s="136"/>
      <c r="I229" s="140"/>
      <c r="J229" s="136"/>
      <c r="K229" s="136"/>
      <c r="L229" s="136"/>
      <c r="M229" s="136"/>
      <c r="N229" s="136"/>
      <c r="O229" s="136"/>
      <c r="P229" s="136"/>
      <c r="Q229" s="136"/>
      <c r="R229" s="136"/>
      <c r="S229" s="136"/>
      <c r="T229" s="136"/>
      <c r="U229" s="136"/>
      <c r="V229" s="136"/>
      <c r="W229" s="136"/>
      <c r="X229" s="136"/>
      <c r="Y229" s="136"/>
      <c r="Z229" s="136"/>
    </row>
    <row r="230" spans="1:26" ht="14.25" customHeight="1">
      <c r="A230" s="136"/>
      <c r="B230" s="136"/>
      <c r="C230" s="136"/>
      <c r="D230" s="136"/>
      <c r="E230" s="136"/>
      <c r="F230" s="136"/>
      <c r="G230" s="136"/>
      <c r="H230" s="136"/>
      <c r="I230" s="140"/>
      <c r="J230" s="136"/>
      <c r="K230" s="136"/>
      <c r="L230" s="136"/>
      <c r="M230" s="136"/>
      <c r="N230" s="136"/>
      <c r="O230" s="136"/>
      <c r="P230" s="136"/>
      <c r="Q230" s="136"/>
      <c r="R230" s="136"/>
      <c r="S230" s="136"/>
      <c r="T230" s="136"/>
      <c r="U230" s="136"/>
      <c r="V230" s="136"/>
      <c r="W230" s="136"/>
      <c r="X230" s="136"/>
      <c r="Y230" s="136"/>
      <c r="Z230" s="136"/>
    </row>
    <row r="231" spans="1:26" ht="14.25" customHeight="1">
      <c r="A231" s="136"/>
      <c r="B231" s="136"/>
      <c r="C231" s="136"/>
      <c r="D231" s="136"/>
      <c r="E231" s="136"/>
      <c r="F231" s="136"/>
      <c r="G231" s="136"/>
      <c r="H231" s="136"/>
      <c r="I231" s="140"/>
      <c r="J231" s="136"/>
      <c r="K231" s="136"/>
      <c r="L231" s="136"/>
      <c r="M231" s="136"/>
      <c r="N231" s="136"/>
      <c r="O231" s="136"/>
      <c r="P231" s="136"/>
      <c r="Q231" s="136"/>
      <c r="R231" s="136"/>
      <c r="S231" s="136"/>
      <c r="T231" s="136"/>
      <c r="U231" s="136"/>
      <c r="V231" s="136"/>
      <c r="W231" s="136"/>
      <c r="X231" s="136"/>
      <c r="Y231" s="136"/>
      <c r="Z231" s="136"/>
    </row>
    <row r="232" spans="1:26" ht="14.25" customHeight="1">
      <c r="A232" s="136"/>
      <c r="B232" s="136"/>
      <c r="C232" s="136"/>
      <c r="D232" s="136"/>
      <c r="E232" s="136"/>
      <c r="F232" s="136"/>
      <c r="G232" s="136"/>
      <c r="H232" s="136"/>
      <c r="I232" s="140"/>
      <c r="J232" s="136"/>
      <c r="K232" s="136"/>
      <c r="L232" s="136"/>
      <c r="M232" s="136"/>
      <c r="N232" s="136"/>
      <c r="O232" s="136"/>
      <c r="P232" s="136"/>
      <c r="Q232" s="136"/>
      <c r="R232" s="136"/>
      <c r="S232" s="136"/>
      <c r="T232" s="136"/>
      <c r="U232" s="136"/>
      <c r="V232" s="136"/>
      <c r="W232" s="136"/>
      <c r="X232" s="136"/>
      <c r="Y232" s="136"/>
      <c r="Z232" s="136"/>
    </row>
    <row r="233" spans="1:26" ht="14.25" customHeight="1">
      <c r="A233" s="136"/>
      <c r="B233" s="136"/>
      <c r="C233" s="136"/>
      <c r="D233" s="136"/>
      <c r="E233" s="136"/>
      <c r="F233" s="136"/>
      <c r="G233" s="136"/>
      <c r="H233" s="136"/>
      <c r="I233" s="140"/>
      <c r="J233" s="136"/>
      <c r="K233" s="136"/>
      <c r="L233" s="136"/>
      <c r="M233" s="136"/>
      <c r="N233" s="136"/>
      <c r="O233" s="136"/>
      <c r="P233" s="136"/>
      <c r="Q233" s="136"/>
      <c r="R233" s="136"/>
      <c r="S233" s="136"/>
      <c r="T233" s="136"/>
      <c r="U233" s="136"/>
      <c r="V233" s="136"/>
      <c r="W233" s="136"/>
      <c r="X233" s="136"/>
      <c r="Y233" s="136"/>
      <c r="Z233" s="136"/>
    </row>
    <row r="234" spans="1:26" ht="14.25" customHeight="1">
      <c r="A234" s="136"/>
      <c r="B234" s="136"/>
      <c r="C234" s="136"/>
      <c r="D234" s="136"/>
      <c r="E234" s="136"/>
      <c r="F234" s="136"/>
      <c r="G234" s="136"/>
      <c r="H234" s="136"/>
      <c r="I234" s="140"/>
      <c r="J234" s="136"/>
      <c r="K234" s="136"/>
      <c r="L234" s="136"/>
      <c r="M234" s="136"/>
      <c r="N234" s="136"/>
      <c r="O234" s="136"/>
      <c r="P234" s="136"/>
      <c r="Q234" s="136"/>
      <c r="R234" s="136"/>
      <c r="S234" s="136"/>
      <c r="T234" s="136"/>
      <c r="U234" s="136"/>
      <c r="V234" s="136"/>
      <c r="W234" s="136"/>
      <c r="X234" s="136"/>
      <c r="Y234" s="136"/>
      <c r="Z234" s="136"/>
    </row>
    <row r="235" spans="1:26" ht="14.25" customHeight="1">
      <c r="A235" s="136"/>
      <c r="B235" s="136"/>
      <c r="C235" s="136"/>
      <c r="D235" s="136"/>
      <c r="E235" s="136"/>
      <c r="F235" s="136"/>
      <c r="G235" s="136"/>
      <c r="H235" s="136"/>
      <c r="I235" s="140"/>
      <c r="J235" s="136"/>
      <c r="K235" s="136"/>
      <c r="L235" s="136"/>
      <c r="M235" s="136"/>
      <c r="N235" s="136"/>
      <c r="O235" s="136"/>
      <c r="P235" s="136"/>
      <c r="Q235" s="136"/>
      <c r="R235" s="136"/>
      <c r="S235" s="136"/>
      <c r="T235" s="136"/>
      <c r="U235" s="136"/>
      <c r="V235" s="136"/>
      <c r="W235" s="136"/>
      <c r="X235" s="136"/>
      <c r="Y235" s="136"/>
      <c r="Z235" s="136"/>
    </row>
    <row r="236" spans="1:26" ht="14.25" customHeight="1">
      <c r="A236" s="136"/>
      <c r="B236" s="136"/>
      <c r="C236" s="136"/>
      <c r="D236" s="136"/>
      <c r="E236" s="136"/>
      <c r="F236" s="136"/>
      <c r="G236" s="136"/>
      <c r="H236" s="136"/>
      <c r="I236" s="140"/>
      <c r="J236" s="136"/>
      <c r="K236" s="136"/>
      <c r="L236" s="136"/>
      <c r="M236" s="136"/>
      <c r="N236" s="136"/>
      <c r="O236" s="136"/>
      <c r="P236" s="136"/>
      <c r="Q236" s="136"/>
      <c r="R236" s="136"/>
      <c r="S236" s="136"/>
      <c r="T236" s="136"/>
      <c r="U236" s="136"/>
      <c r="V236" s="136"/>
      <c r="W236" s="136"/>
      <c r="X236" s="136"/>
      <c r="Y236" s="136"/>
      <c r="Z236" s="136"/>
    </row>
    <row r="237" spans="1:26" ht="14.25" customHeight="1">
      <c r="A237" s="136"/>
      <c r="B237" s="136"/>
      <c r="C237" s="136"/>
      <c r="D237" s="136"/>
      <c r="E237" s="136"/>
      <c r="F237" s="136"/>
      <c r="G237" s="136"/>
      <c r="H237" s="136"/>
      <c r="I237" s="140"/>
      <c r="J237" s="136"/>
      <c r="K237" s="136"/>
      <c r="L237" s="136"/>
      <c r="M237" s="136"/>
      <c r="N237" s="136"/>
      <c r="O237" s="136"/>
      <c r="P237" s="136"/>
      <c r="Q237" s="136"/>
      <c r="R237" s="136"/>
      <c r="S237" s="136"/>
      <c r="T237" s="136"/>
      <c r="U237" s="136"/>
      <c r="V237" s="136"/>
      <c r="W237" s="136"/>
      <c r="X237" s="136"/>
      <c r="Y237" s="136"/>
      <c r="Z237" s="136"/>
    </row>
    <row r="238" spans="1:26" ht="14.25" customHeight="1">
      <c r="A238" s="136"/>
      <c r="B238" s="136"/>
      <c r="C238" s="136"/>
      <c r="D238" s="136"/>
      <c r="E238" s="136"/>
      <c r="F238" s="136"/>
      <c r="G238" s="136"/>
      <c r="H238" s="136"/>
      <c r="I238" s="140"/>
      <c r="J238" s="136"/>
      <c r="K238" s="136"/>
      <c r="L238" s="136"/>
      <c r="M238" s="136"/>
      <c r="N238" s="136"/>
      <c r="O238" s="136"/>
      <c r="P238" s="136"/>
      <c r="Q238" s="136"/>
      <c r="R238" s="136"/>
      <c r="S238" s="136"/>
      <c r="T238" s="136"/>
      <c r="U238" s="136"/>
      <c r="V238" s="136"/>
      <c r="W238" s="136"/>
      <c r="X238" s="136"/>
      <c r="Y238" s="136"/>
      <c r="Z238" s="136"/>
    </row>
    <row r="239" spans="1:26" ht="14.25" customHeight="1">
      <c r="A239" s="136"/>
      <c r="B239" s="136"/>
      <c r="C239" s="136"/>
      <c r="D239" s="136"/>
      <c r="E239" s="136"/>
      <c r="F239" s="136"/>
      <c r="G239" s="136"/>
      <c r="H239" s="136"/>
      <c r="I239" s="140"/>
      <c r="J239" s="136"/>
      <c r="K239" s="136"/>
      <c r="L239" s="136"/>
      <c r="M239" s="136"/>
      <c r="N239" s="136"/>
      <c r="O239" s="136"/>
      <c r="P239" s="136"/>
      <c r="Q239" s="136"/>
      <c r="R239" s="136"/>
      <c r="S239" s="136"/>
      <c r="T239" s="136"/>
      <c r="U239" s="136"/>
      <c r="V239" s="136"/>
      <c r="W239" s="136"/>
      <c r="X239" s="136"/>
      <c r="Y239" s="136"/>
      <c r="Z239" s="136"/>
    </row>
    <row r="240" spans="1:26" ht="14.25" customHeight="1">
      <c r="A240" s="136"/>
      <c r="B240" s="136"/>
      <c r="C240" s="136"/>
      <c r="D240" s="136"/>
      <c r="E240" s="136"/>
      <c r="F240" s="136"/>
      <c r="G240" s="136"/>
      <c r="H240" s="136"/>
      <c r="I240" s="140"/>
      <c r="J240" s="136"/>
      <c r="K240" s="136"/>
      <c r="L240" s="136"/>
      <c r="M240" s="136"/>
      <c r="N240" s="136"/>
      <c r="O240" s="136"/>
      <c r="P240" s="136"/>
      <c r="Q240" s="136"/>
      <c r="R240" s="136"/>
      <c r="S240" s="136"/>
      <c r="T240" s="136"/>
      <c r="U240" s="136"/>
      <c r="V240" s="136"/>
      <c r="W240" s="136"/>
      <c r="X240" s="136"/>
      <c r="Y240" s="136"/>
      <c r="Z240" s="136"/>
    </row>
    <row r="241" spans="1:26" ht="14.25" customHeight="1">
      <c r="A241" s="136"/>
      <c r="B241" s="136"/>
      <c r="C241" s="136"/>
      <c r="D241" s="136"/>
      <c r="E241" s="136"/>
      <c r="F241" s="136"/>
      <c r="G241" s="136"/>
      <c r="H241" s="136"/>
      <c r="I241" s="140"/>
      <c r="J241" s="136"/>
      <c r="K241" s="136"/>
      <c r="L241" s="136"/>
      <c r="M241" s="136"/>
      <c r="N241" s="136"/>
      <c r="O241" s="136"/>
      <c r="P241" s="136"/>
      <c r="Q241" s="136"/>
      <c r="R241" s="136"/>
      <c r="S241" s="136"/>
      <c r="T241" s="136"/>
      <c r="U241" s="136"/>
      <c r="V241" s="136"/>
      <c r="W241" s="136"/>
      <c r="X241" s="136"/>
      <c r="Y241" s="136"/>
      <c r="Z241" s="136"/>
    </row>
    <row r="242" spans="1:26" ht="14.25" customHeight="1">
      <c r="A242" s="136"/>
      <c r="B242" s="136"/>
      <c r="C242" s="136"/>
      <c r="D242" s="136"/>
      <c r="E242" s="136"/>
      <c r="F242" s="136"/>
      <c r="G242" s="136"/>
      <c r="H242" s="136"/>
      <c r="I242" s="140"/>
      <c r="J242" s="136"/>
      <c r="K242" s="136"/>
      <c r="L242" s="136"/>
      <c r="M242" s="136"/>
      <c r="N242" s="136"/>
      <c r="O242" s="136"/>
      <c r="P242" s="136"/>
      <c r="Q242" s="136"/>
      <c r="R242" s="136"/>
      <c r="S242" s="136"/>
      <c r="T242" s="136"/>
      <c r="U242" s="136"/>
      <c r="V242" s="136"/>
      <c r="W242" s="136"/>
      <c r="X242" s="136"/>
      <c r="Y242" s="136"/>
      <c r="Z242" s="136"/>
    </row>
    <row r="243" spans="1:26" ht="14.25" customHeight="1">
      <c r="A243" s="136"/>
      <c r="B243" s="136"/>
      <c r="C243" s="136"/>
      <c r="D243" s="136"/>
      <c r="E243" s="136"/>
      <c r="F243" s="136"/>
      <c r="G243" s="136"/>
      <c r="H243" s="136"/>
      <c r="I243" s="140"/>
      <c r="J243" s="136"/>
      <c r="K243" s="136"/>
      <c r="L243" s="136"/>
      <c r="M243" s="136"/>
      <c r="N243" s="136"/>
      <c r="O243" s="136"/>
      <c r="P243" s="136"/>
      <c r="Q243" s="136"/>
      <c r="R243" s="136"/>
      <c r="S243" s="136"/>
      <c r="T243" s="136"/>
      <c r="U243" s="136"/>
      <c r="V243" s="136"/>
      <c r="W243" s="136"/>
      <c r="X243" s="136"/>
      <c r="Y243" s="136"/>
      <c r="Z243" s="136"/>
    </row>
    <row r="244" spans="1:26" ht="14.25" customHeight="1">
      <c r="A244" s="136"/>
      <c r="B244" s="136"/>
      <c r="C244" s="136"/>
      <c r="D244" s="136"/>
      <c r="E244" s="136"/>
      <c r="F244" s="136"/>
      <c r="G244" s="136"/>
      <c r="H244" s="136"/>
      <c r="I244" s="140"/>
      <c r="J244" s="136"/>
      <c r="K244" s="136"/>
      <c r="L244" s="136"/>
      <c r="M244" s="136"/>
      <c r="N244" s="136"/>
      <c r="O244" s="136"/>
      <c r="P244" s="136"/>
      <c r="Q244" s="136"/>
      <c r="R244" s="136"/>
      <c r="S244" s="136"/>
      <c r="T244" s="136"/>
      <c r="U244" s="136"/>
      <c r="V244" s="136"/>
      <c r="W244" s="136"/>
      <c r="X244" s="136"/>
      <c r="Y244" s="136"/>
      <c r="Z244" s="136"/>
    </row>
    <row r="245" spans="1:26" ht="14.25" customHeight="1">
      <c r="A245" s="136"/>
      <c r="B245" s="136"/>
      <c r="C245" s="136"/>
      <c r="D245" s="136"/>
      <c r="E245" s="136"/>
      <c r="F245" s="136"/>
      <c r="G245" s="136"/>
      <c r="H245" s="136"/>
      <c r="I245" s="140"/>
      <c r="J245" s="136"/>
      <c r="K245" s="136"/>
      <c r="L245" s="136"/>
      <c r="M245" s="136"/>
      <c r="N245" s="136"/>
      <c r="O245" s="136"/>
      <c r="P245" s="136"/>
      <c r="Q245" s="136"/>
      <c r="R245" s="136"/>
      <c r="S245" s="136"/>
      <c r="T245" s="136"/>
      <c r="U245" s="136"/>
      <c r="V245" s="136"/>
      <c r="W245" s="136"/>
      <c r="X245" s="136"/>
      <c r="Y245" s="136"/>
      <c r="Z245" s="136"/>
    </row>
    <row r="246" spans="1:26" ht="14.25" customHeight="1">
      <c r="A246" s="136"/>
      <c r="B246" s="136"/>
      <c r="C246" s="136"/>
      <c r="D246" s="136"/>
      <c r="E246" s="136"/>
      <c r="F246" s="136"/>
      <c r="G246" s="136"/>
      <c r="H246" s="136"/>
      <c r="I246" s="140"/>
      <c r="J246" s="136"/>
      <c r="K246" s="136"/>
      <c r="L246" s="136"/>
      <c r="M246" s="136"/>
      <c r="N246" s="136"/>
      <c r="O246" s="136"/>
      <c r="P246" s="136"/>
      <c r="Q246" s="136"/>
      <c r="R246" s="136"/>
      <c r="S246" s="136"/>
      <c r="T246" s="136"/>
      <c r="U246" s="136"/>
      <c r="V246" s="136"/>
      <c r="W246" s="136"/>
      <c r="X246" s="136"/>
      <c r="Y246" s="136"/>
      <c r="Z246" s="136"/>
    </row>
    <row r="247" spans="1:26" ht="14.25" customHeight="1">
      <c r="A247" s="136"/>
      <c r="B247" s="136"/>
      <c r="C247" s="136"/>
      <c r="D247" s="136"/>
      <c r="E247" s="136"/>
      <c r="F247" s="136"/>
      <c r="G247" s="136"/>
      <c r="H247" s="136"/>
      <c r="I247" s="140"/>
      <c r="J247" s="136"/>
      <c r="K247" s="136"/>
      <c r="L247" s="136"/>
      <c r="M247" s="136"/>
      <c r="N247" s="136"/>
      <c r="O247" s="136"/>
      <c r="P247" s="136"/>
      <c r="Q247" s="136"/>
      <c r="R247" s="136"/>
      <c r="S247" s="136"/>
      <c r="T247" s="136"/>
      <c r="U247" s="136"/>
      <c r="V247" s="136"/>
      <c r="W247" s="136"/>
      <c r="X247" s="136"/>
      <c r="Y247" s="136"/>
      <c r="Z247" s="136"/>
    </row>
    <row r="248" spans="1:26" ht="14.25" customHeight="1">
      <c r="A248" s="136"/>
      <c r="B248" s="136"/>
      <c r="C248" s="136"/>
      <c r="D248" s="136"/>
      <c r="E248" s="136"/>
      <c r="F248" s="136"/>
      <c r="G248" s="136"/>
      <c r="H248" s="136"/>
      <c r="I248" s="140"/>
      <c r="J248" s="136"/>
      <c r="K248" s="136"/>
      <c r="L248" s="136"/>
      <c r="M248" s="136"/>
      <c r="N248" s="136"/>
      <c r="O248" s="136"/>
      <c r="P248" s="136"/>
      <c r="Q248" s="136"/>
      <c r="R248" s="136"/>
      <c r="S248" s="136"/>
      <c r="T248" s="136"/>
      <c r="U248" s="136"/>
      <c r="V248" s="136"/>
      <c r="W248" s="136"/>
      <c r="X248" s="136"/>
      <c r="Y248" s="136"/>
      <c r="Z248" s="136"/>
    </row>
    <row r="249" spans="1:26" ht="14.25" customHeight="1">
      <c r="A249" s="136"/>
      <c r="B249" s="136"/>
      <c r="C249" s="136"/>
      <c r="D249" s="136"/>
      <c r="E249" s="136"/>
      <c r="F249" s="136"/>
      <c r="G249" s="136"/>
      <c r="H249" s="136"/>
      <c r="I249" s="140"/>
      <c r="J249" s="136"/>
      <c r="K249" s="136"/>
      <c r="L249" s="136"/>
      <c r="M249" s="136"/>
      <c r="N249" s="136"/>
      <c r="O249" s="136"/>
      <c r="P249" s="136"/>
      <c r="Q249" s="136"/>
      <c r="R249" s="136"/>
      <c r="S249" s="136"/>
      <c r="T249" s="136"/>
      <c r="U249" s="136"/>
      <c r="V249" s="136"/>
      <c r="W249" s="136"/>
      <c r="X249" s="136"/>
      <c r="Y249" s="136"/>
      <c r="Z249" s="136"/>
    </row>
    <row r="250" spans="1:26" ht="14.25" customHeight="1">
      <c r="A250" s="136"/>
      <c r="B250" s="136"/>
      <c r="C250" s="136"/>
      <c r="D250" s="136"/>
      <c r="E250" s="136"/>
      <c r="F250" s="136"/>
      <c r="G250" s="136"/>
      <c r="H250" s="136"/>
      <c r="I250" s="140"/>
      <c r="J250" s="136"/>
      <c r="K250" s="136"/>
      <c r="L250" s="136"/>
      <c r="M250" s="136"/>
      <c r="N250" s="136"/>
      <c r="O250" s="136"/>
      <c r="P250" s="136"/>
      <c r="Q250" s="136"/>
      <c r="R250" s="136"/>
      <c r="S250" s="136"/>
      <c r="T250" s="136"/>
      <c r="U250" s="136"/>
      <c r="V250" s="136"/>
      <c r="W250" s="136"/>
      <c r="X250" s="136"/>
      <c r="Y250" s="136"/>
      <c r="Z250" s="136"/>
    </row>
    <row r="251" spans="1:26" ht="14.25" customHeight="1">
      <c r="A251" s="136"/>
      <c r="B251" s="136"/>
      <c r="C251" s="136"/>
      <c r="D251" s="136"/>
      <c r="E251" s="136"/>
      <c r="F251" s="136"/>
      <c r="G251" s="136"/>
      <c r="H251" s="136"/>
      <c r="I251" s="140"/>
      <c r="J251" s="136"/>
      <c r="K251" s="136"/>
      <c r="L251" s="136"/>
      <c r="M251" s="136"/>
      <c r="N251" s="136"/>
      <c r="O251" s="136"/>
      <c r="P251" s="136"/>
      <c r="Q251" s="136"/>
      <c r="R251" s="136"/>
      <c r="S251" s="136"/>
      <c r="T251" s="136"/>
      <c r="U251" s="136"/>
      <c r="V251" s="136"/>
      <c r="W251" s="136"/>
      <c r="X251" s="136"/>
      <c r="Y251" s="136"/>
      <c r="Z251" s="136"/>
    </row>
    <row r="252" spans="1:26" ht="14.25" customHeight="1">
      <c r="A252" s="136"/>
      <c r="B252" s="136"/>
      <c r="C252" s="136"/>
      <c r="D252" s="136"/>
      <c r="E252" s="136"/>
      <c r="F252" s="136"/>
      <c r="G252" s="136"/>
      <c r="H252" s="136"/>
      <c r="I252" s="140"/>
      <c r="J252" s="136"/>
      <c r="K252" s="136"/>
      <c r="L252" s="136"/>
      <c r="M252" s="136"/>
      <c r="N252" s="136"/>
      <c r="O252" s="136"/>
      <c r="P252" s="136"/>
      <c r="Q252" s="136"/>
      <c r="R252" s="136"/>
      <c r="S252" s="136"/>
      <c r="T252" s="136"/>
      <c r="U252" s="136"/>
      <c r="V252" s="136"/>
      <c r="W252" s="136"/>
      <c r="X252" s="136"/>
      <c r="Y252" s="136"/>
      <c r="Z252" s="136"/>
    </row>
    <row r="253" spans="1:26" ht="14.25" customHeight="1">
      <c r="A253" s="136"/>
      <c r="B253" s="136"/>
      <c r="C253" s="136"/>
      <c r="D253" s="136"/>
      <c r="E253" s="136"/>
      <c r="F253" s="136"/>
      <c r="G253" s="136"/>
      <c r="H253" s="136"/>
      <c r="I253" s="140"/>
      <c r="J253" s="136"/>
      <c r="K253" s="136"/>
      <c r="L253" s="136"/>
      <c r="M253" s="136"/>
      <c r="N253" s="136"/>
      <c r="O253" s="136"/>
      <c r="P253" s="136"/>
      <c r="Q253" s="136"/>
      <c r="R253" s="136"/>
      <c r="S253" s="136"/>
      <c r="T253" s="136"/>
      <c r="U253" s="136"/>
      <c r="V253" s="136"/>
      <c r="W253" s="136"/>
      <c r="X253" s="136"/>
      <c r="Y253" s="136"/>
      <c r="Z253" s="136"/>
    </row>
    <row r="254" spans="1:26" ht="14.25" customHeight="1">
      <c r="A254" s="136"/>
      <c r="B254" s="136"/>
      <c r="C254" s="136"/>
      <c r="D254" s="136"/>
      <c r="E254" s="136"/>
      <c r="F254" s="136"/>
      <c r="G254" s="136"/>
      <c r="H254" s="136"/>
      <c r="I254" s="140"/>
      <c r="J254" s="136"/>
      <c r="K254" s="136"/>
      <c r="L254" s="136"/>
      <c r="M254" s="136"/>
      <c r="N254" s="136"/>
      <c r="O254" s="136"/>
      <c r="P254" s="136"/>
      <c r="Q254" s="136"/>
      <c r="R254" s="136"/>
      <c r="S254" s="136"/>
      <c r="T254" s="136"/>
      <c r="U254" s="136"/>
      <c r="V254" s="136"/>
      <c r="W254" s="136"/>
      <c r="X254" s="136"/>
      <c r="Y254" s="136"/>
      <c r="Z254" s="136"/>
    </row>
    <row r="255" spans="1:26" ht="14.25" customHeight="1">
      <c r="A255" s="136"/>
      <c r="B255" s="136"/>
      <c r="C255" s="136"/>
      <c r="D255" s="136"/>
      <c r="E255" s="136"/>
      <c r="F255" s="136"/>
      <c r="G255" s="136"/>
      <c r="H255" s="136"/>
      <c r="I255" s="140"/>
      <c r="J255" s="136"/>
      <c r="K255" s="136"/>
      <c r="L255" s="136"/>
      <c r="M255" s="136"/>
      <c r="N255" s="136"/>
      <c r="O255" s="136"/>
      <c r="P255" s="136"/>
      <c r="Q255" s="136"/>
      <c r="R255" s="136"/>
      <c r="S255" s="136"/>
      <c r="T255" s="136"/>
      <c r="U255" s="136"/>
      <c r="V255" s="136"/>
      <c r="W255" s="136"/>
      <c r="X255" s="136"/>
      <c r="Y255" s="136"/>
      <c r="Z255" s="136"/>
    </row>
    <row r="256" spans="1:26" ht="14.25" customHeight="1">
      <c r="A256" s="136"/>
      <c r="B256" s="136"/>
      <c r="C256" s="136"/>
      <c r="D256" s="136"/>
      <c r="E256" s="136"/>
      <c r="F256" s="136"/>
      <c r="G256" s="136"/>
      <c r="H256" s="136"/>
      <c r="I256" s="140"/>
      <c r="J256" s="136"/>
      <c r="K256" s="136"/>
      <c r="L256" s="136"/>
      <c r="M256" s="136"/>
      <c r="N256" s="136"/>
      <c r="O256" s="136"/>
      <c r="P256" s="136"/>
      <c r="Q256" s="136"/>
      <c r="R256" s="136"/>
      <c r="S256" s="136"/>
      <c r="T256" s="136"/>
      <c r="U256" s="136"/>
      <c r="V256" s="136"/>
      <c r="W256" s="136"/>
      <c r="X256" s="136"/>
      <c r="Y256" s="136"/>
      <c r="Z256" s="136"/>
    </row>
    <row r="257" spans="1:26" ht="14.25" customHeight="1">
      <c r="A257" s="136"/>
      <c r="B257" s="136"/>
      <c r="C257" s="136"/>
      <c r="D257" s="136"/>
      <c r="E257" s="136"/>
      <c r="F257" s="136"/>
      <c r="G257" s="136"/>
      <c r="H257" s="136"/>
      <c r="I257" s="140"/>
      <c r="J257" s="136"/>
      <c r="K257" s="136"/>
      <c r="L257" s="136"/>
      <c r="M257" s="136"/>
      <c r="N257" s="136"/>
      <c r="O257" s="136"/>
      <c r="P257" s="136"/>
      <c r="Q257" s="136"/>
      <c r="R257" s="136"/>
      <c r="S257" s="136"/>
      <c r="T257" s="136"/>
      <c r="U257" s="136"/>
      <c r="V257" s="136"/>
      <c r="W257" s="136"/>
      <c r="X257" s="136"/>
      <c r="Y257" s="136"/>
      <c r="Z257" s="136"/>
    </row>
    <row r="258" spans="1:26" ht="14.25" customHeight="1">
      <c r="A258" s="136"/>
      <c r="B258" s="136"/>
      <c r="C258" s="136"/>
      <c r="D258" s="136"/>
      <c r="E258" s="136"/>
      <c r="F258" s="136"/>
      <c r="G258" s="136"/>
      <c r="H258" s="136"/>
      <c r="I258" s="140"/>
      <c r="J258" s="136"/>
      <c r="K258" s="136"/>
      <c r="L258" s="136"/>
      <c r="M258" s="136"/>
      <c r="N258" s="136"/>
      <c r="O258" s="136"/>
      <c r="P258" s="136"/>
      <c r="Q258" s="136"/>
      <c r="R258" s="136"/>
      <c r="S258" s="136"/>
      <c r="T258" s="136"/>
      <c r="U258" s="136"/>
      <c r="V258" s="136"/>
      <c r="W258" s="136"/>
      <c r="X258" s="136"/>
      <c r="Y258" s="136"/>
      <c r="Z258" s="136"/>
    </row>
    <row r="259" spans="1:26" ht="14.25" customHeight="1">
      <c r="A259" s="136"/>
      <c r="B259" s="136"/>
      <c r="C259" s="136"/>
      <c r="D259" s="136"/>
      <c r="E259" s="136"/>
      <c r="F259" s="136"/>
      <c r="G259" s="136"/>
      <c r="H259" s="136"/>
      <c r="I259" s="140"/>
      <c r="J259" s="136"/>
      <c r="K259" s="136"/>
      <c r="L259" s="136"/>
      <c r="M259" s="136"/>
      <c r="N259" s="136"/>
      <c r="O259" s="136"/>
      <c r="P259" s="136"/>
      <c r="Q259" s="136"/>
      <c r="R259" s="136"/>
      <c r="S259" s="136"/>
      <c r="T259" s="136"/>
      <c r="U259" s="136"/>
      <c r="V259" s="136"/>
      <c r="W259" s="136"/>
      <c r="X259" s="136"/>
      <c r="Y259" s="136"/>
      <c r="Z259" s="136"/>
    </row>
    <row r="260" spans="1:26" ht="14.25" customHeight="1">
      <c r="A260" s="136"/>
      <c r="B260" s="136"/>
      <c r="C260" s="136"/>
      <c r="D260" s="136"/>
      <c r="E260" s="136"/>
      <c r="F260" s="136"/>
      <c r="G260" s="136"/>
      <c r="H260" s="136"/>
      <c r="I260" s="140"/>
      <c r="J260" s="136"/>
      <c r="K260" s="136"/>
      <c r="L260" s="136"/>
      <c r="M260" s="136"/>
      <c r="N260" s="136"/>
      <c r="O260" s="136"/>
      <c r="P260" s="136"/>
      <c r="Q260" s="136"/>
      <c r="R260" s="136"/>
      <c r="S260" s="136"/>
      <c r="T260" s="136"/>
      <c r="U260" s="136"/>
      <c r="V260" s="136"/>
      <c r="W260" s="136"/>
      <c r="X260" s="136"/>
      <c r="Y260" s="136"/>
      <c r="Z260" s="136"/>
    </row>
    <row r="261" spans="1:26" ht="14.25" customHeight="1">
      <c r="A261" s="136"/>
      <c r="B261" s="136"/>
      <c r="C261" s="136"/>
      <c r="D261" s="136"/>
      <c r="E261" s="136"/>
      <c r="F261" s="136"/>
      <c r="G261" s="136"/>
      <c r="H261" s="136"/>
      <c r="I261" s="140"/>
      <c r="J261" s="136"/>
      <c r="K261" s="136"/>
      <c r="L261" s="136"/>
      <c r="M261" s="136"/>
      <c r="N261" s="136"/>
      <c r="O261" s="136"/>
      <c r="P261" s="136"/>
      <c r="Q261" s="136"/>
      <c r="R261" s="136"/>
      <c r="S261" s="136"/>
      <c r="T261" s="136"/>
      <c r="U261" s="136"/>
      <c r="V261" s="136"/>
      <c r="W261" s="136"/>
      <c r="X261" s="136"/>
      <c r="Y261" s="136"/>
      <c r="Z261" s="136"/>
    </row>
    <row r="262" spans="1:26" ht="14.25" customHeight="1">
      <c r="A262" s="136"/>
      <c r="B262" s="136"/>
      <c r="C262" s="136"/>
      <c r="D262" s="136"/>
      <c r="E262" s="136"/>
      <c r="F262" s="136"/>
      <c r="G262" s="136"/>
      <c r="H262" s="136"/>
      <c r="I262" s="140"/>
      <c r="J262" s="136"/>
      <c r="K262" s="136"/>
      <c r="L262" s="136"/>
      <c r="M262" s="136"/>
      <c r="N262" s="136"/>
      <c r="O262" s="136"/>
      <c r="P262" s="136"/>
      <c r="Q262" s="136"/>
      <c r="R262" s="136"/>
      <c r="S262" s="136"/>
      <c r="T262" s="136"/>
      <c r="U262" s="136"/>
      <c r="V262" s="136"/>
      <c r="W262" s="136"/>
      <c r="X262" s="136"/>
      <c r="Y262" s="136"/>
      <c r="Z262" s="136"/>
    </row>
    <row r="263" spans="1:26" ht="14.25" customHeight="1">
      <c r="A263" s="136"/>
      <c r="B263" s="136"/>
      <c r="C263" s="136"/>
      <c r="D263" s="136"/>
      <c r="E263" s="136"/>
      <c r="F263" s="136"/>
      <c r="G263" s="136"/>
      <c r="H263" s="136"/>
      <c r="I263" s="140"/>
      <c r="J263" s="136"/>
      <c r="K263" s="136"/>
      <c r="L263" s="136"/>
      <c r="M263" s="136"/>
      <c r="N263" s="136"/>
      <c r="O263" s="136"/>
      <c r="P263" s="136"/>
      <c r="Q263" s="136"/>
      <c r="R263" s="136"/>
      <c r="S263" s="136"/>
      <c r="T263" s="136"/>
      <c r="U263" s="136"/>
      <c r="V263" s="136"/>
      <c r="W263" s="136"/>
      <c r="X263" s="136"/>
      <c r="Y263" s="136"/>
      <c r="Z263" s="136"/>
    </row>
    <row r="264" spans="1:26" ht="14.25" customHeight="1">
      <c r="A264" s="136"/>
      <c r="B264" s="136"/>
      <c r="C264" s="136"/>
      <c r="D264" s="136"/>
      <c r="E264" s="136"/>
      <c r="F264" s="136"/>
      <c r="G264" s="136"/>
      <c r="H264" s="136"/>
      <c r="I264" s="140"/>
      <c r="J264" s="136"/>
      <c r="K264" s="136"/>
      <c r="L264" s="136"/>
      <c r="M264" s="136"/>
      <c r="N264" s="136"/>
      <c r="O264" s="136"/>
      <c r="P264" s="136"/>
      <c r="Q264" s="136"/>
      <c r="R264" s="136"/>
      <c r="S264" s="136"/>
      <c r="T264" s="136"/>
      <c r="U264" s="136"/>
      <c r="V264" s="136"/>
      <c r="W264" s="136"/>
      <c r="X264" s="136"/>
      <c r="Y264" s="136"/>
      <c r="Z264" s="136"/>
    </row>
    <row r="265" spans="1:26" ht="14.25" customHeight="1">
      <c r="A265" s="136"/>
      <c r="B265" s="136"/>
      <c r="C265" s="136"/>
      <c r="D265" s="136"/>
      <c r="E265" s="136"/>
      <c r="F265" s="136"/>
      <c r="G265" s="136"/>
      <c r="H265" s="136"/>
      <c r="I265" s="140"/>
      <c r="J265" s="136"/>
      <c r="K265" s="136"/>
      <c r="L265" s="136"/>
      <c r="M265" s="136"/>
      <c r="N265" s="136"/>
      <c r="O265" s="136"/>
      <c r="P265" s="136"/>
      <c r="Q265" s="136"/>
      <c r="R265" s="136"/>
      <c r="S265" s="136"/>
      <c r="T265" s="136"/>
      <c r="U265" s="136"/>
      <c r="V265" s="136"/>
      <c r="W265" s="136"/>
      <c r="X265" s="136"/>
      <c r="Y265" s="136"/>
      <c r="Z265" s="136"/>
    </row>
    <row r="266" spans="1:26" ht="14.25" customHeight="1">
      <c r="A266" s="136"/>
      <c r="B266" s="136"/>
      <c r="C266" s="136"/>
      <c r="D266" s="136"/>
      <c r="E266" s="136"/>
      <c r="F266" s="136"/>
      <c r="G266" s="136"/>
      <c r="H266" s="136"/>
      <c r="I266" s="140"/>
      <c r="J266" s="136"/>
      <c r="K266" s="136"/>
      <c r="L266" s="136"/>
      <c r="M266" s="136"/>
      <c r="N266" s="136"/>
      <c r="O266" s="136"/>
      <c r="P266" s="136"/>
      <c r="Q266" s="136"/>
      <c r="R266" s="136"/>
      <c r="S266" s="136"/>
      <c r="T266" s="136"/>
      <c r="U266" s="136"/>
      <c r="V266" s="136"/>
      <c r="W266" s="136"/>
      <c r="X266" s="136"/>
      <c r="Y266" s="136"/>
      <c r="Z266" s="136"/>
    </row>
    <row r="267" spans="1:26" ht="14.25" customHeight="1">
      <c r="A267" s="136"/>
      <c r="B267" s="136"/>
      <c r="C267" s="136"/>
      <c r="D267" s="136"/>
      <c r="E267" s="136"/>
      <c r="F267" s="136"/>
      <c r="G267" s="136"/>
      <c r="H267" s="136"/>
      <c r="I267" s="140"/>
      <c r="J267" s="136"/>
      <c r="K267" s="136"/>
      <c r="L267" s="136"/>
      <c r="M267" s="136"/>
      <c r="N267" s="136"/>
      <c r="O267" s="136"/>
      <c r="P267" s="136"/>
      <c r="Q267" s="136"/>
      <c r="R267" s="136"/>
      <c r="S267" s="136"/>
      <c r="T267" s="136"/>
      <c r="U267" s="136"/>
      <c r="V267" s="136"/>
      <c r="W267" s="136"/>
      <c r="X267" s="136"/>
      <c r="Y267" s="136"/>
      <c r="Z267" s="136"/>
    </row>
    <row r="268" spans="1:26" ht="14.25" customHeight="1">
      <c r="A268" s="136"/>
      <c r="B268" s="136"/>
      <c r="C268" s="136"/>
      <c r="D268" s="136"/>
      <c r="E268" s="136"/>
      <c r="F268" s="136"/>
      <c r="G268" s="136"/>
      <c r="H268" s="136"/>
      <c r="I268" s="140"/>
      <c r="J268" s="136"/>
      <c r="K268" s="136"/>
      <c r="L268" s="136"/>
      <c r="M268" s="136"/>
      <c r="N268" s="136"/>
      <c r="O268" s="136"/>
      <c r="P268" s="136"/>
      <c r="Q268" s="136"/>
      <c r="R268" s="136"/>
      <c r="S268" s="136"/>
      <c r="T268" s="136"/>
      <c r="U268" s="136"/>
      <c r="V268" s="136"/>
      <c r="W268" s="136"/>
      <c r="X268" s="136"/>
      <c r="Y268" s="136"/>
      <c r="Z268" s="136"/>
    </row>
    <row r="269" spans="1:26" ht="14.25" customHeight="1">
      <c r="A269" s="136"/>
      <c r="B269" s="136"/>
      <c r="C269" s="136"/>
      <c r="D269" s="136"/>
      <c r="E269" s="136"/>
      <c r="F269" s="136"/>
      <c r="G269" s="136"/>
      <c r="H269" s="136"/>
      <c r="I269" s="140"/>
      <c r="J269" s="136"/>
      <c r="K269" s="136"/>
      <c r="L269" s="136"/>
      <c r="M269" s="136"/>
      <c r="N269" s="136"/>
      <c r="O269" s="136"/>
      <c r="P269" s="136"/>
      <c r="Q269" s="136"/>
      <c r="R269" s="136"/>
      <c r="S269" s="136"/>
      <c r="T269" s="136"/>
      <c r="U269" s="136"/>
      <c r="V269" s="136"/>
      <c r="W269" s="136"/>
      <c r="X269" s="136"/>
      <c r="Y269" s="136"/>
      <c r="Z269" s="136"/>
    </row>
    <row r="270" spans="1:26" ht="14.25" customHeight="1">
      <c r="A270" s="136"/>
      <c r="B270" s="136"/>
      <c r="C270" s="136"/>
      <c r="D270" s="136"/>
      <c r="E270" s="136"/>
      <c r="F270" s="136"/>
      <c r="G270" s="136"/>
      <c r="H270" s="136"/>
      <c r="I270" s="140"/>
      <c r="J270" s="136"/>
      <c r="K270" s="136"/>
      <c r="L270" s="136"/>
      <c r="M270" s="136"/>
      <c r="N270" s="136"/>
      <c r="O270" s="136"/>
      <c r="P270" s="136"/>
      <c r="Q270" s="136"/>
      <c r="R270" s="136"/>
      <c r="S270" s="136"/>
      <c r="T270" s="136"/>
      <c r="U270" s="136"/>
      <c r="V270" s="136"/>
      <c r="W270" s="136"/>
      <c r="X270" s="136"/>
      <c r="Y270" s="136"/>
      <c r="Z270" s="136"/>
    </row>
    <row r="271" spans="1:26" ht="14.25" customHeight="1">
      <c r="A271" s="136"/>
      <c r="B271" s="136"/>
      <c r="C271" s="136"/>
      <c r="D271" s="136"/>
      <c r="E271" s="136"/>
      <c r="F271" s="136"/>
      <c r="G271" s="136"/>
      <c r="H271" s="136"/>
      <c r="I271" s="140"/>
      <c r="J271" s="136"/>
      <c r="K271" s="136"/>
      <c r="L271" s="136"/>
      <c r="M271" s="136"/>
      <c r="N271" s="136"/>
      <c r="O271" s="136"/>
      <c r="P271" s="136"/>
      <c r="Q271" s="136"/>
      <c r="R271" s="136"/>
      <c r="S271" s="136"/>
      <c r="T271" s="136"/>
      <c r="U271" s="136"/>
      <c r="V271" s="136"/>
      <c r="W271" s="136"/>
      <c r="X271" s="136"/>
      <c r="Y271" s="136"/>
      <c r="Z271" s="136"/>
    </row>
    <row r="272" spans="1:26" ht="14.25" customHeight="1">
      <c r="A272" s="136"/>
      <c r="B272" s="136"/>
      <c r="C272" s="136"/>
      <c r="D272" s="136"/>
      <c r="E272" s="136"/>
      <c r="F272" s="136"/>
      <c r="G272" s="136"/>
      <c r="H272" s="136"/>
      <c r="I272" s="140"/>
      <c r="J272" s="136"/>
      <c r="K272" s="136"/>
      <c r="L272" s="136"/>
      <c r="M272" s="136"/>
      <c r="N272" s="136"/>
      <c r="O272" s="136"/>
      <c r="P272" s="136"/>
      <c r="Q272" s="136"/>
      <c r="R272" s="136"/>
      <c r="S272" s="136"/>
      <c r="T272" s="136"/>
      <c r="U272" s="136"/>
      <c r="V272" s="136"/>
      <c r="W272" s="136"/>
      <c r="X272" s="136"/>
      <c r="Y272" s="136"/>
      <c r="Z272" s="136"/>
    </row>
    <row r="273" spans="1:26" ht="14.25" customHeight="1">
      <c r="A273" s="136"/>
      <c r="B273" s="136"/>
      <c r="C273" s="136"/>
      <c r="D273" s="136"/>
      <c r="E273" s="136"/>
      <c r="F273" s="136"/>
      <c r="G273" s="136"/>
      <c r="H273" s="136"/>
      <c r="I273" s="140"/>
      <c r="J273" s="136"/>
      <c r="K273" s="136"/>
      <c r="L273" s="136"/>
      <c r="M273" s="136"/>
      <c r="N273" s="136"/>
      <c r="O273" s="136"/>
      <c r="P273" s="136"/>
      <c r="Q273" s="136"/>
      <c r="R273" s="136"/>
      <c r="S273" s="136"/>
      <c r="T273" s="136"/>
      <c r="U273" s="136"/>
      <c r="V273" s="136"/>
      <c r="W273" s="136"/>
      <c r="X273" s="136"/>
      <c r="Y273" s="136"/>
      <c r="Z273" s="136"/>
    </row>
    <row r="274" spans="1:26" ht="14.25" customHeight="1">
      <c r="A274" s="136"/>
      <c r="B274" s="136"/>
      <c r="C274" s="136"/>
      <c r="D274" s="136"/>
      <c r="E274" s="136"/>
      <c r="F274" s="136"/>
      <c r="G274" s="136"/>
      <c r="H274" s="136"/>
      <c r="I274" s="140"/>
      <c r="J274" s="136"/>
      <c r="K274" s="136"/>
      <c r="L274" s="136"/>
      <c r="M274" s="136"/>
      <c r="N274" s="136"/>
      <c r="O274" s="136"/>
      <c r="P274" s="136"/>
      <c r="Q274" s="136"/>
      <c r="R274" s="136"/>
      <c r="S274" s="136"/>
      <c r="T274" s="136"/>
      <c r="U274" s="136"/>
      <c r="V274" s="136"/>
      <c r="W274" s="136"/>
      <c r="X274" s="136"/>
      <c r="Y274" s="136"/>
      <c r="Z274" s="136"/>
    </row>
    <row r="275" spans="1:26" ht="14.25" customHeight="1">
      <c r="A275" s="136"/>
      <c r="B275" s="136"/>
      <c r="C275" s="136"/>
      <c r="D275" s="136"/>
      <c r="E275" s="136"/>
      <c r="F275" s="136"/>
      <c r="G275" s="136"/>
      <c r="H275" s="136"/>
      <c r="I275" s="140"/>
      <c r="J275" s="136"/>
      <c r="K275" s="136"/>
      <c r="L275" s="136"/>
      <c r="M275" s="136"/>
      <c r="N275" s="136"/>
      <c r="O275" s="136"/>
      <c r="P275" s="136"/>
      <c r="Q275" s="136"/>
      <c r="R275" s="136"/>
      <c r="S275" s="136"/>
      <c r="T275" s="136"/>
      <c r="U275" s="136"/>
      <c r="V275" s="136"/>
      <c r="W275" s="136"/>
      <c r="X275" s="136"/>
      <c r="Y275" s="136"/>
      <c r="Z275" s="136"/>
    </row>
    <row r="276" spans="1:26" ht="14.25" customHeight="1">
      <c r="A276" s="136"/>
      <c r="B276" s="136"/>
      <c r="C276" s="136"/>
      <c r="D276" s="136"/>
      <c r="E276" s="136"/>
      <c r="F276" s="136"/>
      <c r="G276" s="136"/>
      <c r="H276" s="136"/>
      <c r="I276" s="140"/>
      <c r="J276" s="136"/>
      <c r="K276" s="136"/>
      <c r="L276" s="136"/>
      <c r="M276" s="136"/>
      <c r="N276" s="136"/>
      <c r="O276" s="136"/>
      <c r="P276" s="136"/>
      <c r="Q276" s="136"/>
      <c r="R276" s="136"/>
      <c r="S276" s="136"/>
      <c r="T276" s="136"/>
      <c r="U276" s="136"/>
      <c r="V276" s="136"/>
      <c r="W276" s="136"/>
      <c r="X276" s="136"/>
      <c r="Y276" s="136"/>
      <c r="Z276" s="136"/>
    </row>
    <row r="277" spans="1:26" ht="14.25" customHeight="1">
      <c r="A277" s="136"/>
      <c r="B277" s="136"/>
      <c r="C277" s="136"/>
      <c r="D277" s="136"/>
      <c r="E277" s="136"/>
      <c r="F277" s="136"/>
      <c r="G277" s="136"/>
      <c r="H277" s="136"/>
      <c r="I277" s="140"/>
      <c r="J277" s="136"/>
      <c r="K277" s="136"/>
      <c r="L277" s="136"/>
      <c r="M277" s="136"/>
      <c r="N277" s="136"/>
      <c r="O277" s="136"/>
      <c r="P277" s="136"/>
      <c r="Q277" s="136"/>
      <c r="R277" s="136"/>
      <c r="S277" s="136"/>
      <c r="T277" s="136"/>
      <c r="U277" s="136"/>
      <c r="V277" s="136"/>
      <c r="W277" s="136"/>
      <c r="X277" s="136"/>
      <c r="Y277" s="136"/>
      <c r="Z277" s="136"/>
    </row>
    <row r="278" spans="1:26" ht="14.25" customHeight="1">
      <c r="A278" s="136"/>
      <c r="B278" s="136"/>
      <c r="C278" s="136"/>
      <c r="D278" s="136"/>
      <c r="E278" s="136"/>
      <c r="F278" s="136"/>
      <c r="G278" s="136"/>
      <c r="H278" s="136"/>
      <c r="I278" s="140"/>
      <c r="J278" s="136"/>
      <c r="K278" s="136"/>
      <c r="L278" s="136"/>
      <c r="M278" s="136"/>
      <c r="N278" s="136"/>
      <c r="O278" s="136"/>
      <c r="P278" s="136"/>
      <c r="Q278" s="136"/>
      <c r="R278" s="136"/>
      <c r="S278" s="136"/>
      <c r="T278" s="136"/>
      <c r="U278" s="136"/>
      <c r="V278" s="136"/>
      <c r="W278" s="136"/>
      <c r="X278" s="136"/>
      <c r="Y278" s="136"/>
      <c r="Z278" s="136"/>
    </row>
    <row r="279" spans="1:26" ht="14.25" customHeight="1">
      <c r="A279" s="136"/>
      <c r="B279" s="136"/>
      <c r="C279" s="136"/>
      <c r="D279" s="136"/>
      <c r="E279" s="136"/>
      <c r="F279" s="136"/>
      <c r="G279" s="136"/>
      <c r="H279" s="136"/>
      <c r="I279" s="140"/>
      <c r="J279" s="136"/>
      <c r="K279" s="136"/>
      <c r="L279" s="136"/>
      <c r="M279" s="136"/>
      <c r="N279" s="136"/>
      <c r="O279" s="136"/>
      <c r="P279" s="136"/>
      <c r="Q279" s="136"/>
      <c r="R279" s="136"/>
      <c r="S279" s="136"/>
      <c r="T279" s="136"/>
      <c r="U279" s="136"/>
      <c r="V279" s="136"/>
      <c r="W279" s="136"/>
      <c r="X279" s="136"/>
      <c r="Y279" s="136"/>
      <c r="Z279" s="136"/>
    </row>
    <row r="280" spans="1:26" ht="14.25" customHeight="1">
      <c r="A280" s="136"/>
      <c r="B280" s="136"/>
      <c r="C280" s="136"/>
      <c r="D280" s="136"/>
      <c r="E280" s="136"/>
      <c r="F280" s="136"/>
      <c r="G280" s="136"/>
      <c r="H280" s="136"/>
      <c r="I280" s="140"/>
      <c r="J280" s="136"/>
      <c r="K280" s="136"/>
      <c r="L280" s="136"/>
      <c r="M280" s="136"/>
      <c r="N280" s="136"/>
      <c r="O280" s="136"/>
      <c r="P280" s="136"/>
      <c r="Q280" s="136"/>
      <c r="R280" s="136"/>
      <c r="S280" s="136"/>
      <c r="T280" s="136"/>
      <c r="U280" s="136"/>
      <c r="V280" s="136"/>
      <c r="W280" s="136"/>
      <c r="X280" s="136"/>
      <c r="Y280" s="136"/>
      <c r="Z280" s="136"/>
    </row>
    <row r="281" spans="1:26" ht="14.25" customHeight="1">
      <c r="A281" s="136"/>
      <c r="B281" s="136"/>
      <c r="C281" s="136"/>
      <c r="D281" s="136"/>
      <c r="E281" s="136"/>
      <c r="F281" s="136"/>
      <c r="G281" s="136"/>
      <c r="H281" s="136"/>
      <c r="I281" s="140"/>
      <c r="J281" s="136"/>
      <c r="K281" s="136"/>
      <c r="L281" s="136"/>
      <c r="M281" s="136"/>
      <c r="N281" s="136"/>
      <c r="O281" s="136"/>
      <c r="P281" s="136"/>
      <c r="Q281" s="136"/>
      <c r="R281" s="136"/>
      <c r="S281" s="136"/>
      <c r="T281" s="136"/>
      <c r="U281" s="136"/>
      <c r="V281" s="136"/>
      <c r="W281" s="136"/>
      <c r="X281" s="136"/>
      <c r="Y281" s="136"/>
      <c r="Z281" s="136"/>
    </row>
    <row r="282" spans="1:26" ht="14.25" customHeight="1">
      <c r="A282" s="136"/>
      <c r="B282" s="136"/>
      <c r="C282" s="136"/>
      <c r="D282" s="136"/>
      <c r="E282" s="136"/>
      <c r="F282" s="136"/>
      <c r="G282" s="136"/>
      <c r="H282" s="136"/>
      <c r="I282" s="140"/>
      <c r="J282" s="136"/>
      <c r="K282" s="136"/>
      <c r="L282" s="136"/>
      <c r="M282" s="136"/>
      <c r="N282" s="136"/>
      <c r="O282" s="136"/>
      <c r="P282" s="136"/>
      <c r="Q282" s="136"/>
      <c r="R282" s="136"/>
      <c r="S282" s="136"/>
      <c r="T282" s="136"/>
      <c r="U282" s="136"/>
      <c r="V282" s="136"/>
      <c r="W282" s="136"/>
      <c r="X282" s="136"/>
      <c r="Y282" s="136"/>
      <c r="Z282" s="136"/>
    </row>
    <row r="283" spans="1:26" ht="14.25" customHeight="1">
      <c r="A283" s="136"/>
      <c r="B283" s="136"/>
      <c r="C283" s="136"/>
      <c r="D283" s="136"/>
      <c r="E283" s="136"/>
      <c r="F283" s="136"/>
      <c r="G283" s="136"/>
      <c r="H283" s="136"/>
      <c r="I283" s="140"/>
      <c r="J283" s="136"/>
      <c r="K283" s="136"/>
      <c r="L283" s="136"/>
      <c r="M283" s="136"/>
      <c r="N283" s="136"/>
      <c r="O283" s="136"/>
      <c r="P283" s="136"/>
      <c r="Q283" s="136"/>
      <c r="R283" s="136"/>
      <c r="S283" s="136"/>
      <c r="T283" s="136"/>
      <c r="U283" s="136"/>
      <c r="V283" s="136"/>
      <c r="W283" s="136"/>
      <c r="X283" s="136"/>
      <c r="Y283" s="136"/>
      <c r="Z283" s="136"/>
    </row>
    <row r="284" spans="1:26" ht="14.25" customHeight="1">
      <c r="A284" s="136"/>
      <c r="B284" s="136"/>
      <c r="C284" s="136"/>
      <c r="D284" s="136"/>
      <c r="E284" s="136"/>
      <c r="F284" s="136"/>
      <c r="G284" s="136"/>
      <c r="H284" s="136"/>
      <c r="I284" s="140"/>
      <c r="J284" s="136"/>
      <c r="K284" s="136"/>
      <c r="L284" s="136"/>
      <c r="M284" s="136"/>
      <c r="N284" s="136"/>
      <c r="O284" s="136"/>
      <c r="P284" s="136"/>
      <c r="Q284" s="136"/>
      <c r="R284" s="136"/>
      <c r="S284" s="136"/>
      <c r="T284" s="136"/>
      <c r="U284" s="136"/>
      <c r="V284" s="136"/>
      <c r="W284" s="136"/>
      <c r="X284" s="136"/>
      <c r="Y284" s="136"/>
      <c r="Z284" s="136"/>
    </row>
    <row r="285" spans="1:26" ht="14.25" customHeight="1">
      <c r="A285" s="136"/>
      <c r="B285" s="136"/>
      <c r="C285" s="136"/>
      <c r="D285" s="136"/>
      <c r="E285" s="136"/>
      <c r="F285" s="136"/>
      <c r="G285" s="136"/>
      <c r="H285" s="136"/>
      <c r="I285" s="140"/>
      <c r="J285" s="136"/>
      <c r="K285" s="136"/>
      <c r="L285" s="136"/>
      <c r="M285" s="136"/>
      <c r="N285" s="136"/>
      <c r="O285" s="136"/>
      <c r="P285" s="136"/>
      <c r="Q285" s="136"/>
      <c r="R285" s="136"/>
      <c r="S285" s="136"/>
      <c r="T285" s="136"/>
      <c r="U285" s="136"/>
      <c r="V285" s="136"/>
      <c r="W285" s="136"/>
      <c r="X285" s="136"/>
      <c r="Y285" s="136"/>
      <c r="Z285" s="136"/>
    </row>
    <row r="286" spans="1:26" ht="14.25" customHeight="1">
      <c r="A286" s="136"/>
      <c r="B286" s="136"/>
      <c r="C286" s="136"/>
      <c r="D286" s="136"/>
      <c r="E286" s="136"/>
      <c r="F286" s="136"/>
      <c r="G286" s="136"/>
      <c r="H286" s="136"/>
      <c r="I286" s="140"/>
      <c r="J286" s="136"/>
      <c r="K286" s="136"/>
      <c r="L286" s="136"/>
      <c r="M286" s="136"/>
      <c r="N286" s="136"/>
      <c r="O286" s="136"/>
      <c r="P286" s="136"/>
      <c r="Q286" s="136"/>
      <c r="R286" s="136"/>
      <c r="S286" s="136"/>
      <c r="T286" s="136"/>
      <c r="U286" s="136"/>
      <c r="V286" s="136"/>
      <c r="W286" s="136"/>
      <c r="X286" s="136"/>
      <c r="Y286" s="136"/>
      <c r="Z286" s="136"/>
    </row>
    <row r="287" spans="1:26" ht="14.25" customHeight="1">
      <c r="A287" s="136"/>
      <c r="B287" s="136"/>
      <c r="C287" s="136"/>
      <c r="D287" s="136"/>
      <c r="E287" s="136"/>
      <c r="F287" s="136"/>
      <c r="G287" s="136"/>
      <c r="H287" s="136"/>
      <c r="I287" s="140"/>
      <c r="J287" s="136"/>
      <c r="K287" s="136"/>
      <c r="L287" s="136"/>
      <c r="M287" s="136"/>
      <c r="N287" s="136"/>
      <c r="O287" s="136"/>
      <c r="P287" s="136"/>
      <c r="Q287" s="136"/>
      <c r="R287" s="136"/>
      <c r="S287" s="136"/>
      <c r="T287" s="136"/>
      <c r="U287" s="136"/>
      <c r="V287" s="136"/>
      <c r="W287" s="136"/>
      <c r="X287" s="136"/>
      <c r="Y287" s="136"/>
      <c r="Z287" s="136"/>
    </row>
    <row r="288" spans="1:26" ht="14.25" customHeight="1">
      <c r="A288" s="136"/>
      <c r="B288" s="136"/>
      <c r="C288" s="136"/>
      <c r="D288" s="136"/>
      <c r="E288" s="136"/>
      <c r="F288" s="136"/>
      <c r="G288" s="136"/>
      <c r="H288" s="136"/>
      <c r="I288" s="140"/>
      <c r="J288" s="136"/>
      <c r="K288" s="136"/>
      <c r="L288" s="136"/>
      <c r="M288" s="136"/>
      <c r="N288" s="136"/>
      <c r="O288" s="136"/>
      <c r="P288" s="136"/>
      <c r="Q288" s="136"/>
      <c r="R288" s="136"/>
      <c r="S288" s="136"/>
      <c r="T288" s="136"/>
      <c r="U288" s="136"/>
      <c r="V288" s="136"/>
      <c r="W288" s="136"/>
      <c r="X288" s="136"/>
      <c r="Y288" s="136"/>
      <c r="Z288" s="136"/>
    </row>
    <row r="289" spans="1:26" ht="14.25" customHeight="1">
      <c r="A289" s="136"/>
      <c r="B289" s="136"/>
      <c r="C289" s="136"/>
      <c r="D289" s="136"/>
      <c r="E289" s="136"/>
      <c r="F289" s="136"/>
      <c r="G289" s="136"/>
      <c r="H289" s="136"/>
      <c r="I289" s="140"/>
      <c r="J289" s="136"/>
      <c r="K289" s="136"/>
      <c r="L289" s="136"/>
      <c r="M289" s="136"/>
      <c r="N289" s="136"/>
      <c r="O289" s="136"/>
      <c r="P289" s="136"/>
      <c r="Q289" s="136"/>
      <c r="R289" s="136"/>
      <c r="S289" s="136"/>
      <c r="T289" s="136"/>
      <c r="U289" s="136"/>
      <c r="V289" s="136"/>
      <c r="W289" s="136"/>
      <c r="X289" s="136"/>
      <c r="Y289" s="136"/>
      <c r="Z289" s="136"/>
    </row>
    <row r="290" spans="1:26" ht="14.25" customHeight="1">
      <c r="A290" s="136"/>
      <c r="B290" s="136"/>
      <c r="C290" s="136"/>
      <c r="D290" s="136"/>
      <c r="E290" s="136"/>
      <c r="F290" s="136"/>
      <c r="G290" s="136"/>
      <c r="H290" s="136"/>
      <c r="I290" s="140"/>
      <c r="J290" s="136"/>
      <c r="K290" s="136"/>
      <c r="L290" s="136"/>
      <c r="M290" s="136"/>
      <c r="N290" s="136"/>
      <c r="O290" s="136"/>
      <c r="P290" s="136"/>
      <c r="Q290" s="136"/>
      <c r="R290" s="136"/>
      <c r="S290" s="136"/>
      <c r="T290" s="136"/>
      <c r="U290" s="136"/>
      <c r="V290" s="136"/>
      <c r="W290" s="136"/>
      <c r="X290" s="136"/>
      <c r="Y290" s="136"/>
      <c r="Z290" s="136"/>
    </row>
    <row r="291" spans="1:26" ht="14.25" customHeight="1">
      <c r="A291" s="136"/>
      <c r="B291" s="136"/>
      <c r="C291" s="136"/>
      <c r="D291" s="136"/>
      <c r="E291" s="136"/>
      <c r="F291" s="136"/>
      <c r="G291" s="136"/>
      <c r="H291" s="136"/>
      <c r="I291" s="140"/>
      <c r="J291" s="136"/>
      <c r="K291" s="136"/>
      <c r="L291" s="136"/>
      <c r="M291" s="136"/>
      <c r="N291" s="136"/>
      <c r="O291" s="136"/>
      <c r="P291" s="136"/>
      <c r="Q291" s="136"/>
      <c r="R291" s="136"/>
      <c r="S291" s="136"/>
      <c r="T291" s="136"/>
      <c r="U291" s="136"/>
      <c r="V291" s="136"/>
      <c r="W291" s="136"/>
      <c r="X291" s="136"/>
      <c r="Y291" s="136"/>
      <c r="Z291" s="136"/>
    </row>
    <row r="292" spans="1:26" ht="14.25" customHeight="1">
      <c r="A292" s="136"/>
      <c r="B292" s="136"/>
      <c r="C292" s="136"/>
      <c r="D292" s="136"/>
      <c r="E292" s="136"/>
      <c r="F292" s="136"/>
      <c r="G292" s="136"/>
      <c r="H292" s="136"/>
      <c r="I292" s="140"/>
      <c r="J292" s="136"/>
      <c r="K292" s="136"/>
      <c r="L292" s="136"/>
      <c r="M292" s="136"/>
      <c r="N292" s="136"/>
      <c r="O292" s="136"/>
      <c r="P292" s="136"/>
      <c r="Q292" s="136"/>
      <c r="R292" s="136"/>
      <c r="S292" s="136"/>
      <c r="T292" s="136"/>
      <c r="U292" s="136"/>
      <c r="V292" s="136"/>
      <c r="W292" s="136"/>
      <c r="X292" s="136"/>
      <c r="Y292" s="136"/>
      <c r="Z292" s="136"/>
    </row>
    <row r="293" spans="1:26" ht="14.25" customHeight="1">
      <c r="A293" s="136"/>
      <c r="B293" s="136"/>
      <c r="C293" s="136"/>
      <c r="D293" s="136"/>
      <c r="E293" s="136"/>
      <c r="F293" s="136"/>
      <c r="G293" s="136"/>
      <c r="H293" s="136"/>
      <c r="I293" s="140"/>
      <c r="J293" s="136"/>
      <c r="K293" s="136"/>
      <c r="L293" s="136"/>
      <c r="M293" s="136"/>
      <c r="N293" s="136"/>
      <c r="O293" s="136"/>
      <c r="P293" s="136"/>
      <c r="Q293" s="136"/>
      <c r="R293" s="136"/>
      <c r="S293" s="136"/>
      <c r="T293" s="136"/>
      <c r="U293" s="136"/>
      <c r="V293" s="136"/>
      <c r="W293" s="136"/>
      <c r="X293" s="136"/>
      <c r="Y293" s="136"/>
      <c r="Z293" s="136"/>
    </row>
    <row r="294" spans="1:26" ht="14.25" customHeight="1">
      <c r="A294" s="136"/>
      <c r="B294" s="136"/>
      <c r="C294" s="136"/>
      <c r="D294" s="136"/>
      <c r="E294" s="136"/>
      <c r="F294" s="136"/>
      <c r="G294" s="136"/>
      <c r="H294" s="136"/>
      <c r="I294" s="140"/>
      <c r="J294" s="136"/>
      <c r="K294" s="136"/>
      <c r="L294" s="136"/>
      <c r="M294" s="136"/>
      <c r="N294" s="136"/>
      <c r="O294" s="136"/>
      <c r="P294" s="136"/>
      <c r="Q294" s="136"/>
      <c r="R294" s="136"/>
      <c r="S294" s="136"/>
      <c r="T294" s="136"/>
      <c r="U294" s="136"/>
      <c r="V294" s="136"/>
      <c r="W294" s="136"/>
      <c r="X294" s="136"/>
      <c r="Y294" s="136"/>
      <c r="Z294" s="136"/>
    </row>
    <row r="295" spans="1:26" ht="14.25" customHeight="1">
      <c r="A295" s="136"/>
      <c r="B295" s="136"/>
      <c r="C295" s="136"/>
      <c r="D295" s="136"/>
      <c r="E295" s="136"/>
      <c r="F295" s="136"/>
      <c r="G295" s="136"/>
      <c r="H295" s="136"/>
      <c r="I295" s="140"/>
      <c r="J295" s="136"/>
      <c r="K295" s="136"/>
      <c r="L295" s="136"/>
      <c r="M295" s="136"/>
      <c r="N295" s="136"/>
      <c r="O295" s="136"/>
      <c r="P295" s="136"/>
      <c r="Q295" s="136"/>
      <c r="R295" s="136"/>
      <c r="S295" s="136"/>
      <c r="T295" s="136"/>
      <c r="U295" s="136"/>
      <c r="V295" s="136"/>
      <c r="W295" s="136"/>
      <c r="X295" s="136"/>
      <c r="Y295" s="136"/>
      <c r="Z295" s="136"/>
    </row>
    <row r="296" spans="1:26" ht="14.25" customHeight="1">
      <c r="A296" s="136"/>
      <c r="B296" s="136"/>
      <c r="C296" s="136"/>
      <c r="D296" s="136"/>
      <c r="E296" s="136"/>
      <c r="F296" s="136"/>
      <c r="G296" s="136"/>
      <c r="H296" s="136"/>
      <c r="I296" s="140"/>
      <c r="J296" s="136"/>
      <c r="K296" s="136"/>
      <c r="L296" s="136"/>
      <c r="M296" s="136"/>
      <c r="N296" s="136"/>
      <c r="O296" s="136"/>
      <c r="P296" s="136"/>
      <c r="Q296" s="136"/>
      <c r="R296" s="136"/>
      <c r="S296" s="136"/>
      <c r="T296" s="136"/>
      <c r="U296" s="136"/>
      <c r="V296" s="136"/>
      <c r="W296" s="136"/>
      <c r="X296" s="136"/>
      <c r="Y296" s="136"/>
      <c r="Z296" s="136"/>
    </row>
    <row r="297" spans="1:26" ht="14.25" customHeight="1">
      <c r="A297" s="136"/>
      <c r="B297" s="136"/>
      <c r="C297" s="136"/>
      <c r="D297" s="136"/>
      <c r="E297" s="136"/>
      <c r="F297" s="136"/>
      <c r="G297" s="136"/>
      <c r="H297" s="136"/>
      <c r="I297" s="140"/>
      <c r="J297" s="136"/>
      <c r="K297" s="136"/>
      <c r="L297" s="136"/>
      <c r="M297" s="136"/>
      <c r="N297" s="136"/>
      <c r="O297" s="136"/>
      <c r="P297" s="136"/>
      <c r="Q297" s="136"/>
      <c r="R297" s="136"/>
      <c r="S297" s="136"/>
      <c r="T297" s="136"/>
      <c r="U297" s="136"/>
      <c r="V297" s="136"/>
      <c r="W297" s="136"/>
      <c r="X297" s="136"/>
      <c r="Y297" s="136"/>
      <c r="Z297" s="136"/>
    </row>
    <row r="298" spans="1:26" ht="14.25" customHeight="1">
      <c r="A298" s="136"/>
      <c r="B298" s="136"/>
      <c r="C298" s="136"/>
      <c r="D298" s="136"/>
      <c r="E298" s="136"/>
      <c r="F298" s="136"/>
      <c r="G298" s="136"/>
      <c r="H298" s="136"/>
      <c r="I298" s="140"/>
      <c r="J298" s="136"/>
      <c r="K298" s="136"/>
      <c r="L298" s="136"/>
      <c r="M298" s="136"/>
      <c r="N298" s="136"/>
      <c r="O298" s="136"/>
      <c r="P298" s="136"/>
      <c r="Q298" s="136"/>
      <c r="R298" s="136"/>
      <c r="S298" s="136"/>
      <c r="T298" s="136"/>
      <c r="U298" s="136"/>
      <c r="V298" s="136"/>
      <c r="W298" s="136"/>
      <c r="X298" s="136"/>
      <c r="Y298" s="136"/>
      <c r="Z298" s="136"/>
    </row>
    <row r="299" spans="1:26" ht="14.25" customHeight="1">
      <c r="A299" s="136"/>
      <c r="B299" s="136"/>
      <c r="C299" s="136"/>
      <c r="D299" s="136"/>
      <c r="E299" s="136"/>
      <c r="F299" s="136"/>
      <c r="G299" s="136"/>
      <c r="H299" s="136"/>
      <c r="I299" s="140"/>
      <c r="J299" s="136"/>
      <c r="K299" s="136"/>
      <c r="L299" s="136"/>
      <c r="M299" s="136"/>
      <c r="N299" s="136"/>
      <c r="O299" s="136"/>
      <c r="P299" s="136"/>
      <c r="Q299" s="136"/>
      <c r="R299" s="136"/>
      <c r="S299" s="136"/>
      <c r="T299" s="136"/>
      <c r="U299" s="136"/>
      <c r="V299" s="136"/>
      <c r="W299" s="136"/>
      <c r="X299" s="136"/>
      <c r="Y299" s="136"/>
      <c r="Z299" s="136"/>
    </row>
    <row r="300" spans="1:26" ht="14.25" customHeight="1">
      <c r="A300" s="136"/>
      <c r="B300" s="136"/>
      <c r="C300" s="136"/>
      <c r="D300" s="136"/>
      <c r="E300" s="136"/>
      <c r="F300" s="136"/>
      <c r="G300" s="136"/>
      <c r="H300" s="136"/>
      <c r="I300" s="140"/>
      <c r="J300" s="136"/>
      <c r="K300" s="136"/>
      <c r="L300" s="136"/>
      <c r="M300" s="136"/>
      <c r="N300" s="136"/>
      <c r="O300" s="136"/>
      <c r="P300" s="136"/>
      <c r="Q300" s="136"/>
      <c r="R300" s="136"/>
      <c r="S300" s="136"/>
      <c r="T300" s="136"/>
      <c r="U300" s="136"/>
      <c r="V300" s="136"/>
      <c r="W300" s="136"/>
      <c r="X300" s="136"/>
      <c r="Y300" s="136"/>
      <c r="Z300" s="136"/>
    </row>
    <row r="301" spans="1:26" ht="14.25" customHeight="1">
      <c r="A301" s="136"/>
      <c r="B301" s="136"/>
      <c r="C301" s="136"/>
      <c r="D301" s="136"/>
      <c r="E301" s="136"/>
      <c r="F301" s="136"/>
      <c r="G301" s="136"/>
      <c r="H301" s="136"/>
      <c r="I301" s="140"/>
      <c r="J301" s="136"/>
      <c r="K301" s="136"/>
      <c r="L301" s="136"/>
      <c r="M301" s="136"/>
      <c r="N301" s="136"/>
      <c r="O301" s="136"/>
      <c r="P301" s="136"/>
      <c r="Q301" s="136"/>
      <c r="R301" s="136"/>
      <c r="S301" s="136"/>
      <c r="T301" s="136"/>
      <c r="U301" s="136"/>
      <c r="V301" s="136"/>
      <c r="W301" s="136"/>
      <c r="X301" s="136"/>
      <c r="Y301" s="136"/>
      <c r="Z301" s="136"/>
    </row>
    <row r="302" spans="1:26" ht="14.25" customHeight="1">
      <c r="A302" s="136"/>
      <c r="B302" s="136"/>
      <c r="C302" s="136"/>
      <c r="D302" s="136"/>
      <c r="E302" s="136"/>
      <c r="F302" s="136"/>
      <c r="G302" s="136"/>
      <c r="H302" s="136"/>
      <c r="I302" s="140"/>
      <c r="J302" s="136"/>
      <c r="K302" s="136"/>
      <c r="L302" s="136"/>
      <c r="M302" s="136"/>
      <c r="N302" s="136"/>
      <c r="O302" s="136"/>
      <c r="P302" s="136"/>
      <c r="Q302" s="136"/>
      <c r="R302" s="136"/>
      <c r="S302" s="136"/>
      <c r="T302" s="136"/>
      <c r="U302" s="136"/>
      <c r="V302" s="136"/>
      <c r="W302" s="136"/>
      <c r="X302" s="136"/>
      <c r="Y302" s="136"/>
      <c r="Z302" s="136"/>
    </row>
    <row r="303" spans="1:26" ht="14.25" customHeight="1">
      <c r="A303" s="136"/>
      <c r="B303" s="136"/>
      <c r="C303" s="136"/>
      <c r="D303" s="136"/>
      <c r="E303" s="136"/>
      <c r="F303" s="136"/>
      <c r="G303" s="136"/>
      <c r="H303" s="136"/>
      <c r="I303" s="140"/>
      <c r="J303" s="136"/>
      <c r="K303" s="136"/>
      <c r="L303" s="136"/>
      <c r="M303" s="136"/>
      <c r="N303" s="136"/>
      <c r="O303" s="136"/>
      <c r="P303" s="136"/>
      <c r="Q303" s="136"/>
      <c r="R303" s="136"/>
      <c r="S303" s="136"/>
      <c r="T303" s="136"/>
      <c r="U303" s="136"/>
      <c r="V303" s="136"/>
      <c r="W303" s="136"/>
      <c r="X303" s="136"/>
      <c r="Y303" s="136"/>
      <c r="Z303" s="136"/>
    </row>
    <row r="304" spans="1:26" ht="14.25" customHeight="1">
      <c r="A304" s="136"/>
      <c r="B304" s="136"/>
      <c r="C304" s="136"/>
      <c r="D304" s="136"/>
      <c r="E304" s="136"/>
      <c r="F304" s="136"/>
      <c r="G304" s="136"/>
      <c r="H304" s="136"/>
      <c r="I304" s="140"/>
      <c r="J304" s="136"/>
      <c r="K304" s="136"/>
      <c r="L304" s="136"/>
      <c r="M304" s="136"/>
      <c r="N304" s="136"/>
      <c r="O304" s="136"/>
      <c r="P304" s="136"/>
      <c r="Q304" s="136"/>
      <c r="R304" s="136"/>
      <c r="S304" s="136"/>
      <c r="T304" s="136"/>
      <c r="U304" s="136"/>
      <c r="V304" s="136"/>
      <c r="W304" s="136"/>
      <c r="X304" s="136"/>
      <c r="Y304" s="136"/>
      <c r="Z304" s="136"/>
    </row>
    <row r="305" spans="1:26" ht="14.25" customHeight="1">
      <c r="A305" s="136"/>
      <c r="B305" s="136"/>
      <c r="C305" s="136"/>
      <c r="D305" s="136"/>
      <c r="E305" s="136"/>
      <c r="F305" s="136"/>
      <c r="G305" s="136"/>
      <c r="H305" s="136"/>
      <c r="I305" s="140"/>
      <c r="J305" s="136"/>
      <c r="K305" s="136"/>
      <c r="L305" s="136"/>
      <c r="M305" s="136"/>
      <c r="N305" s="136"/>
      <c r="O305" s="136"/>
      <c r="P305" s="136"/>
      <c r="Q305" s="136"/>
      <c r="R305" s="136"/>
      <c r="S305" s="136"/>
      <c r="T305" s="136"/>
      <c r="U305" s="136"/>
      <c r="V305" s="136"/>
      <c r="W305" s="136"/>
      <c r="X305" s="136"/>
      <c r="Y305" s="136"/>
      <c r="Z305" s="136"/>
    </row>
    <row r="306" spans="1:26" ht="14.25" customHeight="1">
      <c r="A306" s="136"/>
      <c r="B306" s="136"/>
      <c r="C306" s="136"/>
      <c r="D306" s="136"/>
      <c r="E306" s="136"/>
      <c r="F306" s="136"/>
      <c r="G306" s="136"/>
      <c r="H306" s="136"/>
      <c r="I306" s="140"/>
      <c r="J306" s="136"/>
      <c r="K306" s="136"/>
      <c r="L306" s="136"/>
      <c r="M306" s="136"/>
      <c r="N306" s="136"/>
      <c r="O306" s="136"/>
      <c r="P306" s="136"/>
      <c r="Q306" s="136"/>
      <c r="R306" s="136"/>
      <c r="S306" s="136"/>
      <c r="T306" s="136"/>
      <c r="U306" s="136"/>
      <c r="V306" s="136"/>
      <c r="W306" s="136"/>
      <c r="X306" s="136"/>
      <c r="Y306" s="136"/>
      <c r="Z306" s="136"/>
    </row>
    <row r="307" spans="1:26" ht="14.25" customHeight="1">
      <c r="A307" s="136"/>
      <c r="B307" s="136"/>
      <c r="C307" s="136"/>
      <c r="D307" s="136"/>
      <c r="E307" s="136"/>
      <c r="F307" s="136"/>
      <c r="G307" s="136"/>
      <c r="H307" s="136"/>
      <c r="I307" s="140"/>
      <c r="J307" s="136"/>
      <c r="K307" s="136"/>
      <c r="L307" s="136"/>
      <c r="M307" s="136"/>
      <c r="N307" s="136"/>
      <c r="O307" s="136"/>
      <c r="P307" s="136"/>
      <c r="Q307" s="136"/>
      <c r="R307" s="136"/>
      <c r="S307" s="136"/>
      <c r="T307" s="136"/>
      <c r="U307" s="136"/>
      <c r="V307" s="136"/>
      <c r="W307" s="136"/>
      <c r="X307" s="136"/>
      <c r="Y307" s="136"/>
      <c r="Z307" s="136"/>
    </row>
    <row r="308" spans="1:26" ht="14.25" customHeight="1">
      <c r="A308" s="136"/>
      <c r="B308" s="136"/>
      <c r="C308" s="136"/>
      <c r="D308" s="136"/>
      <c r="E308" s="136"/>
      <c r="F308" s="136"/>
      <c r="G308" s="136"/>
      <c r="H308" s="136"/>
      <c r="I308" s="140"/>
      <c r="J308" s="136"/>
      <c r="K308" s="136"/>
      <c r="L308" s="136"/>
      <c r="M308" s="136"/>
      <c r="N308" s="136"/>
      <c r="O308" s="136"/>
      <c r="P308" s="136"/>
      <c r="Q308" s="136"/>
      <c r="R308" s="136"/>
      <c r="S308" s="136"/>
      <c r="T308" s="136"/>
      <c r="U308" s="136"/>
      <c r="V308" s="136"/>
      <c r="W308" s="136"/>
      <c r="X308" s="136"/>
      <c r="Y308" s="136"/>
      <c r="Z308" s="136"/>
    </row>
    <row r="309" spans="1:26" ht="14.25" customHeight="1">
      <c r="A309" s="136"/>
      <c r="B309" s="136"/>
      <c r="C309" s="136"/>
      <c r="D309" s="136"/>
      <c r="E309" s="136"/>
      <c r="F309" s="136"/>
      <c r="G309" s="136"/>
      <c r="H309" s="136"/>
      <c r="I309" s="140"/>
      <c r="J309" s="136"/>
      <c r="K309" s="136"/>
      <c r="L309" s="136"/>
      <c r="M309" s="136"/>
      <c r="N309" s="136"/>
      <c r="O309" s="136"/>
      <c r="P309" s="136"/>
      <c r="Q309" s="136"/>
      <c r="R309" s="136"/>
      <c r="S309" s="136"/>
      <c r="T309" s="136"/>
      <c r="U309" s="136"/>
      <c r="V309" s="136"/>
      <c r="W309" s="136"/>
      <c r="X309" s="136"/>
      <c r="Y309" s="136"/>
      <c r="Z309" s="136"/>
    </row>
    <row r="310" spans="1:26" ht="14.25" customHeight="1">
      <c r="A310" s="136"/>
      <c r="B310" s="136"/>
      <c r="C310" s="136"/>
      <c r="D310" s="136"/>
      <c r="E310" s="136"/>
      <c r="F310" s="136"/>
      <c r="G310" s="136"/>
      <c r="H310" s="136"/>
      <c r="I310" s="140"/>
      <c r="J310" s="136"/>
      <c r="K310" s="136"/>
      <c r="L310" s="136"/>
      <c r="M310" s="136"/>
      <c r="N310" s="136"/>
      <c r="O310" s="136"/>
      <c r="P310" s="136"/>
      <c r="Q310" s="136"/>
      <c r="R310" s="136"/>
      <c r="S310" s="136"/>
      <c r="T310" s="136"/>
      <c r="U310" s="136"/>
      <c r="V310" s="136"/>
      <c r="W310" s="136"/>
      <c r="X310" s="136"/>
      <c r="Y310" s="136"/>
      <c r="Z310" s="136"/>
    </row>
    <row r="311" spans="1:26" ht="14.25" customHeight="1">
      <c r="A311" s="136"/>
      <c r="B311" s="136"/>
      <c r="C311" s="136"/>
      <c r="D311" s="136"/>
      <c r="E311" s="136"/>
      <c r="F311" s="136"/>
      <c r="G311" s="136"/>
      <c r="H311" s="136"/>
      <c r="I311" s="140"/>
      <c r="J311" s="136"/>
      <c r="K311" s="136"/>
      <c r="L311" s="136"/>
      <c r="M311" s="136"/>
      <c r="N311" s="136"/>
      <c r="O311" s="136"/>
      <c r="P311" s="136"/>
      <c r="Q311" s="136"/>
      <c r="R311" s="136"/>
      <c r="S311" s="136"/>
      <c r="T311" s="136"/>
      <c r="U311" s="136"/>
      <c r="V311" s="136"/>
      <c r="W311" s="136"/>
      <c r="X311" s="136"/>
      <c r="Y311" s="136"/>
      <c r="Z311" s="136"/>
    </row>
    <row r="312" spans="1:26" ht="14.25" customHeight="1">
      <c r="A312" s="136"/>
      <c r="B312" s="136"/>
      <c r="C312" s="136"/>
      <c r="D312" s="136"/>
      <c r="E312" s="136"/>
      <c r="F312" s="136"/>
      <c r="G312" s="136"/>
      <c r="H312" s="136"/>
      <c r="I312" s="140"/>
      <c r="J312" s="136"/>
      <c r="K312" s="136"/>
      <c r="L312" s="136"/>
      <c r="M312" s="136"/>
      <c r="N312" s="136"/>
      <c r="O312" s="136"/>
      <c r="P312" s="136"/>
      <c r="Q312" s="136"/>
      <c r="R312" s="136"/>
      <c r="S312" s="136"/>
      <c r="T312" s="136"/>
      <c r="U312" s="136"/>
      <c r="V312" s="136"/>
      <c r="W312" s="136"/>
      <c r="X312" s="136"/>
      <c r="Y312" s="136"/>
      <c r="Z312" s="136"/>
    </row>
    <row r="313" spans="1:26" ht="14.25" customHeight="1">
      <c r="A313" s="136"/>
      <c r="B313" s="136"/>
      <c r="C313" s="136"/>
      <c r="D313" s="136"/>
      <c r="E313" s="136"/>
      <c r="F313" s="136"/>
      <c r="G313" s="136"/>
      <c r="H313" s="136"/>
      <c r="I313" s="140"/>
      <c r="J313" s="136"/>
      <c r="K313" s="136"/>
      <c r="L313" s="136"/>
      <c r="M313" s="136"/>
      <c r="N313" s="136"/>
      <c r="O313" s="136"/>
      <c r="P313" s="136"/>
      <c r="Q313" s="136"/>
      <c r="R313" s="136"/>
      <c r="S313" s="136"/>
      <c r="T313" s="136"/>
      <c r="U313" s="136"/>
      <c r="V313" s="136"/>
      <c r="W313" s="136"/>
      <c r="X313" s="136"/>
      <c r="Y313" s="136"/>
      <c r="Z313" s="136"/>
    </row>
    <row r="314" spans="1:26" ht="14.25" customHeight="1">
      <c r="A314" s="136"/>
      <c r="B314" s="136"/>
      <c r="C314" s="136"/>
      <c r="D314" s="136"/>
      <c r="E314" s="136"/>
      <c r="F314" s="136"/>
      <c r="G314" s="136"/>
      <c r="H314" s="136"/>
      <c r="I314" s="140"/>
      <c r="J314" s="136"/>
      <c r="K314" s="136"/>
      <c r="L314" s="136"/>
      <c r="M314" s="136"/>
      <c r="N314" s="136"/>
      <c r="O314" s="136"/>
      <c r="P314" s="136"/>
      <c r="Q314" s="136"/>
      <c r="R314" s="136"/>
      <c r="S314" s="136"/>
      <c r="T314" s="136"/>
      <c r="U314" s="136"/>
      <c r="V314" s="136"/>
      <c r="W314" s="136"/>
      <c r="X314" s="136"/>
      <c r="Y314" s="136"/>
      <c r="Z314" s="136"/>
    </row>
    <row r="315" spans="1:26" ht="14.25" customHeight="1">
      <c r="A315" s="136"/>
      <c r="B315" s="136"/>
      <c r="C315" s="136"/>
      <c r="D315" s="136"/>
      <c r="E315" s="136"/>
      <c r="F315" s="136"/>
      <c r="G315" s="136"/>
      <c r="H315" s="136"/>
      <c r="I315" s="140"/>
      <c r="J315" s="136"/>
      <c r="K315" s="136"/>
      <c r="L315" s="136"/>
      <c r="M315" s="136"/>
      <c r="N315" s="136"/>
      <c r="O315" s="136"/>
      <c r="P315" s="136"/>
      <c r="Q315" s="136"/>
      <c r="R315" s="136"/>
      <c r="S315" s="136"/>
      <c r="T315" s="136"/>
      <c r="U315" s="136"/>
      <c r="V315" s="136"/>
      <c r="W315" s="136"/>
      <c r="X315" s="136"/>
      <c r="Y315" s="136"/>
      <c r="Z315" s="136"/>
    </row>
    <row r="316" spans="1:26" ht="14.25" customHeight="1">
      <c r="A316" s="136"/>
      <c r="B316" s="136"/>
      <c r="C316" s="136"/>
      <c r="D316" s="136"/>
      <c r="E316" s="136"/>
      <c r="F316" s="136"/>
      <c r="G316" s="136"/>
      <c r="H316" s="136"/>
      <c r="I316" s="140"/>
      <c r="J316" s="136"/>
      <c r="K316" s="136"/>
      <c r="L316" s="136"/>
      <c r="M316" s="136"/>
      <c r="N316" s="136"/>
      <c r="O316" s="136"/>
      <c r="P316" s="136"/>
      <c r="Q316" s="136"/>
      <c r="R316" s="136"/>
      <c r="S316" s="136"/>
      <c r="T316" s="136"/>
      <c r="U316" s="136"/>
      <c r="V316" s="136"/>
      <c r="W316" s="136"/>
      <c r="X316" s="136"/>
      <c r="Y316" s="136"/>
      <c r="Z316" s="136"/>
    </row>
    <row r="317" spans="1:26" ht="14.25" customHeight="1">
      <c r="A317" s="136"/>
      <c r="B317" s="136"/>
      <c r="C317" s="136"/>
      <c r="D317" s="136"/>
      <c r="E317" s="136"/>
      <c r="F317" s="136"/>
      <c r="G317" s="136"/>
      <c r="H317" s="136"/>
      <c r="I317" s="140"/>
      <c r="J317" s="136"/>
      <c r="K317" s="136"/>
      <c r="L317" s="136"/>
      <c r="M317" s="136"/>
      <c r="N317" s="136"/>
      <c r="O317" s="136"/>
      <c r="P317" s="136"/>
      <c r="Q317" s="136"/>
      <c r="R317" s="136"/>
      <c r="S317" s="136"/>
      <c r="T317" s="136"/>
      <c r="U317" s="136"/>
      <c r="V317" s="136"/>
      <c r="W317" s="136"/>
      <c r="X317" s="136"/>
      <c r="Y317" s="136"/>
      <c r="Z317" s="136"/>
    </row>
    <row r="318" spans="1:26" ht="14.25" customHeight="1">
      <c r="A318" s="136"/>
      <c r="B318" s="136"/>
      <c r="C318" s="136"/>
      <c r="D318" s="136"/>
      <c r="E318" s="136"/>
      <c r="F318" s="136"/>
      <c r="G318" s="136"/>
      <c r="H318" s="136"/>
      <c r="I318" s="140"/>
      <c r="J318" s="136"/>
      <c r="K318" s="136"/>
      <c r="L318" s="136"/>
      <c r="M318" s="136"/>
      <c r="N318" s="136"/>
      <c r="O318" s="136"/>
      <c r="P318" s="136"/>
      <c r="Q318" s="136"/>
      <c r="R318" s="136"/>
      <c r="S318" s="136"/>
      <c r="T318" s="136"/>
      <c r="U318" s="136"/>
      <c r="V318" s="136"/>
      <c r="W318" s="136"/>
      <c r="X318" s="136"/>
      <c r="Y318" s="136"/>
      <c r="Z318" s="136"/>
    </row>
    <row r="319" spans="1:26" ht="14.25" customHeight="1">
      <c r="A319" s="136"/>
      <c r="B319" s="136"/>
      <c r="C319" s="136"/>
      <c r="D319" s="136"/>
      <c r="E319" s="136"/>
      <c r="F319" s="136"/>
      <c r="G319" s="136"/>
      <c r="H319" s="136"/>
      <c r="I319" s="140"/>
      <c r="J319" s="136"/>
      <c r="K319" s="136"/>
      <c r="L319" s="136"/>
      <c r="M319" s="136"/>
      <c r="N319" s="136"/>
      <c r="O319" s="136"/>
      <c r="P319" s="136"/>
      <c r="Q319" s="136"/>
      <c r="R319" s="136"/>
      <c r="S319" s="136"/>
      <c r="T319" s="136"/>
      <c r="U319" s="136"/>
      <c r="V319" s="136"/>
      <c r="W319" s="136"/>
      <c r="X319" s="136"/>
      <c r="Y319" s="136"/>
      <c r="Z319" s="136"/>
    </row>
    <row r="320" spans="1:26" ht="14.25" customHeight="1">
      <c r="A320" s="136"/>
      <c r="B320" s="136"/>
      <c r="C320" s="136"/>
      <c r="D320" s="136"/>
      <c r="E320" s="136"/>
      <c r="F320" s="136"/>
      <c r="G320" s="136"/>
      <c r="H320" s="136"/>
      <c r="I320" s="140"/>
      <c r="J320" s="136"/>
      <c r="K320" s="136"/>
      <c r="L320" s="136"/>
      <c r="M320" s="136"/>
      <c r="N320" s="136"/>
      <c r="O320" s="136"/>
      <c r="P320" s="136"/>
      <c r="Q320" s="136"/>
      <c r="R320" s="136"/>
      <c r="S320" s="136"/>
      <c r="T320" s="136"/>
      <c r="U320" s="136"/>
      <c r="V320" s="136"/>
      <c r="W320" s="136"/>
      <c r="X320" s="136"/>
      <c r="Y320" s="136"/>
      <c r="Z320" s="136"/>
    </row>
    <row r="321" spans="1:26" ht="14.25" customHeight="1">
      <c r="A321" s="136"/>
      <c r="B321" s="136"/>
      <c r="C321" s="136"/>
      <c r="D321" s="136"/>
      <c r="E321" s="136"/>
      <c r="F321" s="136"/>
      <c r="G321" s="136"/>
      <c r="H321" s="136"/>
      <c r="I321" s="140"/>
      <c r="J321" s="136"/>
      <c r="K321" s="136"/>
      <c r="L321" s="136"/>
      <c r="M321" s="136"/>
      <c r="N321" s="136"/>
      <c r="O321" s="136"/>
      <c r="P321" s="136"/>
      <c r="Q321" s="136"/>
      <c r="R321" s="136"/>
      <c r="S321" s="136"/>
      <c r="T321" s="136"/>
      <c r="U321" s="136"/>
      <c r="V321" s="136"/>
      <c r="W321" s="136"/>
      <c r="X321" s="136"/>
      <c r="Y321" s="136"/>
      <c r="Z321" s="136"/>
    </row>
    <row r="322" spans="1:26" ht="14.25" customHeight="1">
      <c r="A322" s="136"/>
      <c r="B322" s="136"/>
      <c r="C322" s="136"/>
      <c r="D322" s="136"/>
      <c r="E322" s="136"/>
      <c r="F322" s="136"/>
      <c r="G322" s="136"/>
      <c r="H322" s="136"/>
      <c r="I322" s="140"/>
      <c r="J322" s="136"/>
      <c r="K322" s="136"/>
      <c r="L322" s="136"/>
      <c r="M322" s="136"/>
      <c r="N322" s="136"/>
      <c r="O322" s="136"/>
      <c r="P322" s="136"/>
      <c r="Q322" s="136"/>
      <c r="R322" s="136"/>
      <c r="S322" s="136"/>
      <c r="T322" s="136"/>
      <c r="U322" s="136"/>
      <c r="V322" s="136"/>
      <c r="W322" s="136"/>
      <c r="X322" s="136"/>
      <c r="Y322" s="136"/>
      <c r="Z322" s="136"/>
    </row>
    <row r="323" spans="1:26" ht="14.25" customHeight="1">
      <c r="A323" s="136"/>
      <c r="B323" s="136"/>
      <c r="C323" s="136"/>
      <c r="D323" s="136"/>
      <c r="E323" s="136"/>
      <c r="F323" s="136"/>
      <c r="G323" s="136"/>
      <c r="H323" s="136"/>
      <c r="I323" s="140"/>
      <c r="J323" s="136"/>
      <c r="K323" s="136"/>
      <c r="L323" s="136"/>
      <c r="M323" s="136"/>
      <c r="N323" s="136"/>
      <c r="O323" s="136"/>
      <c r="P323" s="136"/>
      <c r="Q323" s="136"/>
      <c r="R323" s="136"/>
      <c r="S323" s="136"/>
      <c r="T323" s="136"/>
      <c r="U323" s="136"/>
      <c r="V323" s="136"/>
      <c r="W323" s="136"/>
      <c r="X323" s="136"/>
      <c r="Y323" s="136"/>
      <c r="Z323" s="136"/>
    </row>
    <row r="324" spans="1:26" ht="14.25" customHeight="1">
      <c r="A324" s="136"/>
      <c r="B324" s="136"/>
      <c r="C324" s="136"/>
      <c r="D324" s="136"/>
      <c r="E324" s="136"/>
      <c r="F324" s="136"/>
      <c r="G324" s="136"/>
      <c r="H324" s="136"/>
      <c r="I324" s="140"/>
      <c r="J324" s="136"/>
      <c r="K324" s="136"/>
      <c r="L324" s="136"/>
      <c r="M324" s="136"/>
      <c r="N324" s="136"/>
      <c r="O324" s="136"/>
      <c r="P324" s="136"/>
      <c r="Q324" s="136"/>
      <c r="R324" s="136"/>
      <c r="S324" s="136"/>
      <c r="T324" s="136"/>
      <c r="U324" s="136"/>
      <c r="V324" s="136"/>
      <c r="W324" s="136"/>
      <c r="X324" s="136"/>
      <c r="Y324" s="136"/>
      <c r="Z324" s="136"/>
    </row>
    <row r="325" spans="1:26" ht="14.25" customHeight="1">
      <c r="A325" s="136"/>
      <c r="B325" s="136"/>
      <c r="C325" s="136"/>
      <c r="D325" s="136"/>
      <c r="E325" s="136"/>
      <c r="F325" s="136"/>
      <c r="G325" s="136"/>
      <c r="H325" s="136"/>
      <c r="I325" s="140"/>
      <c r="J325" s="136"/>
      <c r="K325" s="136"/>
      <c r="L325" s="136"/>
      <c r="M325" s="136"/>
      <c r="N325" s="136"/>
      <c r="O325" s="136"/>
      <c r="P325" s="136"/>
      <c r="Q325" s="136"/>
      <c r="R325" s="136"/>
      <c r="S325" s="136"/>
      <c r="T325" s="136"/>
      <c r="U325" s="136"/>
      <c r="V325" s="136"/>
      <c r="W325" s="136"/>
      <c r="X325" s="136"/>
      <c r="Y325" s="136"/>
      <c r="Z325" s="136"/>
    </row>
    <row r="326" spans="1:26" ht="14.25" customHeight="1">
      <c r="A326" s="136"/>
      <c r="B326" s="136"/>
      <c r="C326" s="136"/>
      <c r="D326" s="136"/>
      <c r="E326" s="136"/>
      <c r="F326" s="136"/>
      <c r="G326" s="136"/>
      <c r="H326" s="136"/>
      <c r="I326" s="140"/>
      <c r="J326" s="136"/>
      <c r="K326" s="136"/>
      <c r="L326" s="136"/>
      <c r="M326" s="136"/>
      <c r="N326" s="136"/>
      <c r="O326" s="136"/>
      <c r="P326" s="136"/>
      <c r="Q326" s="136"/>
      <c r="R326" s="136"/>
      <c r="S326" s="136"/>
      <c r="T326" s="136"/>
      <c r="U326" s="136"/>
      <c r="V326" s="136"/>
      <c r="W326" s="136"/>
      <c r="X326" s="136"/>
      <c r="Y326" s="136"/>
      <c r="Z326" s="136"/>
    </row>
    <row r="327" spans="1:26" ht="14.25" customHeight="1">
      <c r="A327" s="136"/>
      <c r="B327" s="136"/>
      <c r="C327" s="136"/>
      <c r="D327" s="136"/>
      <c r="E327" s="136"/>
      <c r="F327" s="136"/>
      <c r="G327" s="136"/>
      <c r="H327" s="136"/>
      <c r="I327" s="140"/>
      <c r="J327" s="136"/>
      <c r="K327" s="136"/>
      <c r="L327" s="136"/>
      <c r="M327" s="136"/>
      <c r="N327" s="136"/>
      <c r="O327" s="136"/>
      <c r="P327" s="136"/>
      <c r="Q327" s="136"/>
      <c r="R327" s="136"/>
      <c r="S327" s="136"/>
      <c r="T327" s="136"/>
      <c r="U327" s="136"/>
      <c r="V327" s="136"/>
      <c r="W327" s="136"/>
      <c r="X327" s="136"/>
      <c r="Y327" s="136"/>
      <c r="Z327" s="136"/>
    </row>
    <row r="328" spans="1:26" ht="14.25" customHeight="1">
      <c r="A328" s="136"/>
      <c r="B328" s="136"/>
      <c r="C328" s="136"/>
      <c r="D328" s="136"/>
      <c r="E328" s="136"/>
      <c r="F328" s="136"/>
      <c r="G328" s="136"/>
      <c r="H328" s="136"/>
      <c r="I328" s="140"/>
      <c r="J328" s="136"/>
      <c r="K328" s="136"/>
      <c r="L328" s="136"/>
      <c r="M328" s="136"/>
      <c r="N328" s="136"/>
      <c r="O328" s="136"/>
      <c r="P328" s="136"/>
      <c r="Q328" s="136"/>
      <c r="R328" s="136"/>
      <c r="S328" s="136"/>
      <c r="T328" s="136"/>
      <c r="U328" s="136"/>
      <c r="V328" s="136"/>
      <c r="W328" s="136"/>
      <c r="X328" s="136"/>
      <c r="Y328" s="136"/>
      <c r="Z328" s="136"/>
    </row>
    <row r="329" spans="1:26" ht="14.25" customHeight="1">
      <c r="A329" s="136"/>
      <c r="B329" s="136"/>
      <c r="C329" s="136"/>
      <c r="D329" s="136"/>
      <c r="E329" s="136"/>
      <c r="F329" s="136"/>
      <c r="G329" s="136"/>
      <c r="H329" s="136"/>
      <c r="I329" s="140"/>
      <c r="J329" s="136"/>
      <c r="K329" s="136"/>
      <c r="L329" s="136"/>
      <c r="M329" s="136"/>
      <c r="N329" s="136"/>
      <c r="O329" s="136"/>
      <c r="P329" s="136"/>
      <c r="Q329" s="136"/>
      <c r="R329" s="136"/>
      <c r="S329" s="136"/>
      <c r="T329" s="136"/>
      <c r="U329" s="136"/>
      <c r="V329" s="136"/>
      <c r="W329" s="136"/>
      <c r="X329" s="136"/>
      <c r="Y329" s="136"/>
      <c r="Z329" s="136"/>
    </row>
    <row r="330" spans="1:26" ht="14.25" customHeight="1">
      <c r="A330" s="136"/>
      <c r="B330" s="136"/>
      <c r="C330" s="136"/>
      <c r="D330" s="136"/>
      <c r="E330" s="136"/>
      <c r="F330" s="136"/>
      <c r="G330" s="136"/>
      <c r="H330" s="136"/>
      <c r="I330" s="140"/>
      <c r="J330" s="136"/>
      <c r="K330" s="136"/>
      <c r="L330" s="136"/>
      <c r="M330" s="136"/>
      <c r="N330" s="136"/>
      <c r="O330" s="136"/>
      <c r="P330" s="136"/>
      <c r="Q330" s="136"/>
      <c r="R330" s="136"/>
      <c r="S330" s="136"/>
      <c r="T330" s="136"/>
      <c r="U330" s="136"/>
      <c r="V330" s="136"/>
      <c r="W330" s="136"/>
      <c r="X330" s="136"/>
      <c r="Y330" s="136"/>
      <c r="Z330" s="136"/>
    </row>
    <row r="331" spans="1:26" ht="14.25" customHeight="1">
      <c r="A331" s="136"/>
      <c r="B331" s="136"/>
      <c r="C331" s="136"/>
      <c r="D331" s="136"/>
      <c r="E331" s="136"/>
      <c r="F331" s="136"/>
      <c r="G331" s="136"/>
      <c r="H331" s="136"/>
      <c r="I331" s="140"/>
      <c r="J331" s="136"/>
      <c r="K331" s="136"/>
      <c r="L331" s="136"/>
      <c r="M331" s="136"/>
      <c r="N331" s="136"/>
      <c r="O331" s="136"/>
      <c r="P331" s="136"/>
      <c r="Q331" s="136"/>
      <c r="R331" s="136"/>
      <c r="S331" s="136"/>
      <c r="T331" s="136"/>
      <c r="U331" s="136"/>
      <c r="V331" s="136"/>
      <c r="W331" s="136"/>
      <c r="X331" s="136"/>
      <c r="Y331" s="136"/>
      <c r="Z331" s="136"/>
    </row>
    <row r="332" spans="1:26" ht="14.25" customHeight="1">
      <c r="A332" s="136"/>
      <c r="B332" s="136"/>
      <c r="C332" s="136"/>
      <c r="D332" s="136"/>
      <c r="E332" s="136"/>
      <c r="F332" s="136"/>
      <c r="G332" s="136"/>
      <c r="H332" s="136"/>
      <c r="I332" s="140"/>
      <c r="J332" s="136"/>
      <c r="K332" s="136"/>
      <c r="L332" s="136"/>
      <c r="M332" s="136"/>
      <c r="N332" s="136"/>
      <c r="O332" s="136"/>
      <c r="P332" s="136"/>
      <c r="Q332" s="136"/>
      <c r="R332" s="136"/>
      <c r="S332" s="136"/>
      <c r="T332" s="136"/>
      <c r="U332" s="136"/>
      <c r="V332" s="136"/>
      <c r="W332" s="136"/>
      <c r="X332" s="136"/>
      <c r="Y332" s="136"/>
      <c r="Z332" s="136"/>
    </row>
    <row r="333" spans="1:26" ht="14.25" customHeight="1">
      <c r="A333" s="136"/>
      <c r="B333" s="136"/>
      <c r="C333" s="136"/>
      <c r="D333" s="136"/>
      <c r="E333" s="136"/>
      <c r="F333" s="136"/>
      <c r="G333" s="136"/>
      <c r="H333" s="136"/>
      <c r="I333" s="140"/>
      <c r="J333" s="136"/>
      <c r="K333" s="136"/>
      <c r="L333" s="136"/>
      <c r="M333" s="136"/>
      <c r="N333" s="136"/>
      <c r="O333" s="136"/>
      <c r="P333" s="136"/>
      <c r="Q333" s="136"/>
      <c r="R333" s="136"/>
      <c r="S333" s="136"/>
      <c r="T333" s="136"/>
      <c r="U333" s="136"/>
      <c r="V333" s="136"/>
      <c r="W333" s="136"/>
      <c r="X333" s="136"/>
      <c r="Y333" s="136"/>
      <c r="Z333" s="136"/>
    </row>
    <row r="334" spans="1:26" ht="14.25" customHeight="1">
      <c r="A334" s="136"/>
      <c r="B334" s="136"/>
      <c r="C334" s="136"/>
      <c r="D334" s="136"/>
      <c r="E334" s="136"/>
      <c r="F334" s="136"/>
      <c r="G334" s="136"/>
      <c r="H334" s="136"/>
      <c r="I334" s="140"/>
      <c r="J334" s="136"/>
      <c r="K334" s="136"/>
      <c r="L334" s="136"/>
      <c r="M334" s="136"/>
      <c r="N334" s="136"/>
      <c r="O334" s="136"/>
      <c r="P334" s="136"/>
      <c r="Q334" s="136"/>
      <c r="R334" s="136"/>
      <c r="S334" s="136"/>
      <c r="T334" s="136"/>
      <c r="U334" s="136"/>
      <c r="V334" s="136"/>
      <c r="W334" s="136"/>
      <c r="X334" s="136"/>
      <c r="Y334" s="136"/>
      <c r="Z334" s="136"/>
    </row>
    <row r="335" spans="1:26" ht="14.25" customHeight="1">
      <c r="A335" s="136"/>
      <c r="B335" s="136"/>
      <c r="C335" s="136"/>
      <c r="D335" s="136"/>
      <c r="E335" s="136"/>
      <c r="F335" s="136"/>
      <c r="G335" s="136"/>
      <c r="H335" s="136"/>
      <c r="I335" s="140"/>
      <c r="J335" s="136"/>
      <c r="K335" s="136"/>
      <c r="L335" s="136"/>
      <c r="M335" s="136"/>
      <c r="N335" s="136"/>
      <c r="O335" s="136"/>
      <c r="P335" s="136"/>
      <c r="Q335" s="136"/>
      <c r="R335" s="136"/>
      <c r="S335" s="136"/>
      <c r="T335" s="136"/>
      <c r="U335" s="136"/>
      <c r="V335" s="136"/>
      <c r="W335" s="136"/>
      <c r="X335" s="136"/>
      <c r="Y335" s="136"/>
      <c r="Z335" s="136"/>
    </row>
    <row r="336" spans="1:26" ht="14.25" customHeight="1">
      <c r="A336" s="136"/>
      <c r="B336" s="136"/>
      <c r="C336" s="136"/>
      <c r="D336" s="136"/>
      <c r="E336" s="136"/>
      <c r="F336" s="136"/>
      <c r="G336" s="136"/>
      <c r="H336" s="136"/>
      <c r="I336" s="140"/>
      <c r="J336" s="136"/>
      <c r="K336" s="136"/>
      <c r="L336" s="136"/>
      <c r="M336" s="136"/>
      <c r="N336" s="136"/>
      <c r="O336" s="136"/>
      <c r="P336" s="136"/>
      <c r="Q336" s="136"/>
      <c r="R336" s="136"/>
      <c r="S336" s="136"/>
      <c r="T336" s="136"/>
      <c r="U336" s="136"/>
      <c r="V336" s="136"/>
      <c r="W336" s="136"/>
      <c r="X336" s="136"/>
      <c r="Y336" s="136"/>
      <c r="Z336" s="136"/>
    </row>
    <row r="337" spans="1:26" ht="14.25" customHeight="1">
      <c r="A337" s="136"/>
      <c r="B337" s="136"/>
      <c r="C337" s="136"/>
      <c r="D337" s="136"/>
      <c r="E337" s="136"/>
      <c r="F337" s="136"/>
      <c r="G337" s="136"/>
      <c r="H337" s="136"/>
      <c r="I337" s="140"/>
      <c r="J337" s="136"/>
      <c r="K337" s="136"/>
      <c r="L337" s="136"/>
      <c r="M337" s="136"/>
      <c r="N337" s="136"/>
      <c r="O337" s="136"/>
      <c r="P337" s="136"/>
      <c r="Q337" s="136"/>
      <c r="R337" s="136"/>
      <c r="S337" s="136"/>
      <c r="T337" s="136"/>
      <c r="U337" s="136"/>
      <c r="V337" s="136"/>
      <c r="W337" s="136"/>
      <c r="X337" s="136"/>
      <c r="Y337" s="136"/>
      <c r="Z337" s="136"/>
    </row>
    <row r="338" spans="1:26" ht="14.25" customHeight="1">
      <c r="A338" s="136"/>
      <c r="B338" s="136"/>
      <c r="C338" s="136"/>
      <c r="D338" s="136"/>
      <c r="E338" s="136"/>
      <c r="F338" s="136"/>
      <c r="G338" s="136"/>
      <c r="H338" s="136"/>
      <c r="I338" s="140"/>
      <c r="J338" s="136"/>
      <c r="K338" s="136"/>
      <c r="L338" s="136"/>
      <c r="M338" s="136"/>
      <c r="N338" s="136"/>
      <c r="O338" s="136"/>
      <c r="P338" s="136"/>
      <c r="Q338" s="136"/>
      <c r="R338" s="136"/>
      <c r="S338" s="136"/>
      <c r="T338" s="136"/>
      <c r="U338" s="136"/>
      <c r="V338" s="136"/>
      <c r="W338" s="136"/>
      <c r="X338" s="136"/>
      <c r="Y338" s="136"/>
      <c r="Z338" s="136"/>
    </row>
    <row r="339" spans="1:26" ht="14.25" customHeight="1">
      <c r="A339" s="136"/>
      <c r="B339" s="136"/>
      <c r="C339" s="136"/>
      <c r="D339" s="136"/>
      <c r="E339" s="136"/>
      <c r="F339" s="136"/>
      <c r="G339" s="136"/>
      <c r="H339" s="136"/>
      <c r="I339" s="140"/>
      <c r="J339" s="136"/>
      <c r="K339" s="136"/>
      <c r="L339" s="136"/>
      <c r="M339" s="136"/>
      <c r="N339" s="136"/>
      <c r="O339" s="136"/>
      <c r="P339" s="136"/>
      <c r="Q339" s="136"/>
      <c r="R339" s="136"/>
      <c r="S339" s="136"/>
      <c r="T339" s="136"/>
      <c r="U339" s="136"/>
      <c r="V339" s="136"/>
      <c r="W339" s="136"/>
      <c r="X339" s="136"/>
      <c r="Y339" s="136"/>
      <c r="Z339" s="136"/>
    </row>
    <row r="340" spans="1:26" ht="14.25" customHeight="1">
      <c r="A340" s="136"/>
      <c r="B340" s="136"/>
      <c r="C340" s="136"/>
      <c r="D340" s="136"/>
      <c r="E340" s="136"/>
      <c r="F340" s="136"/>
      <c r="G340" s="136"/>
      <c r="H340" s="136"/>
      <c r="I340" s="140"/>
      <c r="J340" s="136"/>
      <c r="K340" s="136"/>
      <c r="L340" s="136"/>
      <c r="M340" s="136"/>
      <c r="N340" s="136"/>
      <c r="O340" s="136"/>
      <c r="P340" s="136"/>
      <c r="Q340" s="136"/>
      <c r="R340" s="136"/>
      <c r="S340" s="136"/>
      <c r="T340" s="136"/>
      <c r="U340" s="136"/>
      <c r="V340" s="136"/>
      <c r="W340" s="136"/>
      <c r="X340" s="136"/>
      <c r="Y340" s="136"/>
      <c r="Z340" s="136"/>
    </row>
    <row r="341" spans="1:26" ht="14.25" customHeight="1">
      <c r="A341" s="136"/>
      <c r="B341" s="136"/>
      <c r="C341" s="136"/>
      <c r="D341" s="136"/>
      <c r="E341" s="136"/>
      <c r="F341" s="136"/>
      <c r="G341" s="136"/>
      <c r="H341" s="136"/>
      <c r="I341" s="140"/>
      <c r="J341" s="136"/>
      <c r="K341" s="136"/>
      <c r="L341" s="136"/>
      <c r="M341" s="136"/>
      <c r="N341" s="136"/>
      <c r="O341" s="136"/>
      <c r="P341" s="136"/>
      <c r="Q341" s="136"/>
      <c r="R341" s="136"/>
      <c r="S341" s="136"/>
      <c r="T341" s="136"/>
      <c r="U341" s="136"/>
      <c r="V341" s="136"/>
      <c r="W341" s="136"/>
      <c r="X341" s="136"/>
      <c r="Y341" s="136"/>
      <c r="Z341" s="136"/>
    </row>
    <row r="342" spans="1:26" ht="14.25" customHeight="1">
      <c r="A342" s="136"/>
      <c r="B342" s="136"/>
      <c r="C342" s="136"/>
      <c r="D342" s="136"/>
      <c r="E342" s="136"/>
      <c r="F342" s="136"/>
      <c r="G342" s="136"/>
      <c r="H342" s="136"/>
      <c r="I342" s="140"/>
      <c r="J342" s="136"/>
      <c r="K342" s="136"/>
      <c r="L342" s="136"/>
      <c r="M342" s="136"/>
      <c r="N342" s="136"/>
      <c r="O342" s="136"/>
      <c r="P342" s="136"/>
      <c r="Q342" s="136"/>
      <c r="R342" s="136"/>
      <c r="S342" s="136"/>
      <c r="T342" s="136"/>
      <c r="U342" s="136"/>
      <c r="V342" s="136"/>
      <c r="W342" s="136"/>
      <c r="X342" s="136"/>
      <c r="Y342" s="136"/>
      <c r="Z342" s="136"/>
    </row>
    <row r="343" spans="1:26" ht="14.25" customHeight="1">
      <c r="A343" s="136"/>
      <c r="B343" s="136"/>
      <c r="C343" s="136"/>
      <c r="D343" s="136"/>
      <c r="E343" s="136"/>
      <c r="F343" s="136"/>
      <c r="G343" s="136"/>
      <c r="H343" s="136"/>
      <c r="I343" s="140"/>
      <c r="J343" s="136"/>
      <c r="K343" s="136"/>
      <c r="L343" s="136"/>
      <c r="M343" s="136"/>
      <c r="N343" s="136"/>
      <c r="O343" s="136"/>
      <c r="P343" s="136"/>
      <c r="Q343" s="136"/>
      <c r="R343" s="136"/>
      <c r="S343" s="136"/>
      <c r="T343" s="136"/>
      <c r="U343" s="136"/>
      <c r="V343" s="136"/>
      <c r="W343" s="136"/>
      <c r="X343" s="136"/>
      <c r="Y343" s="136"/>
      <c r="Z343" s="136"/>
    </row>
    <row r="344" spans="1:26" ht="14.25" customHeight="1">
      <c r="A344" s="136"/>
      <c r="B344" s="136"/>
      <c r="C344" s="136"/>
      <c r="D344" s="136"/>
      <c r="E344" s="136"/>
      <c r="F344" s="136"/>
      <c r="G344" s="136"/>
      <c r="H344" s="136"/>
      <c r="I344" s="140"/>
      <c r="J344" s="136"/>
      <c r="K344" s="136"/>
      <c r="L344" s="136"/>
      <c r="M344" s="136"/>
      <c r="N344" s="136"/>
      <c r="O344" s="136"/>
      <c r="P344" s="136"/>
      <c r="Q344" s="136"/>
      <c r="R344" s="136"/>
      <c r="S344" s="136"/>
      <c r="T344" s="136"/>
      <c r="U344" s="136"/>
      <c r="V344" s="136"/>
      <c r="W344" s="136"/>
      <c r="X344" s="136"/>
      <c r="Y344" s="136"/>
      <c r="Z344" s="136"/>
    </row>
    <row r="345" spans="1:26" ht="14.25" customHeight="1">
      <c r="A345" s="136"/>
      <c r="B345" s="136"/>
      <c r="C345" s="136"/>
      <c r="D345" s="136"/>
      <c r="E345" s="136"/>
      <c r="F345" s="136"/>
      <c r="G345" s="136"/>
      <c r="H345" s="136"/>
      <c r="I345" s="140"/>
      <c r="J345" s="136"/>
      <c r="K345" s="136"/>
      <c r="L345" s="136"/>
      <c r="M345" s="136"/>
      <c r="N345" s="136"/>
      <c r="O345" s="136"/>
      <c r="P345" s="136"/>
      <c r="Q345" s="136"/>
      <c r="R345" s="136"/>
      <c r="S345" s="136"/>
      <c r="T345" s="136"/>
      <c r="U345" s="136"/>
      <c r="V345" s="136"/>
      <c r="W345" s="136"/>
      <c r="X345" s="136"/>
      <c r="Y345" s="136"/>
      <c r="Z345" s="136"/>
    </row>
    <row r="346" spans="1:26" ht="14.25" customHeight="1">
      <c r="A346" s="136"/>
      <c r="B346" s="136"/>
      <c r="C346" s="136"/>
      <c r="D346" s="136"/>
      <c r="E346" s="136"/>
      <c r="F346" s="136"/>
      <c r="G346" s="136"/>
      <c r="H346" s="136"/>
      <c r="I346" s="140"/>
      <c r="J346" s="136"/>
      <c r="K346" s="136"/>
      <c r="L346" s="136"/>
      <c r="M346" s="136"/>
      <c r="N346" s="136"/>
      <c r="O346" s="136"/>
      <c r="P346" s="136"/>
      <c r="Q346" s="136"/>
      <c r="R346" s="136"/>
      <c r="S346" s="136"/>
      <c r="T346" s="136"/>
      <c r="U346" s="136"/>
      <c r="V346" s="136"/>
      <c r="W346" s="136"/>
      <c r="X346" s="136"/>
      <c r="Y346" s="136"/>
      <c r="Z346" s="136"/>
    </row>
    <row r="347" spans="1:26" ht="14.25" customHeight="1">
      <c r="A347" s="136"/>
      <c r="B347" s="136"/>
      <c r="C347" s="136"/>
      <c r="D347" s="136"/>
      <c r="E347" s="136"/>
      <c r="F347" s="136"/>
      <c r="G347" s="136"/>
      <c r="H347" s="136"/>
      <c r="I347" s="140"/>
      <c r="J347" s="136"/>
      <c r="K347" s="136"/>
      <c r="L347" s="136"/>
      <c r="M347" s="136"/>
      <c r="N347" s="136"/>
      <c r="O347" s="136"/>
      <c r="P347" s="136"/>
      <c r="Q347" s="136"/>
      <c r="R347" s="136"/>
      <c r="S347" s="136"/>
      <c r="T347" s="136"/>
      <c r="U347" s="136"/>
      <c r="V347" s="136"/>
      <c r="W347" s="136"/>
      <c r="X347" s="136"/>
      <c r="Y347" s="136"/>
      <c r="Z347" s="136"/>
    </row>
    <row r="348" spans="1:26" ht="14.25" customHeight="1">
      <c r="A348" s="136"/>
      <c r="B348" s="136"/>
      <c r="C348" s="136"/>
      <c r="D348" s="136"/>
      <c r="E348" s="136"/>
      <c r="F348" s="136"/>
      <c r="G348" s="136"/>
      <c r="H348" s="136"/>
      <c r="I348" s="140"/>
      <c r="J348" s="136"/>
      <c r="K348" s="136"/>
      <c r="L348" s="136"/>
      <c r="M348" s="136"/>
      <c r="N348" s="136"/>
      <c r="O348" s="136"/>
      <c r="P348" s="136"/>
      <c r="Q348" s="136"/>
      <c r="R348" s="136"/>
      <c r="S348" s="136"/>
      <c r="T348" s="136"/>
      <c r="U348" s="136"/>
      <c r="V348" s="136"/>
      <c r="W348" s="136"/>
      <c r="X348" s="136"/>
      <c r="Y348" s="136"/>
      <c r="Z348" s="136"/>
    </row>
    <row r="349" spans="1:26" ht="14.25" customHeight="1">
      <c r="A349" s="136"/>
      <c r="B349" s="136"/>
      <c r="C349" s="136"/>
      <c r="D349" s="136"/>
      <c r="E349" s="136"/>
      <c r="F349" s="136"/>
      <c r="G349" s="136"/>
      <c r="H349" s="136"/>
      <c r="I349" s="140"/>
      <c r="J349" s="136"/>
      <c r="K349" s="136"/>
      <c r="L349" s="136"/>
      <c r="M349" s="136"/>
      <c r="N349" s="136"/>
      <c r="O349" s="136"/>
      <c r="P349" s="136"/>
      <c r="Q349" s="136"/>
      <c r="R349" s="136"/>
      <c r="S349" s="136"/>
      <c r="T349" s="136"/>
      <c r="U349" s="136"/>
      <c r="V349" s="136"/>
      <c r="W349" s="136"/>
      <c r="X349" s="136"/>
      <c r="Y349" s="136"/>
      <c r="Z349" s="136"/>
    </row>
    <row r="350" spans="1:26" ht="14.25" customHeight="1">
      <c r="A350" s="136"/>
      <c r="B350" s="136"/>
      <c r="C350" s="136"/>
      <c r="D350" s="136"/>
      <c r="E350" s="136"/>
      <c r="F350" s="136"/>
      <c r="G350" s="136"/>
      <c r="H350" s="136"/>
      <c r="I350" s="140"/>
      <c r="J350" s="136"/>
      <c r="K350" s="136"/>
      <c r="L350" s="136"/>
      <c r="M350" s="136"/>
      <c r="N350" s="136"/>
      <c r="O350" s="136"/>
      <c r="P350" s="136"/>
      <c r="Q350" s="136"/>
      <c r="R350" s="136"/>
      <c r="S350" s="136"/>
      <c r="T350" s="136"/>
      <c r="U350" s="136"/>
      <c r="V350" s="136"/>
      <c r="W350" s="136"/>
      <c r="X350" s="136"/>
      <c r="Y350" s="136"/>
      <c r="Z350" s="136"/>
    </row>
    <row r="351" spans="1:26" ht="14.25" customHeight="1">
      <c r="A351" s="136"/>
      <c r="B351" s="136"/>
      <c r="C351" s="136"/>
      <c r="D351" s="136"/>
      <c r="E351" s="136"/>
      <c r="F351" s="136"/>
      <c r="G351" s="136"/>
      <c r="H351" s="136"/>
      <c r="I351" s="140"/>
      <c r="J351" s="136"/>
      <c r="K351" s="136"/>
      <c r="L351" s="136"/>
      <c r="M351" s="136"/>
      <c r="N351" s="136"/>
      <c r="O351" s="136"/>
      <c r="P351" s="136"/>
      <c r="Q351" s="136"/>
      <c r="R351" s="136"/>
      <c r="S351" s="136"/>
      <c r="T351" s="136"/>
      <c r="U351" s="136"/>
      <c r="V351" s="136"/>
      <c r="W351" s="136"/>
      <c r="X351" s="136"/>
      <c r="Y351" s="136"/>
      <c r="Z351" s="136"/>
    </row>
    <row r="352" spans="1:26" ht="14.25" customHeight="1">
      <c r="A352" s="136"/>
      <c r="B352" s="136"/>
      <c r="C352" s="136"/>
      <c r="D352" s="136"/>
      <c r="E352" s="136"/>
      <c r="F352" s="136"/>
      <c r="G352" s="136"/>
      <c r="H352" s="136"/>
      <c r="I352" s="140"/>
      <c r="J352" s="136"/>
      <c r="K352" s="136"/>
      <c r="L352" s="136"/>
      <c r="M352" s="136"/>
      <c r="N352" s="136"/>
      <c r="O352" s="136"/>
      <c r="P352" s="136"/>
      <c r="Q352" s="136"/>
      <c r="R352" s="136"/>
      <c r="S352" s="136"/>
      <c r="T352" s="136"/>
      <c r="U352" s="136"/>
      <c r="V352" s="136"/>
      <c r="W352" s="136"/>
      <c r="X352" s="136"/>
      <c r="Y352" s="136"/>
      <c r="Z352" s="136"/>
    </row>
    <row r="353" spans="1:26" ht="14.25" customHeight="1">
      <c r="A353" s="136"/>
      <c r="B353" s="136"/>
      <c r="C353" s="136"/>
      <c r="D353" s="136"/>
      <c r="E353" s="136"/>
      <c r="F353" s="136"/>
      <c r="G353" s="136"/>
      <c r="H353" s="136"/>
      <c r="I353" s="140"/>
      <c r="J353" s="136"/>
      <c r="K353" s="136"/>
      <c r="L353" s="136"/>
      <c r="M353" s="136"/>
      <c r="N353" s="136"/>
      <c r="O353" s="136"/>
      <c r="P353" s="136"/>
      <c r="Q353" s="136"/>
      <c r="R353" s="136"/>
      <c r="S353" s="136"/>
      <c r="T353" s="136"/>
      <c r="U353" s="136"/>
      <c r="V353" s="136"/>
      <c r="W353" s="136"/>
      <c r="X353" s="136"/>
      <c r="Y353" s="136"/>
      <c r="Z353" s="136"/>
    </row>
    <row r="354" spans="1:26" ht="14.25" customHeight="1">
      <c r="A354" s="136"/>
      <c r="B354" s="136"/>
      <c r="C354" s="136"/>
      <c r="D354" s="136"/>
      <c r="E354" s="136"/>
      <c r="F354" s="136"/>
      <c r="G354" s="136"/>
      <c r="H354" s="136"/>
      <c r="I354" s="140"/>
      <c r="J354" s="136"/>
      <c r="K354" s="136"/>
      <c r="L354" s="136"/>
      <c r="M354" s="136"/>
      <c r="N354" s="136"/>
      <c r="O354" s="136"/>
      <c r="P354" s="136"/>
      <c r="Q354" s="136"/>
      <c r="R354" s="136"/>
      <c r="S354" s="136"/>
      <c r="T354" s="136"/>
      <c r="U354" s="136"/>
      <c r="V354" s="136"/>
      <c r="W354" s="136"/>
      <c r="X354" s="136"/>
      <c r="Y354" s="136"/>
      <c r="Z354" s="136"/>
    </row>
    <row r="355" spans="1:26" ht="14.25" customHeight="1">
      <c r="A355" s="136"/>
      <c r="B355" s="136"/>
      <c r="C355" s="136"/>
      <c r="D355" s="136"/>
      <c r="E355" s="136"/>
      <c r="F355" s="136"/>
      <c r="G355" s="136"/>
      <c r="H355" s="136"/>
      <c r="I355" s="140"/>
      <c r="J355" s="136"/>
      <c r="K355" s="136"/>
      <c r="L355" s="136"/>
      <c r="M355" s="136"/>
      <c r="N355" s="136"/>
      <c r="O355" s="136"/>
      <c r="P355" s="136"/>
      <c r="Q355" s="136"/>
      <c r="R355" s="136"/>
      <c r="S355" s="136"/>
      <c r="T355" s="136"/>
      <c r="U355" s="136"/>
      <c r="V355" s="136"/>
      <c r="W355" s="136"/>
      <c r="X355" s="136"/>
      <c r="Y355" s="136"/>
      <c r="Z355" s="136"/>
    </row>
    <row r="356" spans="1:26" ht="14.25" customHeight="1">
      <c r="A356" s="136"/>
      <c r="B356" s="136"/>
      <c r="C356" s="136"/>
      <c r="D356" s="136"/>
      <c r="E356" s="136"/>
      <c r="F356" s="136"/>
      <c r="G356" s="136"/>
      <c r="H356" s="136"/>
      <c r="I356" s="140"/>
      <c r="J356" s="136"/>
      <c r="K356" s="136"/>
      <c r="L356" s="136"/>
      <c r="M356" s="136"/>
      <c r="N356" s="136"/>
      <c r="O356" s="136"/>
      <c r="P356" s="136"/>
      <c r="Q356" s="136"/>
      <c r="R356" s="136"/>
      <c r="S356" s="136"/>
      <c r="T356" s="136"/>
      <c r="U356" s="136"/>
      <c r="V356" s="136"/>
      <c r="W356" s="136"/>
      <c r="X356" s="136"/>
      <c r="Y356" s="136"/>
      <c r="Z356" s="136"/>
    </row>
    <row r="357" spans="1:26" ht="14.25" customHeight="1">
      <c r="A357" s="136"/>
      <c r="B357" s="136"/>
      <c r="C357" s="136"/>
      <c r="D357" s="136"/>
      <c r="E357" s="136"/>
      <c r="F357" s="136"/>
      <c r="G357" s="136"/>
      <c r="H357" s="136"/>
      <c r="I357" s="140"/>
      <c r="J357" s="136"/>
      <c r="K357" s="136"/>
      <c r="L357" s="136"/>
      <c r="M357" s="136"/>
      <c r="N357" s="136"/>
      <c r="O357" s="136"/>
      <c r="P357" s="136"/>
      <c r="Q357" s="136"/>
      <c r="R357" s="136"/>
      <c r="S357" s="136"/>
      <c r="T357" s="136"/>
      <c r="U357" s="136"/>
      <c r="V357" s="136"/>
      <c r="W357" s="136"/>
      <c r="X357" s="136"/>
      <c r="Y357" s="136"/>
      <c r="Z357" s="136"/>
    </row>
    <row r="358" spans="1:26" ht="14.25" customHeight="1">
      <c r="A358" s="136"/>
      <c r="B358" s="136"/>
      <c r="C358" s="136"/>
      <c r="D358" s="136"/>
      <c r="E358" s="136"/>
      <c r="F358" s="136"/>
      <c r="G358" s="136"/>
      <c r="H358" s="136"/>
      <c r="I358" s="140"/>
      <c r="J358" s="136"/>
      <c r="K358" s="136"/>
      <c r="L358" s="136"/>
      <c r="M358" s="136"/>
      <c r="N358" s="136"/>
      <c r="O358" s="136"/>
      <c r="P358" s="136"/>
      <c r="Q358" s="136"/>
      <c r="R358" s="136"/>
      <c r="S358" s="136"/>
      <c r="T358" s="136"/>
      <c r="U358" s="136"/>
      <c r="V358" s="136"/>
      <c r="W358" s="136"/>
      <c r="X358" s="136"/>
      <c r="Y358" s="136"/>
      <c r="Z358" s="136"/>
    </row>
    <row r="359" spans="1:26" ht="14.25" customHeight="1">
      <c r="A359" s="136"/>
      <c r="B359" s="136"/>
      <c r="C359" s="136"/>
      <c r="D359" s="136"/>
      <c r="E359" s="136"/>
      <c r="F359" s="136"/>
      <c r="G359" s="136"/>
      <c r="H359" s="136"/>
      <c r="I359" s="140"/>
      <c r="J359" s="136"/>
      <c r="K359" s="136"/>
      <c r="L359" s="136"/>
      <c r="M359" s="136"/>
      <c r="N359" s="136"/>
      <c r="O359" s="136"/>
      <c r="P359" s="136"/>
      <c r="Q359" s="136"/>
      <c r="R359" s="136"/>
      <c r="S359" s="136"/>
      <c r="T359" s="136"/>
      <c r="U359" s="136"/>
      <c r="V359" s="136"/>
      <c r="W359" s="136"/>
      <c r="X359" s="136"/>
      <c r="Y359" s="136"/>
      <c r="Z359" s="136"/>
    </row>
    <row r="360" spans="1:26" ht="14.25" customHeight="1">
      <c r="A360" s="136"/>
      <c r="B360" s="136"/>
      <c r="C360" s="136"/>
      <c r="D360" s="136"/>
      <c r="E360" s="136"/>
      <c r="F360" s="136"/>
      <c r="G360" s="136"/>
      <c r="H360" s="136"/>
      <c r="I360" s="140"/>
      <c r="J360" s="136"/>
      <c r="K360" s="136"/>
      <c r="L360" s="136"/>
      <c r="M360" s="136"/>
      <c r="N360" s="136"/>
      <c r="O360" s="136"/>
      <c r="P360" s="136"/>
      <c r="Q360" s="136"/>
      <c r="R360" s="136"/>
      <c r="S360" s="136"/>
      <c r="T360" s="136"/>
      <c r="U360" s="136"/>
      <c r="V360" s="136"/>
      <c r="W360" s="136"/>
      <c r="X360" s="136"/>
      <c r="Y360" s="136"/>
      <c r="Z360" s="136"/>
    </row>
    <row r="361" spans="1:26" ht="14.25" customHeight="1">
      <c r="A361" s="136"/>
      <c r="B361" s="136"/>
      <c r="C361" s="136"/>
      <c r="D361" s="136"/>
      <c r="E361" s="136"/>
      <c r="F361" s="136"/>
      <c r="G361" s="136"/>
      <c r="H361" s="136"/>
      <c r="I361" s="140"/>
      <c r="J361" s="136"/>
      <c r="K361" s="136"/>
      <c r="L361" s="136"/>
      <c r="M361" s="136"/>
      <c r="N361" s="136"/>
      <c r="O361" s="136"/>
      <c r="P361" s="136"/>
      <c r="Q361" s="136"/>
      <c r="R361" s="136"/>
      <c r="S361" s="136"/>
      <c r="T361" s="136"/>
      <c r="U361" s="136"/>
      <c r="V361" s="136"/>
      <c r="W361" s="136"/>
      <c r="X361" s="136"/>
      <c r="Y361" s="136"/>
      <c r="Z361" s="136"/>
    </row>
    <row r="362" spans="1:26" ht="14.25" customHeight="1">
      <c r="A362" s="136"/>
      <c r="B362" s="136"/>
      <c r="C362" s="136"/>
      <c r="D362" s="136"/>
      <c r="E362" s="136"/>
      <c r="F362" s="136"/>
      <c r="G362" s="136"/>
      <c r="H362" s="136"/>
      <c r="I362" s="140"/>
      <c r="J362" s="136"/>
      <c r="K362" s="136"/>
      <c r="L362" s="136"/>
      <c r="M362" s="136"/>
      <c r="N362" s="136"/>
      <c r="O362" s="136"/>
      <c r="P362" s="136"/>
      <c r="Q362" s="136"/>
      <c r="R362" s="136"/>
      <c r="S362" s="136"/>
      <c r="T362" s="136"/>
      <c r="U362" s="136"/>
      <c r="V362" s="136"/>
      <c r="W362" s="136"/>
      <c r="X362" s="136"/>
      <c r="Y362" s="136"/>
      <c r="Z362" s="136"/>
    </row>
    <row r="363" spans="1:26" ht="14.25" customHeight="1">
      <c r="A363" s="136"/>
      <c r="B363" s="136"/>
      <c r="C363" s="136"/>
      <c r="D363" s="136"/>
      <c r="E363" s="136"/>
      <c r="F363" s="136"/>
      <c r="G363" s="136"/>
      <c r="H363" s="136"/>
      <c r="I363" s="140"/>
      <c r="J363" s="136"/>
      <c r="K363" s="136"/>
      <c r="L363" s="136"/>
      <c r="M363" s="136"/>
      <c r="N363" s="136"/>
      <c r="O363" s="136"/>
      <c r="P363" s="136"/>
      <c r="Q363" s="136"/>
      <c r="R363" s="136"/>
      <c r="S363" s="136"/>
      <c r="T363" s="136"/>
      <c r="U363" s="136"/>
      <c r="V363" s="136"/>
      <c r="W363" s="136"/>
      <c r="X363" s="136"/>
      <c r="Y363" s="136"/>
      <c r="Z363" s="136"/>
    </row>
    <row r="364" spans="1:26" ht="14.25" customHeight="1">
      <c r="A364" s="136"/>
      <c r="B364" s="136"/>
      <c r="C364" s="136"/>
      <c r="D364" s="136"/>
      <c r="E364" s="136"/>
      <c r="F364" s="136"/>
      <c r="G364" s="136"/>
      <c r="H364" s="136"/>
      <c r="I364" s="140"/>
      <c r="J364" s="136"/>
      <c r="K364" s="136"/>
      <c r="L364" s="136"/>
      <c r="M364" s="136"/>
      <c r="N364" s="136"/>
      <c r="O364" s="136"/>
      <c r="P364" s="136"/>
      <c r="Q364" s="136"/>
      <c r="R364" s="136"/>
      <c r="S364" s="136"/>
      <c r="T364" s="136"/>
      <c r="U364" s="136"/>
      <c r="V364" s="136"/>
      <c r="W364" s="136"/>
      <c r="X364" s="136"/>
      <c r="Y364" s="136"/>
      <c r="Z364" s="136"/>
    </row>
    <row r="365" spans="1:26" ht="14.25" customHeight="1">
      <c r="A365" s="136"/>
      <c r="B365" s="136"/>
      <c r="C365" s="136"/>
      <c r="D365" s="136"/>
      <c r="E365" s="136"/>
      <c r="F365" s="136"/>
      <c r="G365" s="136"/>
      <c r="H365" s="136"/>
      <c r="I365" s="140"/>
      <c r="J365" s="136"/>
      <c r="K365" s="136"/>
      <c r="L365" s="136"/>
      <c r="M365" s="136"/>
      <c r="N365" s="136"/>
      <c r="O365" s="136"/>
      <c r="P365" s="136"/>
      <c r="Q365" s="136"/>
      <c r="R365" s="136"/>
      <c r="S365" s="136"/>
      <c r="T365" s="136"/>
      <c r="U365" s="136"/>
      <c r="V365" s="136"/>
      <c r="W365" s="136"/>
      <c r="X365" s="136"/>
      <c r="Y365" s="136"/>
      <c r="Z365" s="136"/>
    </row>
    <row r="366" spans="1:26" ht="14.25" customHeight="1">
      <c r="A366" s="136"/>
      <c r="B366" s="136"/>
      <c r="C366" s="136"/>
      <c r="D366" s="136"/>
      <c r="E366" s="136"/>
      <c r="F366" s="136"/>
      <c r="G366" s="136"/>
      <c r="H366" s="136"/>
      <c r="I366" s="140"/>
      <c r="J366" s="136"/>
      <c r="K366" s="136"/>
      <c r="L366" s="136"/>
      <c r="M366" s="136"/>
      <c r="N366" s="136"/>
      <c r="O366" s="136"/>
      <c r="P366" s="136"/>
      <c r="Q366" s="136"/>
      <c r="R366" s="136"/>
      <c r="S366" s="136"/>
      <c r="T366" s="136"/>
      <c r="U366" s="136"/>
      <c r="V366" s="136"/>
      <c r="W366" s="136"/>
      <c r="X366" s="136"/>
      <c r="Y366" s="136"/>
      <c r="Z366" s="136"/>
    </row>
    <row r="367" spans="1:26" ht="14.25" customHeight="1">
      <c r="A367" s="136"/>
      <c r="B367" s="136"/>
      <c r="C367" s="136"/>
      <c r="D367" s="136"/>
      <c r="E367" s="136"/>
      <c r="F367" s="136"/>
      <c r="G367" s="136"/>
      <c r="H367" s="136"/>
      <c r="I367" s="140"/>
      <c r="J367" s="136"/>
      <c r="K367" s="136"/>
      <c r="L367" s="136"/>
      <c r="M367" s="136"/>
      <c r="N367" s="136"/>
      <c r="O367" s="136"/>
      <c r="P367" s="136"/>
      <c r="Q367" s="136"/>
      <c r="R367" s="136"/>
      <c r="S367" s="136"/>
      <c r="T367" s="136"/>
      <c r="U367" s="136"/>
      <c r="V367" s="136"/>
      <c r="W367" s="136"/>
      <c r="X367" s="136"/>
      <c r="Y367" s="136"/>
      <c r="Z367" s="136"/>
    </row>
    <row r="368" spans="1:26" ht="14.25" customHeight="1">
      <c r="A368" s="136"/>
      <c r="B368" s="136"/>
      <c r="C368" s="136"/>
      <c r="D368" s="136"/>
      <c r="E368" s="136"/>
      <c r="F368" s="136"/>
      <c r="G368" s="136"/>
      <c r="H368" s="136"/>
      <c r="I368" s="140"/>
      <c r="J368" s="136"/>
      <c r="K368" s="136"/>
      <c r="L368" s="136"/>
      <c r="M368" s="136"/>
      <c r="N368" s="136"/>
      <c r="O368" s="136"/>
      <c r="P368" s="136"/>
      <c r="Q368" s="136"/>
      <c r="R368" s="136"/>
      <c r="S368" s="136"/>
      <c r="T368" s="136"/>
      <c r="U368" s="136"/>
      <c r="V368" s="136"/>
      <c r="W368" s="136"/>
      <c r="X368" s="136"/>
      <c r="Y368" s="136"/>
      <c r="Z368" s="136"/>
    </row>
    <row r="369" spans="1:26" ht="14.25" customHeight="1">
      <c r="A369" s="136"/>
      <c r="B369" s="136"/>
      <c r="C369" s="136"/>
      <c r="D369" s="136"/>
      <c r="E369" s="136"/>
      <c r="F369" s="136"/>
      <c r="G369" s="136"/>
      <c r="H369" s="136"/>
      <c r="I369" s="140"/>
      <c r="J369" s="136"/>
      <c r="K369" s="136"/>
      <c r="L369" s="136"/>
      <c r="M369" s="136"/>
      <c r="N369" s="136"/>
      <c r="O369" s="136"/>
      <c r="P369" s="136"/>
      <c r="Q369" s="136"/>
      <c r="R369" s="136"/>
      <c r="S369" s="136"/>
      <c r="T369" s="136"/>
      <c r="U369" s="136"/>
      <c r="V369" s="136"/>
      <c r="W369" s="136"/>
      <c r="X369" s="136"/>
      <c r="Y369" s="136"/>
      <c r="Z369" s="136"/>
    </row>
    <row r="370" spans="1:26" ht="14.25" customHeight="1">
      <c r="A370" s="136"/>
      <c r="B370" s="136"/>
      <c r="C370" s="136"/>
      <c r="D370" s="136"/>
      <c r="E370" s="136"/>
      <c r="F370" s="136"/>
      <c r="G370" s="136"/>
      <c r="H370" s="136"/>
      <c r="I370" s="140"/>
      <c r="J370" s="136"/>
      <c r="K370" s="136"/>
      <c r="L370" s="136"/>
      <c r="M370" s="136"/>
      <c r="N370" s="136"/>
      <c r="O370" s="136"/>
      <c r="P370" s="136"/>
      <c r="Q370" s="136"/>
      <c r="R370" s="136"/>
      <c r="S370" s="136"/>
      <c r="T370" s="136"/>
      <c r="U370" s="136"/>
      <c r="V370" s="136"/>
      <c r="W370" s="136"/>
      <c r="X370" s="136"/>
      <c r="Y370" s="136"/>
      <c r="Z370" s="136"/>
    </row>
    <row r="371" spans="1:26" ht="14.25" customHeight="1">
      <c r="A371" s="136"/>
      <c r="B371" s="136"/>
      <c r="C371" s="136"/>
      <c r="D371" s="136"/>
      <c r="E371" s="136"/>
      <c r="F371" s="136"/>
      <c r="G371" s="136"/>
      <c r="H371" s="136"/>
      <c r="I371" s="140"/>
      <c r="J371" s="136"/>
      <c r="K371" s="136"/>
      <c r="L371" s="136"/>
      <c r="M371" s="136"/>
      <c r="N371" s="136"/>
      <c r="O371" s="136"/>
      <c r="P371" s="136"/>
      <c r="Q371" s="136"/>
      <c r="R371" s="136"/>
      <c r="S371" s="136"/>
      <c r="T371" s="136"/>
      <c r="U371" s="136"/>
      <c r="V371" s="136"/>
      <c r="W371" s="136"/>
      <c r="X371" s="136"/>
      <c r="Y371" s="136"/>
      <c r="Z371" s="136"/>
    </row>
    <row r="372" spans="1:26" ht="14.25" customHeight="1">
      <c r="A372" s="136"/>
      <c r="B372" s="136"/>
      <c r="C372" s="136"/>
      <c r="D372" s="136"/>
      <c r="E372" s="136"/>
      <c r="F372" s="136"/>
      <c r="G372" s="136"/>
      <c r="H372" s="136"/>
      <c r="I372" s="140"/>
      <c r="J372" s="136"/>
      <c r="K372" s="136"/>
      <c r="L372" s="136"/>
      <c r="M372" s="136"/>
      <c r="N372" s="136"/>
      <c r="O372" s="136"/>
      <c r="P372" s="136"/>
      <c r="Q372" s="136"/>
      <c r="R372" s="136"/>
      <c r="S372" s="136"/>
      <c r="T372" s="136"/>
      <c r="U372" s="136"/>
      <c r="V372" s="136"/>
      <c r="W372" s="136"/>
      <c r="X372" s="136"/>
      <c r="Y372" s="136"/>
      <c r="Z372" s="136"/>
    </row>
    <row r="373" spans="1:26" ht="14.25" customHeight="1">
      <c r="A373" s="136"/>
      <c r="B373" s="136"/>
      <c r="C373" s="136"/>
      <c r="D373" s="136"/>
      <c r="E373" s="136"/>
      <c r="F373" s="136"/>
      <c r="G373" s="136"/>
      <c r="H373" s="136"/>
      <c r="I373" s="140"/>
      <c r="J373" s="136"/>
      <c r="K373" s="136"/>
      <c r="L373" s="136"/>
      <c r="M373" s="136"/>
      <c r="N373" s="136"/>
      <c r="O373" s="136"/>
      <c r="P373" s="136"/>
      <c r="Q373" s="136"/>
      <c r="R373" s="136"/>
      <c r="S373" s="136"/>
      <c r="T373" s="136"/>
      <c r="U373" s="136"/>
      <c r="V373" s="136"/>
      <c r="W373" s="136"/>
      <c r="X373" s="136"/>
      <c r="Y373" s="136"/>
      <c r="Z373" s="136"/>
    </row>
    <row r="374" spans="1:26" ht="14.25" customHeight="1">
      <c r="A374" s="136"/>
      <c r="B374" s="136"/>
      <c r="C374" s="136"/>
      <c r="D374" s="136"/>
      <c r="E374" s="136"/>
      <c r="F374" s="136"/>
      <c r="G374" s="136"/>
      <c r="H374" s="136"/>
      <c r="I374" s="140"/>
      <c r="J374" s="136"/>
      <c r="K374" s="136"/>
      <c r="L374" s="136"/>
      <c r="M374" s="136"/>
      <c r="N374" s="136"/>
      <c r="O374" s="136"/>
      <c r="P374" s="136"/>
      <c r="Q374" s="136"/>
      <c r="R374" s="136"/>
      <c r="S374" s="136"/>
      <c r="T374" s="136"/>
      <c r="U374" s="136"/>
      <c r="V374" s="136"/>
      <c r="W374" s="136"/>
      <c r="X374" s="136"/>
      <c r="Y374" s="136"/>
      <c r="Z374" s="136"/>
    </row>
    <row r="375" spans="1:26" ht="14.25" customHeight="1">
      <c r="A375" s="136"/>
      <c r="B375" s="136"/>
      <c r="C375" s="136"/>
      <c r="D375" s="136"/>
      <c r="E375" s="136"/>
      <c r="F375" s="136"/>
      <c r="G375" s="136"/>
      <c r="H375" s="136"/>
      <c r="I375" s="140"/>
      <c r="J375" s="136"/>
      <c r="K375" s="136"/>
      <c r="L375" s="136"/>
      <c r="M375" s="136"/>
      <c r="N375" s="136"/>
      <c r="O375" s="136"/>
      <c r="P375" s="136"/>
      <c r="Q375" s="136"/>
      <c r="R375" s="136"/>
      <c r="S375" s="136"/>
      <c r="T375" s="136"/>
      <c r="U375" s="136"/>
      <c r="V375" s="136"/>
      <c r="W375" s="136"/>
      <c r="X375" s="136"/>
      <c r="Y375" s="136"/>
      <c r="Z375" s="136"/>
    </row>
    <row r="376" spans="1:26" ht="14.25" customHeight="1">
      <c r="A376" s="136"/>
      <c r="B376" s="136"/>
      <c r="C376" s="136"/>
      <c r="D376" s="136"/>
      <c r="E376" s="136"/>
      <c r="F376" s="136"/>
      <c r="G376" s="136"/>
      <c r="H376" s="136"/>
      <c r="I376" s="140"/>
      <c r="J376" s="136"/>
      <c r="K376" s="136"/>
      <c r="L376" s="136"/>
      <c r="M376" s="136"/>
      <c r="N376" s="136"/>
      <c r="O376" s="136"/>
      <c r="P376" s="136"/>
      <c r="Q376" s="136"/>
      <c r="R376" s="136"/>
      <c r="S376" s="136"/>
      <c r="T376" s="136"/>
      <c r="U376" s="136"/>
      <c r="V376" s="136"/>
      <c r="W376" s="136"/>
      <c r="X376" s="136"/>
      <c r="Y376" s="136"/>
      <c r="Z376" s="136"/>
    </row>
    <row r="377" spans="1:26" ht="14.25" customHeight="1">
      <c r="A377" s="136"/>
      <c r="B377" s="136"/>
      <c r="C377" s="136"/>
      <c r="D377" s="136"/>
      <c r="E377" s="136"/>
      <c r="F377" s="136"/>
      <c r="G377" s="136"/>
      <c r="H377" s="136"/>
      <c r="I377" s="140"/>
      <c r="J377" s="136"/>
      <c r="K377" s="136"/>
      <c r="L377" s="136"/>
      <c r="M377" s="136"/>
      <c r="N377" s="136"/>
      <c r="O377" s="136"/>
      <c r="P377" s="136"/>
      <c r="Q377" s="136"/>
      <c r="R377" s="136"/>
      <c r="S377" s="136"/>
      <c r="T377" s="136"/>
      <c r="U377" s="136"/>
      <c r="V377" s="136"/>
      <c r="W377" s="136"/>
      <c r="X377" s="136"/>
      <c r="Y377" s="136"/>
      <c r="Z377" s="136"/>
    </row>
    <row r="378" spans="1:26" ht="14.25" customHeight="1">
      <c r="A378" s="136"/>
      <c r="B378" s="136"/>
      <c r="C378" s="136"/>
      <c r="D378" s="136"/>
      <c r="E378" s="136"/>
      <c r="F378" s="136"/>
      <c r="G378" s="136"/>
      <c r="H378" s="136"/>
      <c r="I378" s="140"/>
      <c r="J378" s="136"/>
      <c r="K378" s="136"/>
      <c r="L378" s="136"/>
      <c r="M378" s="136"/>
      <c r="N378" s="136"/>
      <c r="O378" s="136"/>
      <c r="P378" s="136"/>
      <c r="Q378" s="136"/>
      <c r="R378" s="136"/>
      <c r="S378" s="136"/>
      <c r="T378" s="136"/>
      <c r="U378" s="136"/>
      <c r="V378" s="136"/>
      <c r="W378" s="136"/>
      <c r="X378" s="136"/>
      <c r="Y378" s="136"/>
      <c r="Z378" s="136"/>
    </row>
    <row r="379" spans="1:26" ht="14.25" customHeight="1">
      <c r="A379" s="136"/>
      <c r="B379" s="136"/>
      <c r="C379" s="136"/>
      <c r="D379" s="136"/>
      <c r="E379" s="136"/>
      <c r="F379" s="136"/>
      <c r="G379" s="136"/>
      <c r="H379" s="136"/>
      <c r="I379" s="140"/>
      <c r="J379" s="136"/>
      <c r="K379" s="136"/>
      <c r="L379" s="136"/>
      <c r="M379" s="136"/>
      <c r="N379" s="136"/>
      <c r="O379" s="136"/>
      <c r="P379" s="136"/>
      <c r="Q379" s="136"/>
      <c r="R379" s="136"/>
      <c r="S379" s="136"/>
      <c r="T379" s="136"/>
      <c r="U379" s="136"/>
      <c r="V379" s="136"/>
      <c r="W379" s="136"/>
      <c r="X379" s="136"/>
      <c r="Y379" s="136"/>
      <c r="Z379" s="136"/>
    </row>
    <row r="380" spans="1:26" ht="14.25" customHeight="1">
      <c r="A380" s="136"/>
      <c r="B380" s="136"/>
      <c r="C380" s="136"/>
      <c r="D380" s="136"/>
      <c r="E380" s="136"/>
      <c r="F380" s="136"/>
      <c r="G380" s="136"/>
      <c r="H380" s="136"/>
      <c r="I380" s="140"/>
      <c r="J380" s="136"/>
      <c r="K380" s="136"/>
      <c r="L380" s="136"/>
      <c r="M380" s="136"/>
      <c r="N380" s="136"/>
      <c r="O380" s="136"/>
      <c r="P380" s="136"/>
      <c r="Q380" s="136"/>
      <c r="R380" s="136"/>
      <c r="S380" s="136"/>
      <c r="T380" s="136"/>
      <c r="U380" s="136"/>
      <c r="V380" s="136"/>
      <c r="W380" s="136"/>
      <c r="X380" s="136"/>
      <c r="Y380" s="136"/>
      <c r="Z380" s="136"/>
    </row>
    <row r="381" spans="1:26" ht="14.25" customHeight="1">
      <c r="A381" s="136"/>
      <c r="B381" s="136"/>
      <c r="C381" s="136"/>
      <c r="D381" s="136"/>
      <c r="E381" s="136"/>
      <c r="F381" s="136"/>
      <c r="G381" s="136"/>
      <c r="H381" s="136"/>
      <c r="I381" s="140"/>
      <c r="J381" s="136"/>
      <c r="K381" s="136"/>
      <c r="L381" s="136"/>
      <c r="M381" s="136"/>
      <c r="N381" s="136"/>
      <c r="O381" s="136"/>
      <c r="P381" s="136"/>
      <c r="Q381" s="136"/>
      <c r="R381" s="136"/>
      <c r="S381" s="136"/>
      <c r="T381" s="136"/>
      <c r="U381" s="136"/>
      <c r="V381" s="136"/>
      <c r="W381" s="136"/>
      <c r="X381" s="136"/>
      <c r="Y381" s="136"/>
      <c r="Z381" s="136"/>
    </row>
    <row r="382" spans="1:26" ht="14.25" customHeight="1">
      <c r="A382" s="136"/>
      <c r="B382" s="136"/>
      <c r="C382" s="136"/>
      <c r="D382" s="136"/>
      <c r="E382" s="136"/>
      <c r="F382" s="136"/>
      <c r="G382" s="136"/>
      <c r="H382" s="136"/>
      <c r="I382" s="140"/>
      <c r="J382" s="136"/>
      <c r="K382" s="136"/>
      <c r="L382" s="136"/>
      <c r="M382" s="136"/>
      <c r="N382" s="136"/>
      <c r="O382" s="136"/>
      <c r="P382" s="136"/>
      <c r="Q382" s="136"/>
      <c r="R382" s="136"/>
      <c r="S382" s="136"/>
      <c r="T382" s="136"/>
      <c r="U382" s="136"/>
      <c r="V382" s="136"/>
      <c r="W382" s="136"/>
      <c r="X382" s="136"/>
      <c r="Y382" s="136"/>
      <c r="Z382" s="136"/>
    </row>
    <row r="383" spans="1:26" ht="14.25" customHeight="1">
      <c r="A383" s="136"/>
      <c r="B383" s="136"/>
      <c r="C383" s="136"/>
      <c r="D383" s="136"/>
      <c r="E383" s="136"/>
      <c r="F383" s="136"/>
      <c r="G383" s="136"/>
      <c r="H383" s="136"/>
      <c r="I383" s="140"/>
      <c r="J383" s="136"/>
      <c r="K383" s="136"/>
      <c r="L383" s="136"/>
      <c r="M383" s="136"/>
      <c r="N383" s="136"/>
      <c r="O383" s="136"/>
      <c r="P383" s="136"/>
      <c r="Q383" s="136"/>
      <c r="R383" s="136"/>
      <c r="S383" s="136"/>
      <c r="T383" s="136"/>
      <c r="U383" s="136"/>
      <c r="V383" s="136"/>
      <c r="W383" s="136"/>
      <c r="X383" s="136"/>
      <c r="Y383" s="136"/>
      <c r="Z383" s="136"/>
    </row>
    <row r="384" spans="1:26" ht="14.25" customHeight="1">
      <c r="A384" s="136"/>
      <c r="B384" s="136"/>
      <c r="C384" s="136"/>
      <c r="D384" s="136"/>
      <c r="E384" s="136"/>
      <c r="F384" s="136"/>
      <c r="G384" s="136"/>
      <c r="H384" s="136"/>
      <c r="I384" s="140"/>
      <c r="J384" s="136"/>
      <c r="K384" s="136"/>
      <c r="L384" s="136"/>
      <c r="M384" s="136"/>
      <c r="N384" s="136"/>
      <c r="O384" s="136"/>
      <c r="P384" s="136"/>
      <c r="Q384" s="136"/>
      <c r="R384" s="136"/>
      <c r="S384" s="136"/>
      <c r="T384" s="136"/>
      <c r="U384" s="136"/>
      <c r="V384" s="136"/>
      <c r="W384" s="136"/>
      <c r="X384" s="136"/>
      <c r="Y384" s="136"/>
      <c r="Z384" s="136"/>
    </row>
    <row r="385" spans="1:26" ht="14.25" customHeight="1">
      <c r="A385" s="136"/>
      <c r="B385" s="136"/>
      <c r="C385" s="136"/>
      <c r="D385" s="136"/>
      <c r="E385" s="136"/>
      <c r="F385" s="136"/>
      <c r="G385" s="136"/>
      <c r="H385" s="136"/>
      <c r="I385" s="140"/>
      <c r="J385" s="136"/>
      <c r="K385" s="136"/>
      <c r="L385" s="136"/>
      <c r="M385" s="136"/>
      <c r="N385" s="136"/>
      <c r="O385" s="136"/>
      <c r="P385" s="136"/>
      <c r="Q385" s="136"/>
      <c r="R385" s="136"/>
      <c r="S385" s="136"/>
      <c r="T385" s="136"/>
      <c r="U385" s="136"/>
      <c r="V385" s="136"/>
      <c r="W385" s="136"/>
      <c r="X385" s="136"/>
      <c r="Y385" s="136"/>
      <c r="Z385" s="136"/>
    </row>
    <row r="386" spans="1:26" ht="14.25" customHeight="1">
      <c r="A386" s="136"/>
      <c r="B386" s="136"/>
      <c r="C386" s="136"/>
      <c r="D386" s="136"/>
      <c r="E386" s="136"/>
      <c r="F386" s="136"/>
      <c r="G386" s="136"/>
      <c r="H386" s="136"/>
      <c r="I386" s="140"/>
      <c r="J386" s="136"/>
      <c r="K386" s="136"/>
      <c r="L386" s="136"/>
      <c r="M386" s="136"/>
      <c r="N386" s="136"/>
      <c r="O386" s="136"/>
      <c r="P386" s="136"/>
      <c r="Q386" s="136"/>
      <c r="R386" s="136"/>
      <c r="S386" s="136"/>
      <c r="T386" s="136"/>
      <c r="U386" s="136"/>
      <c r="V386" s="136"/>
      <c r="W386" s="136"/>
      <c r="X386" s="136"/>
      <c r="Y386" s="136"/>
      <c r="Z386" s="136"/>
    </row>
    <row r="387" spans="1:26" ht="14.25" customHeight="1">
      <c r="A387" s="136"/>
      <c r="B387" s="136"/>
      <c r="C387" s="136"/>
      <c r="D387" s="136"/>
      <c r="E387" s="136"/>
      <c r="F387" s="136"/>
      <c r="G387" s="136"/>
      <c r="H387" s="136"/>
      <c r="I387" s="140"/>
      <c r="J387" s="136"/>
      <c r="K387" s="136"/>
      <c r="L387" s="136"/>
      <c r="M387" s="136"/>
      <c r="N387" s="136"/>
      <c r="O387" s="136"/>
      <c r="P387" s="136"/>
      <c r="Q387" s="136"/>
      <c r="R387" s="136"/>
      <c r="S387" s="136"/>
      <c r="T387" s="136"/>
      <c r="U387" s="136"/>
      <c r="V387" s="136"/>
      <c r="W387" s="136"/>
      <c r="X387" s="136"/>
      <c r="Y387" s="136"/>
      <c r="Z387" s="136"/>
    </row>
    <row r="388" spans="1:26" ht="14.25" customHeight="1">
      <c r="A388" s="136"/>
      <c r="B388" s="136"/>
      <c r="C388" s="136"/>
      <c r="D388" s="136"/>
      <c r="E388" s="136"/>
      <c r="F388" s="136"/>
      <c r="G388" s="136"/>
      <c r="H388" s="136"/>
      <c r="I388" s="140"/>
      <c r="J388" s="136"/>
      <c r="K388" s="136"/>
      <c r="L388" s="136"/>
      <c r="M388" s="136"/>
      <c r="N388" s="136"/>
      <c r="O388" s="136"/>
      <c r="P388" s="136"/>
      <c r="Q388" s="136"/>
      <c r="R388" s="136"/>
      <c r="S388" s="136"/>
      <c r="T388" s="136"/>
      <c r="U388" s="136"/>
      <c r="V388" s="136"/>
      <c r="W388" s="136"/>
      <c r="X388" s="136"/>
      <c r="Y388" s="136"/>
      <c r="Z388" s="136"/>
    </row>
    <row r="389" spans="1:26" ht="14.25" customHeight="1">
      <c r="A389" s="136"/>
      <c r="B389" s="136"/>
      <c r="C389" s="136"/>
      <c r="D389" s="136"/>
      <c r="E389" s="136"/>
      <c r="F389" s="136"/>
      <c r="G389" s="136"/>
      <c r="H389" s="136"/>
      <c r="I389" s="140"/>
      <c r="J389" s="136"/>
      <c r="K389" s="136"/>
      <c r="L389" s="136"/>
      <c r="M389" s="136"/>
      <c r="N389" s="136"/>
      <c r="O389" s="136"/>
      <c r="P389" s="136"/>
      <c r="Q389" s="136"/>
      <c r="R389" s="136"/>
      <c r="S389" s="136"/>
      <c r="T389" s="136"/>
      <c r="U389" s="136"/>
      <c r="V389" s="136"/>
      <c r="W389" s="136"/>
      <c r="X389" s="136"/>
      <c r="Y389" s="136"/>
      <c r="Z389" s="136"/>
    </row>
    <row r="390" spans="1:26" ht="14.25" customHeight="1">
      <c r="A390" s="136"/>
      <c r="B390" s="136"/>
      <c r="C390" s="136"/>
      <c r="D390" s="136"/>
      <c r="E390" s="136"/>
      <c r="F390" s="136"/>
      <c r="G390" s="136"/>
      <c r="H390" s="136"/>
      <c r="I390" s="140"/>
      <c r="J390" s="136"/>
      <c r="K390" s="136"/>
      <c r="L390" s="136"/>
      <c r="M390" s="136"/>
      <c r="N390" s="136"/>
      <c r="O390" s="136"/>
      <c r="P390" s="136"/>
      <c r="Q390" s="136"/>
      <c r="R390" s="136"/>
      <c r="S390" s="136"/>
      <c r="T390" s="136"/>
      <c r="U390" s="136"/>
      <c r="V390" s="136"/>
      <c r="W390" s="136"/>
      <c r="X390" s="136"/>
      <c r="Y390" s="136"/>
      <c r="Z390" s="136"/>
    </row>
    <row r="391" spans="1:26" ht="14.25" customHeight="1">
      <c r="A391" s="136"/>
      <c r="B391" s="136"/>
      <c r="C391" s="136"/>
      <c r="D391" s="136"/>
      <c r="E391" s="136"/>
      <c r="F391" s="136"/>
      <c r="G391" s="136"/>
      <c r="H391" s="136"/>
      <c r="I391" s="140"/>
      <c r="J391" s="136"/>
      <c r="K391" s="136"/>
      <c r="L391" s="136"/>
      <c r="M391" s="136"/>
      <c r="N391" s="136"/>
      <c r="O391" s="136"/>
      <c r="P391" s="136"/>
      <c r="Q391" s="136"/>
      <c r="R391" s="136"/>
      <c r="S391" s="136"/>
      <c r="T391" s="136"/>
      <c r="U391" s="136"/>
      <c r="V391" s="136"/>
      <c r="W391" s="136"/>
      <c r="X391" s="136"/>
      <c r="Y391" s="136"/>
      <c r="Z391" s="136"/>
    </row>
    <row r="392" spans="1:26" ht="14.25" customHeight="1">
      <c r="A392" s="136"/>
      <c r="B392" s="136"/>
      <c r="C392" s="136"/>
      <c r="D392" s="136"/>
      <c r="E392" s="136"/>
      <c r="F392" s="136"/>
      <c r="G392" s="136"/>
      <c r="H392" s="136"/>
      <c r="I392" s="140"/>
      <c r="J392" s="136"/>
      <c r="K392" s="136"/>
      <c r="L392" s="136"/>
      <c r="M392" s="136"/>
      <c r="N392" s="136"/>
      <c r="O392" s="136"/>
      <c r="P392" s="136"/>
      <c r="Q392" s="136"/>
      <c r="R392" s="136"/>
      <c r="S392" s="136"/>
      <c r="T392" s="136"/>
      <c r="U392" s="136"/>
      <c r="V392" s="136"/>
      <c r="W392" s="136"/>
      <c r="X392" s="136"/>
      <c r="Y392" s="136"/>
      <c r="Z392" s="136"/>
    </row>
    <row r="393" spans="1:26" ht="14.25" customHeight="1">
      <c r="A393" s="136"/>
      <c r="B393" s="136"/>
      <c r="C393" s="136"/>
      <c r="D393" s="136"/>
      <c r="E393" s="136"/>
      <c r="F393" s="136"/>
      <c r="G393" s="136"/>
      <c r="H393" s="136"/>
      <c r="I393" s="140"/>
      <c r="J393" s="136"/>
      <c r="K393" s="136"/>
      <c r="L393" s="136"/>
      <c r="M393" s="136"/>
      <c r="N393" s="136"/>
      <c r="O393" s="136"/>
      <c r="P393" s="136"/>
      <c r="Q393" s="136"/>
      <c r="R393" s="136"/>
      <c r="S393" s="136"/>
      <c r="T393" s="136"/>
      <c r="U393" s="136"/>
      <c r="V393" s="136"/>
      <c r="W393" s="136"/>
      <c r="X393" s="136"/>
      <c r="Y393" s="136"/>
      <c r="Z393" s="136"/>
    </row>
    <row r="394" spans="1:26" ht="14.25" customHeight="1">
      <c r="A394" s="136"/>
      <c r="B394" s="136"/>
      <c r="C394" s="136"/>
      <c r="D394" s="136"/>
      <c r="E394" s="136"/>
      <c r="F394" s="136"/>
      <c r="G394" s="136"/>
      <c r="H394" s="136"/>
      <c r="I394" s="140"/>
      <c r="J394" s="136"/>
      <c r="K394" s="136"/>
      <c r="L394" s="136"/>
      <c r="M394" s="136"/>
      <c r="N394" s="136"/>
      <c r="O394" s="136"/>
      <c r="P394" s="136"/>
      <c r="Q394" s="136"/>
      <c r="R394" s="136"/>
      <c r="S394" s="136"/>
      <c r="T394" s="136"/>
      <c r="U394" s="136"/>
      <c r="V394" s="136"/>
      <c r="W394" s="136"/>
      <c r="X394" s="136"/>
      <c r="Y394" s="136"/>
      <c r="Z394" s="136"/>
    </row>
    <row r="395" spans="1:26" ht="14.25" customHeight="1">
      <c r="A395" s="136"/>
      <c r="B395" s="136"/>
      <c r="C395" s="136"/>
      <c r="D395" s="136"/>
      <c r="E395" s="136"/>
      <c r="F395" s="136"/>
      <c r="G395" s="136"/>
      <c r="H395" s="136"/>
      <c r="I395" s="140"/>
      <c r="J395" s="136"/>
      <c r="K395" s="136"/>
      <c r="L395" s="136"/>
      <c r="M395" s="136"/>
      <c r="N395" s="136"/>
      <c r="O395" s="136"/>
      <c r="P395" s="136"/>
      <c r="Q395" s="136"/>
      <c r="R395" s="136"/>
      <c r="S395" s="136"/>
      <c r="T395" s="136"/>
      <c r="U395" s="136"/>
      <c r="V395" s="136"/>
      <c r="W395" s="136"/>
      <c r="X395" s="136"/>
      <c r="Y395" s="136"/>
      <c r="Z395" s="136"/>
    </row>
    <row r="396" spans="1:26" ht="14.25" customHeight="1">
      <c r="A396" s="136"/>
      <c r="B396" s="136"/>
      <c r="C396" s="136"/>
      <c r="D396" s="136"/>
      <c r="E396" s="136"/>
      <c r="F396" s="136"/>
      <c r="G396" s="136"/>
      <c r="H396" s="136"/>
      <c r="I396" s="140"/>
      <c r="J396" s="136"/>
      <c r="K396" s="136"/>
      <c r="L396" s="136"/>
      <c r="M396" s="136"/>
      <c r="N396" s="136"/>
      <c r="O396" s="136"/>
      <c r="P396" s="136"/>
      <c r="Q396" s="136"/>
      <c r="R396" s="136"/>
      <c r="S396" s="136"/>
      <c r="T396" s="136"/>
      <c r="U396" s="136"/>
      <c r="V396" s="136"/>
      <c r="W396" s="136"/>
      <c r="X396" s="136"/>
      <c r="Y396" s="136"/>
      <c r="Z396" s="136"/>
    </row>
    <row r="397" spans="1:26" ht="14.25" customHeight="1">
      <c r="A397" s="136"/>
      <c r="B397" s="136"/>
      <c r="C397" s="136"/>
      <c r="D397" s="136"/>
      <c r="E397" s="136"/>
      <c r="F397" s="136"/>
      <c r="G397" s="136"/>
      <c r="H397" s="136"/>
      <c r="I397" s="140"/>
      <c r="J397" s="136"/>
      <c r="K397" s="136"/>
      <c r="L397" s="136"/>
      <c r="M397" s="136"/>
      <c r="N397" s="136"/>
      <c r="O397" s="136"/>
      <c r="P397" s="136"/>
      <c r="Q397" s="136"/>
      <c r="R397" s="136"/>
      <c r="S397" s="136"/>
      <c r="T397" s="136"/>
      <c r="U397" s="136"/>
      <c r="V397" s="136"/>
      <c r="W397" s="136"/>
      <c r="X397" s="136"/>
      <c r="Y397" s="136"/>
      <c r="Z397" s="136"/>
    </row>
    <row r="398" spans="1:26" ht="14.25" customHeight="1">
      <c r="A398" s="136"/>
      <c r="B398" s="136"/>
      <c r="C398" s="136"/>
      <c r="D398" s="136"/>
      <c r="E398" s="136"/>
      <c r="F398" s="136"/>
      <c r="G398" s="136"/>
      <c r="H398" s="136"/>
      <c r="I398" s="140"/>
      <c r="J398" s="136"/>
      <c r="K398" s="136"/>
      <c r="L398" s="136"/>
      <c r="M398" s="136"/>
      <c r="N398" s="136"/>
      <c r="O398" s="136"/>
      <c r="P398" s="136"/>
      <c r="Q398" s="136"/>
      <c r="R398" s="136"/>
      <c r="S398" s="136"/>
      <c r="T398" s="136"/>
      <c r="U398" s="136"/>
      <c r="V398" s="136"/>
      <c r="W398" s="136"/>
      <c r="X398" s="136"/>
      <c r="Y398" s="136"/>
      <c r="Z398" s="136"/>
    </row>
    <row r="399" spans="1:26" ht="14.25" customHeight="1">
      <c r="A399" s="136"/>
      <c r="B399" s="136"/>
      <c r="C399" s="136"/>
      <c r="D399" s="136"/>
      <c r="E399" s="136"/>
      <c r="F399" s="136"/>
      <c r="G399" s="136"/>
      <c r="H399" s="136"/>
      <c r="I399" s="140"/>
      <c r="J399" s="136"/>
      <c r="K399" s="136"/>
      <c r="L399" s="136"/>
      <c r="M399" s="136"/>
      <c r="N399" s="136"/>
      <c r="O399" s="136"/>
      <c r="P399" s="136"/>
      <c r="Q399" s="136"/>
      <c r="R399" s="136"/>
      <c r="S399" s="136"/>
      <c r="T399" s="136"/>
      <c r="U399" s="136"/>
      <c r="V399" s="136"/>
      <c r="W399" s="136"/>
      <c r="X399" s="136"/>
      <c r="Y399" s="136"/>
      <c r="Z399" s="136"/>
    </row>
    <row r="400" spans="1:26" ht="14.25" customHeight="1">
      <c r="A400" s="136"/>
      <c r="B400" s="136"/>
      <c r="C400" s="136"/>
      <c r="D400" s="136"/>
      <c r="E400" s="136"/>
      <c r="F400" s="136"/>
      <c r="G400" s="136"/>
      <c r="H400" s="136"/>
      <c r="I400" s="140"/>
      <c r="J400" s="136"/>
      <c r="K400" s="136"/>
      <c r="L400" s="136"/>
      <c r="M400" s="136"/>
      <c r="N400" s="136"/>
      <c r="O400" s="136"/>
      <c r="P400" s="136"/>
      <c r="Q400" s="136"/>
      <c r="R400" s="136"/>
      <c r="S400" s="136"/>
      <c r="T400" s="136"/>
      <c r="U400" s="136"/>
      <c r="V400" s="136"/>
      <c r="W400" s="136"/>
      <c r="X400" s="136"/>
      <c r="Y400" s="136"/>
      <c r="Z400" s="136"/>
    </row>
    <row r="401" spans="1:26" ht="14.25" customHeight="1">
      <c r="A401" s="136"/>
      <c r="B401" s="136"/>
      <c r="C401" s="136"/>
      <c r="D401" s="136"/>
      <c r="E401" s="136"/>
      <c r="F401" s="136"/>
      <c r="G401" s="136"/>
      <c r="H401" s="136"/>
      <c r="I401" s="140"/>
      <c r="J401" s="136"/>
      <c r="K401" s="136"/>
      <c r="L401" s="136"/>
      <c r="M401" s="136"/>
      <c r="N401" s="136"/>
      <c r="O401" s="136"/>
      <c r="P401" s="136"/>
      <c r="Q401" s="136"/>
      <c r="R401" s="136"/>
      <c r="S401" s="136"/>
      <c r="T401" s="136"/>
      <c r="U401" s="136"/>
      <c r="V401" s="136"/>
      <c r="W401" s="136"/>
      <c r="X401" s="136"/>
      <c r="Y401" s="136"/>
      <c r="Z401" s="136"/>
    </row>
    <row r="402" spans="1:26" ht="14.25" customHeight="1">
      <c r="A402" s="136"/>
      <c r="B402" s="136"/>
      <c r="C402" s="136"/>
      <c r="D402" s="136"/>
      <c r="E402" s="136"/>
      <c r="F402" s="136"/>
      <c r="G402" s="136"/>
      <c r="H402" s="136"/>
      <c r="I402" s="140"/>
      <c r="J402" s="136"/>
      <c r="K402" s="136"/>
      <c r="L402" s="136"/>
      <c r="M402" s="136"/>
      <c r="N402" s="136"/>
      <c r="O402" s="136"/>
      <c r="P402" s="136"/>
      <c r="Q402" s="136"/>
      <c r="R402" s="136"/>
      <c r="S402" s="136"/>
      <c r="T402" s="136"/>
      <c r="U402" s="136"/>
      <c r="V402" s="136"/>
      <c r="W402" s="136"/>
      <c r="X402" s="136"/>
      <c r="Y402" s="136"/>
      <c r="Z402" s="136"/>
    </row>
    <row r="403" spans="1:26" ht="14.25" customHeight="1">
      <c r="A403" s="136"/>
      <c r="B403" s="136"/>
      <c r="C403" s="136"/>
      <c r="D403" s="136"/>
      <c r="E403" s="136"/>
      <c r="F403" s="136"/>
      <c r="G403" s="136"/>
      <c r="H403" s="136"/>
      <c r="I403" s="140"/>
      <c r="J403" s="136"/>
      <c r="K403" s="136"/>
      <c r="L403" s="136"/>
      <c r="M403" s="136"/>
      <c r="N403" s="136"/>
      <c r="O403" s="136"/>
      <c r="P403" s="136"/>
      <c r="Q403" s="136"/>
      <c r="R403" s="136"/>
      <c r="S403" s="136"/>
      <c r="T403" s="136"/>
      <c r="U403" s="136"/>
      <c r="V403" s="136"/>
      <c r="W403" s="136"/>
      <c r="X403" s="136"/>
      <c r="Y403" s="136"/>
      <c r="Z403" s="136"/>
    </row>
    <row r="404" spans="1:26" ht="14.25" customHeight="1">
      <c r="A404" s="136"/>
      <c r="B404" s="136"/>
      <c r="C404" s="136"/>
      <c r="D404" s="136"/>
      <c r="E404" s="136"/>
      <c r="F404" s="136"/>
      <c r="G404" s="136"/>
      <c r="H404" s="136"/>
      <c r="I404" s="140"/>
      <c r="J404" s="136"/>
      <c r="K404" s="136"/>
      <c r="L404" s="136"/>
      <c r="M404" s="136"/>
      <c r="N404" s="136"/>
      <c r="O404" s="136"/>
      <c r="P404" s="136"/>
      <c r="Q404" s="136"/>
      <c r="R404" s="136"/>
      <c r="S404" s="136"/>
      <c r="T404" s="136"/>
      <c r="U404" s="136"/>
      <c r="V404" s="136"/>
      <c r="W404" s="136"/>
      <c r="X404" s="136"/>
      <c r="Y404" s="136"/>
      <c r="Z404" s="136"/>
    </row>
    <row r="405" spans="1:26" ht="14.25" customHeight="1">
      <c r="A405" s="136"/>
      <c r="B405" s="136"/>
      <c r="C405" s="136"/>
      <c r="D405" s="136"/>
      <c r="E405" s="136"/>
      <c r="F405" s="136"/>
      <c r="G405" s="136"/>
      <c r="H405" s="136"/>
      <c r="I405" s="140"/>
      <c r="J405" s="136"/>
      <c r="K405" s="136"/>
      <c r="L405" s="136"/>
      <c r="M405" s="136"/>
      <c r="N405" s="136"/>
      <c r="O405" s="136"/>
      <c r="P405" s="136"/>
      <c r="Q405" s="136"/>
      <c r="R405" s="136"/>
      <c r="S405" s="136"/>
      <c r="T405" s="136"/>
      <c r="U405" s="136"/>
      <c r="V405" s="136"/>
      <c r="W405" s="136"/>
      <c r="X405" s="136"/>
      <c r="Y405" s="136"/>
      <c r="Z405" s="136"/>
    </row>
    <row r="406" spans="1:26" ht="14.25" customHeight="1">
      <c r="A406" s="136"/>
      <c r="B406" s="136"/>
      <c r="C406" s="136"/>
      <c r="D406" s="136"/>
      <c r="E406" s="136"/>
      <c r="F406" s="136"/>
      <c r="G406" s="136"/>
      <c r="H406" s="136"/>
      <c r="I406" s="140"/>
      <c r="J406" s="136"/>
      <c r="K406" s="136"/>
      <c r="L406" s="136"/>
      <c r="M406" s="136"/>
      <c r="N406" s="136"/>
      <c r="O406" s="136"/>
      <c r="P406" s="136"/>
      <c r="Q406" s="136"/>
      <c r="R406" s="136"/>
      <c r="S406" s="136"/>
      <c r="T406" s="136"/>
      <c r="U406" s="136"/>
      <c r="V406" s="136"/>
      <c r="W406" s="136"/>
      <c r="X406" s="136"/>
      <c r="Y406" s="136"/>
      <c r="Z406" s="136"/>
    </row>
    <row r="407" spans="1:26" ht="14.25" customHeight="1">
      <c r="A407" s="136"/>
      <c r="B407" s="136"/>
      <c r="C407" s="136"/>
      <c r="D407" s="136"/>
      <c r="E407" s="136"/>
      <c r="F407" s="136"/>
      <c r="G407" s="136"/>
      <c r="H407" s="136"/>
      <c r="I407" s="140"/>
      <c r="J407" s="136"/>
      <c r="K407" s="136"/>
      <c r="L407" s="136"/>
      <c r="M407" s="136"/>
      <c r="N407" s="136"/>
      <c r="O407" s="136"/>
      <c r="P407" s="136"/>
      <c r="Q407" s="136"/>
      <c r="R407" s="136"/>
      <c r="S407" s="136"/>
      <c r="T407" s="136"/>
      <c r="U407" s="136"/>
      <c r="V407" s="136"/>
      <c r="W407" s="136"/>
      <c r="X407" s="136"/>
      <c r="Y407" s="136"/>
      <c r="Z407" s="136"/>
    </row>
    <row r="408" spans="1:26" ht="14.25" customHeight="1">
      <c r="A408" s="136"/>
      <c r="B408" s="136"/>
      <c r="C408" s="136"/>
      <c r="D408" s="136"/>
      <c r="E408" s="136"/>
      <c r="F408" s="136"/>
      <c r="G408" s="136"/>
      <c r="H408" s="136"/>
      <c r="I408" s="140"/>
      <c r="J408" s="136"/>
      <c r="K408" s="136"/>
      <c r="L408" s="136"/>
      <c r="M408" s="136"/>
      <c r="N408" s="136"/>
      <c r="O408" s="136"/>
      <c r="P408" s="136"/>
      <c r="Q408" s="136"/>
      <c r="R408" s="136"/>
      <c r="S408" s="136"/>
      <c r="T408" s="136"/>
      <c r="U408" s="136"/>
      <c r="V408" s="136"/>
      <c r="W408" s="136"/>
      <c r="X408" s="136"/>
      <c r="Y408" s="136"/>
      <c r="Z408" s="136"/>
    </row>
    <row r="409" spans="1:26" ht="14.25" customHeight="1">
      <c r="A409" s="136"/>
      <c r="B409" s="136"/>
      <c r="C409" s="136"/>
      <c r="D409" s="136"/>
      <c r="E409" s="136"/>
      <c r="F409" s="136"/>
      <c r="G409" s="136"/>
      <c r="H409" s="136"/>
      <c r="I409" s="140"/>
      <c r="J409" s="136"/>
      <c r="K409" s="136"/>
      <c r="L409" s="136"/>
      <c r="M409" s="136"/>
      <c r="N409" s="136"/>
      <c r="O409" s="136"/>
      <c r="P409" s="136"/>
      <c r="Q409" s="136"/>
      <c r="R409" s="136"/>
      <c r="S409" s="136"/>
      <c r="T409" s="136"/>
      <c r="U409" s="136"/>
      <c r="V409" s="136"/>
      <c r="W409" s="136"/>
      <c r="X409" s="136"/>
      <c r="Y409" s="136"/>
      <c r="Z409" s="136"/>
    </row>
    <row r="410" spans="1:26" ht="14.25" customHeight="1">
      <c r="A410" s="136"/>
      <c r="B410" s="136"/>
      <c r="C410" s="136"/>
      <c r="D410" s="136"/>
      <c r="E410" s="136"/>
      <c r="F410" s="136"/>
      <c r="G410" s="136"/>
      <c r="H410" s="136"/>
      <c r="I410" s="140"/>
      <c r="J410" s="136"/>
      <c r="K410" s="136"/>
      <c r="L410" s="136"/>
      <c r="M410" s="136"/>
      <c r="N410" s="136"/>
      <c r="O410" s="136"/>
      <c r="P410" s="136"/>
      <c r="Q410" s="136"/>
      <c r="R410" s="136"/>
      <c r="S410" s="136"/>
      <c r="T410" s="136"/>
      <c r="U410" s="136"/>
      <c r="V410" s="136"/>
      <c r="W410" s="136"/>
      <c r="X410" s="136"/>
      <c r="Y410" s="136"/>
      <c r="Z410" s="136"/>
    </row>
    <row r="411" spans="1:26" ht="14.25" customHeight="1">
      <c r="A411" s="136"/>
      <c r="B411" s="136"/>
      <c r="C411" s="136"/>
      <c r="D411" s="136"/>
      <c r="E411" s="136"/>
      <c r="F411" s="136"/>
      <c r="G411" s="136"/>
      <c r="H411" s="136"/>
      <c r="I411" s="140"/>
      <c r="J411" s="136"/>
      <c r="K411" s="136"/>
      <c r="L411" s="136"/>
      <c r="M411" s="136"/>
      <c r="N411" s="136"/>
      <c r="O411" s="136"/>
      <c r="P411" s="136"/>
      <c r="Q411" s="136"/>
      <c r="R411" s="136"/>
      <c r="S411" s="136"/>
      <c r="T411" s="136"/>
      <c r="U411" s="136"/>
      <c r="V411" s="136"/>
      <c r="W411" s="136"/>
      <c r="X411" s="136"/>
      <c r="Y411" s="136"/>
      <c r="Z411" s="136"/>
    </row>
    <row r="412" spans="1:26" ht="14.25" customHeight="1">
      <c r="A412" s="136"/>
      <c r="B412" s="136"/>
      <c r="C412" s="136"/>
      <c r="D412" s="136"/>
      <c r="E412" s="136"/>
      <c r="F412" s="136"/>
      <c r="G412" s="136"/>
      <c r="H412" s="136"/>
      <c r="I412" s="140"/>
      <c r="J412" s="136"/>
      <c r="K412" s="136"/>
      <c r="L412" s="136"/>
      <c r="M412" s="136"/>
      <c r="N412" s="136"/>
      <c r="O412" s="136"/>
      <c r="P412" s="136"/>
      <c r="Q412" s="136"/>
      <c r="R412" s="136"/>
      <c r="S412" s="136"/>
      <c r="T412" s="136"/>
      <c r="U412" s="136"/>
      <c r="V412" s="136"/>
      <c r="W412" s="136"/>
      <c r="X412" s="136"/>
      <c r="Y412" s="136"/>
      <c r="Z412" s="136"/>
    </row>
    <row r="413" spans="1:26" ht="14.25" customHeight="1">
      <c r="A413" s="136"/>
      <c r="B413" s="136"/>
      <c r="C413" s="136"/>
      <c r="D413" s="136"/>
      <c r="E413" s="136"/>
      <c r="F413" s="136"/>
      <c r="G413" s="136"/>
      <c r="H413" s="136"/>
      <c r="I413" s="140"/>
      <c r="J413" s="136"/>
      <c r="K413" s="136"/>
      <c r="L413" s="136"/>
      <c r="M413" s="136"/>
      <c r="N413" s="136"/>
      <c r="O413" s="136"/>
      <c r="P413" s="136"/>
      <c r="Q413" s="136"/>
      <c r="R413" s="136"/>
      <c r="S413" s="136"/>
      <c r="T413" s="136"/>
      <c r="U413" s="136"/>
      <c r="V413" s="136"/>
      <c r="W413" s="136"/>
      <c r="X413" s="136"/>
      <c r="Y413" s="136"/>
      <c r="Z413" s="136"/>
    </row>
    <row r="414" spans="1:26" ht="14.25" customHeight="1">
      <c r="A414" s="136"/>
      <c r="B414" s="136"/>
      <c r="C414" s="136"/>
      <c r="D414" s="136"/>
      <c r="E414" s="136"/>
      <c r="F414" s="136"/>
      <c r="G414" s="136"/>
      <c r="H414" s="136"/>
      <c r="I414" s="140"/>
      <c r="J414" s="136"/>
      <c r="K414" s="136"/>
      <c r="L414" s="136"/>
      <c r="M414" s="136"/>
      <c r="N414" s="136"/>
      <c r="O414" s="136"/>
      <c r="P414" s="136"/>
      <c r="Q414" s="136"/>
      <c r="R414" s="136"/>
      <c r="S414" s="136"/>
      <c r="T414" s="136"/>
      <c r="U414" s="136"/>
      <c r="V414" s="136"/>
      <c r="W414" s="136"/>
      <c r="X414" s="136"/>
      <c r="Y414" s="136"/>
      <c r="Z414" s="136"/>
    </row>
    <row r="415" spans="1:26" ht="14.25" customHeight="1">
      <c r="A415" s="136"/>
      <c r="B415" s="136"/>
      <c r="C415" s="136"/>
      <c r="D415" s="136"/>
      <c r="E415" s="136"/>
      <c r="F415" s="136"/>
      <c r="G415" s="136"/>
      <c r="H415" s="136"/>
      <c r="I415" s="140"/>
      <c r="J415" s="136"/>
      <c r="K415" s="136"/>
      <c r="L415" s="136"/>
      <c r="M415" s="136"/>
      <c r="N415" s="136"/>
      <c r="O415" s="136"/>
      <c r="P415" s="136"/>
      <c r="Q415" s="136"/>
      <c r="R415" s="136"/>
      <c r="S415" s="136"/>
      <c r="T415" s="136"/>
      <c r="U415" s="136"/>
      <c r="V415" s="136"/>
      <c r="W415" s="136"/>
      <c r="X415" s="136"/>
      <c r="Y415" s="136"/>
      <c r="Z415" s="136"/>
    </row>
    <row r="416" spans="1:26" ht="14.25" customHeight="1">
      <c r="A416" s="136"/>
      <c r="B416" s="136"/>
      <c r="C416" s="136"/>
      <c r="D416" s="136"/>
      <c r="E416" s="136"/>
      <c r="F416" s="136"/>
      <c r="G416" s="136"/>
      <c r="H416" s="136"/>
      <c r="I416" s="140"/>
      <c r="J416" s="136"/>
      <c r="K416" s="136"/>
      <c r="L416" s="136"/>
      <c r="M416" s="136"/>
      <c r="N416" s="136"/>
      <c r="O416" s="136"/>
      <c r="P416" s="136"/>
      <c r="Q416" s="136"/>
      <c r="R416" s="136"/>
      <c r="S416" s="136"/>
      <c r="T416" s="136"/>
      <c r="U416" s="136"/>
      <c r="V416" s="136"/>
      <c r="W416" s="136"/>
      <c r="X416" s="136"/>
      <c r="Y416" s="136"/>
      <c r="Z416" s="136"/>
    </row>
    <row r="417" spans="1:26" ht="14.25" customHeight="1">
      <c r="A417" s="136"/>
      <c r="B417" s="136"/>
      <c r="C417" s="136"/>
      <c r="D417" s="136"/>
      <c r="E417" s="136"/>
      <c r="F417" s="136"/>
      <c r="G417" s="136"/>
      <c r="H417" s="136"/>
      <c r="I417" s="140"/>
      <c r="J417" s="136"/>
      <c r="K417" s="136"/>
      <c r="L417" s="136"/>
      <c r="M417" s="136"/>
      <c r="N417" s="136"/>
      <c r="O417" s="136"/>
      <c r="P417" s="136"/>
      <c r="Q417" s="136"/>
      <c r="R417" s="136"/>
      <c r="S417" s="136"/>
      <c r="T417" s="136"/>
      <c r="U417" s="136"/>
      <c r="V417" s="136"/>
      <c r="W417" s="136"/>
      <c r="X417" s="136"/>
      <c r="Y417" s="136"/>
      <c r="Z417" s="136"/>
    </row>
    <row r="418" spans="1:26" ht="14.25" customHeight="1">
      <c r="A418" s="136"/>
      <c r="B418" s="136"/>
      <c r="C418" s="136"/>
      <c r="D418" s="136"/>
      <c r="E418" s="136"/>
      <c r="F418" s="136"/>
      <c r="G418" s="136"/>
      <c r="H418" s="136"/>
      <c r="I418" s="140"/>
      <c r="J418" s="136"/>
      <c r="K418" s="136"/>
      <c r="L418" s="136"/>
      <c r="M418" s="136"/>
      <c r="N418" s="136"/>
      <c r="O418" s="136"/>
      <c r="P418" s="136"/>
      <c r="Q418" s="136"/>
      <c r="R418" s="136"/>
      <c r="S418" s="136"/>
      <c r="T418" s="136"/>
      <c r="U418" s="136"/>
      <c r="V418" s="136"/>
      <c r="W418" s="136"/>
      <c r="X418" s="136"/>
      <c r="Y418" s="136"/>
      <c r="Z418" s="136"/>
    </row>
    <row r="419" spans="1:26" ht="14.25" customHeight="1">
      <c r="A419" s="136"/>
      <c r="B419" s="136"/>
      <c r="C419" s="136"/>
      <c r="D419" s="136"/>
      <c r="E419" s="136"/>
      <c r="F419" s="136"/>
      <c r="G419" s="136"/>
      <c r="H419" s="136"/>
      <c r="I419" s="140"/>
      <c r="J419" s="136"/>
      <c r="K419" s="136"/>
      <c r="L419" s="136"/>
      <c r="M419" s="136"/>
      <c r="N419" s="136"/>
      <c r="O419" s="136"/>
      <c r="P419" s="136"/>
      <c r="Q419" s="136"/>
      <c r="R419" s="136"/>
      <c r="S419" s="136"/>
      <c r="T419" s="136"/>
      <c r="U419" s="136"/>
      <c r="V419" s="136"/>
      <c r="W419" s="136"/>
      <c r="X419" s="136"/>
      <c r="Y419" s="136"/>
      <c r="Z419" s="136"/>
    </row>
    <row r="420" spans="1:26" ht="14.25" customHeight="1">
      <c r="A420" s="136"/>
      <c r="B420" s="136"/>
      <c r="C420" s="136"/>
      <c r="D420" s="136"/>
      <c r="E420" s="136"/>
      <c r="F420" s="136"/>
      <c r="G420" s="136"/>
      <c r="H420" s="136"/>
      <c r="I420" s="140"/>
      <c r="J420" s="136"/>
      <c r="K420" s="136"/>
      <c r="L420" s="136"/>
      <c r="M420" s="136"/>
      <c r="N420" s="136"/>
      <c r="O420" s="136"/>
      <c r="P420" s="136"/>
      <c r="Q420" s="136"/>
      <c r="R420" s="136"/>
      <c r="S420" s="136"/>
      <c r="T420" s="136"/>
      <c r="U420" s="136"/>
      <c r="V420" s="136"/>
      <c r="W420" s="136"/>
      <c r="X420" s="136"/>
      <c r="Y420" s="136"/>
      <c r="Z420" s="136"/>
    </row>
    <row r="421" spans="1:26" ht="14.25" customHeight="1">
      <c r="A421" s="136"/>
      <c r="B421" s="136"/>
      <c r="C421" s="136"/>
      <c r="D421" s="136"/>
      <c r="E421" s="136"/>
      <c r="F421" s="136"/>
      <c r="G421" s="136"/>
      <c r="H421" s="136"/>
      <c r="I421" s="140"/>
      <c r="J421" s="136"/>
      <c r="K421" s="136"/>
      <c r="L421" s="136"/>
      <c r="M421" s="136"/>
      <c r="N421" s="136"/>
      <c r="O421" s="136"/>
      <c r="P421" s="136"/>
      <c r="Q421" s="136"/>
      <c r="R421" s="136"/>
      <c r="S421" s="136"/>
      <c r="T421" s="136"/>
      <c r="U421" s="136"/>
      <c r="V421" s="136"/>
      <c r="W421" s="136"/>
      <c r="X421" s="136"/>
      <c r="Y421" s="136"/>
      <c r="Z421" s="136"/>
    </row>
    <row r="422" spans="1:26" ht="14.25" customHeight="1">
      <c r="A422" s="136"/>
      <c r="B422" s="136"/>
      <c r="C422" s="136"/>
      <c r="D422" s="136"/>
      <c r="E422" s="136"/>
      <c r="F422" s="136"/>
      <c r="G422" s="136"/>
      <c r="H422" s="136"/>
      <c r="I422" s="140"/>
      <c r="J422" s="136"/>
      <c r="K422" s="136"/>
      <c r="L422" s="136"/>
      <c r="M422" s="136"/>
      <c r="N422" s="136"/>
      <c r="O422" s="136"/>
      <c r="P422" s="136"/>
      <c r="Q422" s="136"/>
      <c r="R422" s="136"/>
      <c r="S422" s="136"/>
      <c r="T422" s="136"/>
      <c r="U422" s="136"/>
      <c r="V422" s="136"/>
      <c r="W422" s="136"/>
      <c r="X422" s="136"/>
      <c r="Y422" s="136"/>
      <c r="Z422" s="136"/>
    </row>
    <row r="423" spans="1:26" ht="14.25" customHeight="1">
      <c r="A423" s="136"/>
      <c r="B423" s="136"/>
      <c r="C423" s="136"/>
      <c r="D423" s="136"/>
      <c r="E423" s="136"/>
      <c r="F423" s="136"/>
      <c r="G423" s="136"/>
      <c r="H423" s="136"/>
      <c r="I423" s="140"/>
      <c r="J423" s="136"/>
      <c r="K423" s="136"/>
      <c r="L423" s="136"/>
      <c r="M423" s="136"/>
      <c r="N423" s="136"/>
      <c r="O423" s="136"/>
      <c r="P423" s="136"/>
      <c r="Q423" s="136"/>
      <c r="R423" s="136"/>
      <c r="S423" s="136"/>
      <c r="T423" s="136"/>
      <c r="U423" s="136"/>
      <c r="V423" s="136"/>
      <c r="W423" s="136"/>
      <c r="X423" s="136"/>
      <c r="Y423" s="136"/>
      <c r="Z423" s="136"/>
    </row>
    <row r="424" spans="1:26" ht="14.25" customHeight="1">
      <c r="A424" s="136"/>
      <c r="B424" s="136"/>
      <c r="C424" s="136"/>
      <c r="D424" s="136"/>
      <c r="E424" s="136"/>
      <c r="F424" s="136"/>
      <c r="G424" s="136"/>
      <c r="H424" s="136"/>
      <c r="I424" s="140"/>
      <c r="J424" s="136"/>
      <c r="K424" s="136"/>
      <c r="L424" s="136"/>
      <c r="M424" s="136"/>
      <c r="N424" s="136"/>
      <c r="O424" s="136"/>
      <c r="P424" s="136"/>
      <c r="Q424" s="136"/>
      <c r="R424" s="136"/>
      <c r="S424" s="136"/>
      <c r="T424" s="136"/>
      <c r="U424" s="136"/>
      <c r="V424" s="136"/>
      <c r="W424" s="136"/>
      <c r="X424" s="136"/>
      <c r="Y424" s="136"/>
      <c r="Z424" s="136"/>
    </row>
    <row r="425" spans="1:26" ht="14.25" customHeight="1">
      <c r="A425" s="136"/>
      <c r="B425" s="136"/>
      <c r="C425" s="136"/>
      <c r="D425" s="136"/>
      <c r="E425" s="136"/>
      <c r="F425" s="136"/>
      <c r="G425" s="136"/>
      <c r="H425" s="136"/>
      <c r="I425" s="140"/>
      <c r="J425" s="136"/>
      <c r="K425" s="136"/>
      <c r="L425" s="136"/>
      <c r="M425" s="136"/>
      <c r="N425" s="136"/>
      <c r="O425" s="136"/>
      <c r="P425" s="136"/>
      <c r="Q425" s="136"/>
      <c r="R425" s="136"/>
      <c r="S425" s="136"/>
      <c r="T425" s="136"/>
      <c r="U425" s="136"/>
      <c r="V425" s="136"/>
      <c r="W425" s="136"/>
      <c r="X425" s="136"/>
      <c r="Y425" s="136"/>
      <c r="Z425" s="136"/>
    </row>
    <row r="426" spans="1:26" ht="14.25" customHeight="1">
      <c r="A426" s="136"/>
      <c r="B426" s="136"/>
      <c r="C426" s="136"/>
      <c r="D426" s="136"/>
      <c r="E426" s="136"/>
      <c r="F426" s="136"/>
      <c r="G426" s="136"/>
      <c r="H426" s="136"/>
      <c r="I426" s="140"/>
      <c r="J426" s="136"/>
      <c r="K426" s="136"/>
      <c r="L426" s="136"/>
      <c r="M426" s="136"/>
      <c r="N426" s="136"/>
      <c r="O426" s="136"/>
      <c r="P426" s="136"/>
      <c r="Q426" s="136"/>
      <c r="R426" s="136"/>
      <c r="S426" s="136"/>
      <c r="T426" s="136"/>
      <c r="U426" s="136"/>
      <c r="V426" s="136"/>
      <c r="W426" s="136"/>
      <c r="X426" s="136"/>
      <c r="Y426" s="136"/>
      <c r="Z426" s="136"/>
    </row>
    <row r="427" spans="1:26" ht="14.25" customHeight="1">
      <c r="A427" s="136"/>
      <c r="B427" s="136"/>
      <c r="C427" s="136"/>
      <c r="D427" s="136"/>
      <c r="E427" s="136"/>
      <c r="F427" s="136"/>
      <c r="G427" s="136"/>
      <c r="H427" s="136"/>
      <c r="I427" s="140"/>
      <c r="J427" s="136"/>
      <c r="K427" s="136"/>
      <c r="L427" s="136"/>
      <c r="M427" s="136"/>
      <c r="N427" s="136"/>
      <c r="O427" s="136"/>
      <c r="P427" s="136"/>
      <c r="Q427" s="136"/>
      <c r="R427" s="136"/>
      <c r="S427" s="136"/>
      <c r="T427" s="136"/>
      <c r="U427" s="136"/>
      <c r="V427" s="136"/>
      <c r="W427" s="136"/>
      <c r="X427" s="136"/>
      <c r="Y427" s="136"/>
      <c r="Z427" s="136"/>
    </row>
    <row r="428" spans="1:26" ht="14.25" customHeight="1">
      <c r="A428" s="136"/>
      <c r="B428" s="136"/>
      <c r="C428" s="136"/>
      <c r="D428" s="136"/>
      <c r="E428" s="136"/>
      <c r="F428" s="136"/>
      <c r="G428" s="136"/>
      <c r="H428" s="136"/>
      <c r="I428" s="140"/>
      <c r="J428" s="136"/>
      <c r="K428" s="136"/>
      <c r="L428" s="136"/>
      <c r="M428" s="136"/>
      <c r="N428" s="136"/>
      <c r="O428" s="136"/>
      <c r="P428" s="136"/>
      <c r="Q428" s="136"/>
      <c r="R428" s="136"/>
      <c r="S428" s="136"/>
      <c r="T428" s="136"/>
      <c r="U428" s="136"/>
      <c r="V428" s="136"/>
      <c r="W428" s="136"/>
      <c r="X428" s="136"/>
      <c r="Y428" s="136"/>
      <c r="Z428" s="136"/>
    </row>
    <row r="429" spans="1:26" ht="14.25" customHeight="1">
      <c r="A429" s="136"/>
      <c r="B429" s="136"/>
      <c r="C429" s="136"/>
      <c r="D429" s="136"/>
      <c r="E429" s="136"/>
      <c r="F429" s="136"/>
      <c r="G429" s="136"/>
      <c r="H429" s="136"/>
      <c r="I429" s="140"/>
      <c r="J429" s="136"/>
      <c r="K429" s="136"/>
      <c r="L429" s="136"/>
      <c r="M429" s="136"/>
      <c r="N429" s="136"/>
      <c r="O429" s="136"/>
      <c r="P429" s="136"/>
      <c r="Q429" s="136"/>
      <c r="R429" s="136"/>
      <c r="S429" s="136"/>
      <c r="T429" s="136"/>
      <c r="U429" s="136"/>
      <c r="V429" s="136"/>
      <c r="W429" s="136"/>
      <c r="X429" s="136"/>
      <c r="Y429" s="136"/>
      <c r="Z429" s="136"/>
    </row>
    <row r="430" spans="1:26" ht="14.25" customHeight="1">
      <c r="A430" s="136"/>
      <c r="B430" s="136"/>
      <c r="C430" s="136"/>
      <c r="D430" s="136"/>
      <c r="E430" s="136"/>
      <c r="F430" s="136"/>
      <c r="G430" s="136"/>
      <c r="H430" s="136"/>
      <c r="I430" s="140"/>
      <c r="J430" s="136"/>
      <c r="K430" s="136"/>
      <c r="L430" s="136"/>
      <c r="M430" s="136"/>
      <c r="N430" s="136"/>
      <c r="O430" s="136"/>
      <c r="P430" s="136"/>
      <c r="Q430" s="136"/>
      <c r="R430" s="136"/>
      <c r="S430" s="136"/>
      <c r="T430" s="136"/>
      <c r="U430" s="136"/>
      <c r="V430" s="136"/>
      <c r="W430" s="136"/>
      <c r="X430" s="136"/>
      <c r="Y430" s="136"/>
      <c r="Z430" s="136"/>
    </row>
    <row r="431" spans="1:26" ht="14.25" customHeight="1">
      <c r="A431" s="136"/>
      <c r="B431" s="136"/>
      <c r="C431" s="136"/>
      <c r="D431" s="136"/>
      <c r="E431" s="136"/>
      <c r="F431" s="136"/>
      <c r="G431" s="136"/>
      <c r="H431" s="136"/>
      <c r="I431" s="140"/>
      <c r="J431" s="136"/>
      <c r="K431" s="136"/>
      <c r="L431" s="136"/>
      <c r="M431" s="136"/>
      <c r="N431" s="136"/>
      <c r="O431" s="136"/>
      <c r="P431" s="136"/>
      <c r="Q431" s="136"/>
      <c r="R431" s="136"/>
      <c r="S431" s="136"/>
      <c r="T431" s="136"/>
      <c r="U431" s="136"/>
      <c r="V431" s="136"/>
      <c r="W431" s="136"/>
      <c r="X431" s="136"/>
      <c r="Y431" s="136"/>
      <c r="Z431" s="136"/>
    </row>
    <row r="432" spans="1:26" ht="14.25" customHeight="1">
      <c r="A432" s="136"/>
      <c r="B432" s="136"/>
      <c r="C432" s="136"/>
      <c r="D432" s="136"/>
      <c r="E432" s="136"/>
      <c r="F432" s="136"/>
      <c r="G432" s="136"/>
      <c r="H432" s="136"/>
      <c r="I432" s="140"/>
      <c r="J432" s="136"/>
      <c r="K432" s="136"/>
      <c r="L432" s="136"/>
      <c r="M432" s="136"/>
      <c r="N432" s="136"/>
      <c r="O432" s="136"/>
      <c r="P432" s="136"/>
      <c r="Q432" s="136"/>
      <c r="R432" s="136"/>
      <c r="S432" s="136"/>
      <c r="T432" s="136"/>
      <c r="U432" s="136"/>
      <c r="V432" s="136"/>
      <c r="W432" s="136"/>
      <c r="X432" s="136"/>
      <c r="Y432" s="136"/>
      <c r="Z432" s="136"/>
    </row>
    <row r="433" spans="1:26" ht="14.25" customHeight="1">
      <c r="A433" s="136"/>
      <c r="B433" s="136"/>
      <c r="C433" s="136"/>
      <c r="D433" s="136"/>
      <c r="E433" s="136"/>
      <c r="F433" s="136"/>
      <c r="G433" s="136"/>
      <c r="H433" s="136"/>
      <c r="I433" s="140"/>
      <c r="J433" s="136"/>
      <c r="K433" s="136"/>
      <c r="L433" s="136"/>
      <c r="M433" s="136"/>
      <c r="N433" s="136"/>
      <c r="O433" s="136"/>
      <c r="P433" s="136"/>
      <c r="Q433" s="136"/>
      <c r="R433" s="136"/>
      <c r="S433" s="136"/>
      <c r="T433" s="136"/>
      <c r="U433" s="136"/>
      <c r="V433" s="136"/>
      <c r="W433" s="136"/>
      <c r="X433" s="136"/>
      <c r="Y433" s="136"/>
      <c r="Z433" s="136"/>
    </row>
    <row r="434" spans="1:26" ht="14.25" customHeight="1">
      <c r="A434" s="136"/>
      <c r="B434" s="136"/>
      <c r="C434" s="136"/>
      <c r="D434" s="136"/>
      <c r="E434" s="136"/>
      <c r="F434" s="136"/>
      <c r="G434" s="136"/>
      <c r="H434" s="136"/>
      <c r="I434" s="140"/>
      <c r="J434" s="136"/>
      <c r="K434" s="136"/>
      <c r="L434" s="136"/>
      <c r="M434" s="136"/>
      <c r="N434" s="136"/>
      <c r="O434" s="136"/>
      <c r="P434" s="136"/>
      <c r="Q434" s="136"/>
      <c r="R434" s="136"/>
      <c r="S434" s="136"/>
      <c r="T434" s="136"/>
      <c r="U434" s="136"/>
      <c r="V434" s="136"/>
      <c r="W434" s="136"/>
      <c r="X434" s="136"/>
      <c r="Y434" s="136"/>
      <c r="Z434" s="136"/>
    </row>
    <row r="435" spans="1:26" ht="14.25" customHeight="1">
      <c r="A435" s="136"/>
      <c r="B435" s="136"/>
      <c r="C435" s="136"/>
      <c r="D435" s="136"/>
      <c r="E435" s="136"/>
      <c r="F435" s="136"/>
      <c r="G435" s="136"/>
      <c r="H435" s="136"/>
      <c r="I435" s="140"/>
      <c r="J435" s="136"/>
      <c r="K435" s="136"/>
      <c r="L435" s="136"/>
      <c r="M435" s="136"/>
      <c r="N435" s="136"/>
      <c r="O435" s="136"/>
      <c r="P435" s="136"/>
      <c r="Q435" s="136"/>
      <c r="R435" s="136"/>
      <c r="S435" s="136"/>
      <c r="T435" s="136"/>
      <c r="U435" s="136"/>
      <c r="V435" s="136"/>
      <c r="W435" s="136"/>
      <c r="X435" s="136"/>
      <c r="Y435" s="136"/>
      <c r="Z435" s="136"/>
    </row>
    <row r="436" spans="1:26" ht="14.25" customHeight="1">
      <c r="A436" s="136"/>
      <c r="B436" s="136"/>
      <c r="C436" s="136"/>
      <c r="D436" s="136"/>
      <c r="E436" s="136"/>
      <c r="F436" s="136"/>
      <c r="G436" s="136"/>
      <c r="H436" s="136"/>
      <c r="I436" s="140"/>
      <c r="J436" s="136"/>
      <c r="K436" s="136"/>
      <c r="L436" s="136"/>
      <c r="M436" s="136"/>
      <c r="N436" s="136"/>
      <c r="O436" s="136"/>
      <c r="P436" s="136"/>
      <c r="Q436" s="136"/>
      <c r="R436" s="136"/>
      <c r="S436" s="136"/>
      <c r="T436" s="136"/>
      <c r="U436" s="136"/>
      <c r="V436" s="136"/>
      <c r="W436" s="136"/>
      <c r="X436" s="136"/>
      <c r="Y436" s="136"/>
      <c r="Z436" s="136"/>
    </row>
    <row r="437" spans="1:26" ht="14.25" customHeight="1">
      <c r="A437" s="136"/>
      <c r="B437" s="136"/>
      <c r="C437" s="136"/>
      <c r="D437" s="136"/>
      <c r="E437" s="136"/>
      <c r="F437" s="136"/>
      <c r="G437" s="136"/>
      <c r="H437" s="136"/>
      <c r="I437" s="140"/>
      <c r="J437" s="136"/>
      <c r="K437" s="136"/>
      <c r="L437" s="136"/>
      <c r="M437" s="136"/>
      <c r="N437" s="136"/>
      <c r="O437" s="136"/>
      <c r="P437" s="136"/>
      <c r="Q437" s="136"/>
      <c r="R437" s="136"/>
      <c r="S437" s="136"/>
      <c r="T437" s="136"/>
      <c r="U437" s="136"/>
      <c r="V437" s="136"/>
      <c r="W437" s="136"/>
      <c r="X437" s="136"/>
      <c r="Y437" s="136"/>
      <c r="Z437" s="136"/>
    </row>
    <row r="438" spans="1:26" ht="14.25" customHeight="1">
      <c r="A438" s="136"/>
      <c r="B438" s="136"/>
      <c r="C438" s="136"/>
      <c r="D438" s="136"/>
      <c r="E438" s="136"/>
      <c r="F438" s="136"/>
      <c r="G438" s="136"/>
      <c r="H438" s="136"/>
      <c r="I438" s="140"/>
      <c r="J438" s="136"/>
      <c r="K438" s="136"/>
      <c r="L438" s="136"/>
      <c r="M438" s="136"/>
      <c r="N438" s="136"/>
      <c r="O438" s="136"/>
      <c r="P438" s="136"/>
      <c r="Q438" s="136"/>
      <c r="R438" s="136"/>
      <c r="S438" s="136"/>
      <c r="T438" s="136"/>
      <c r="U438" s="136"/>
      <c r="V438" s="136"/>
      <c r="W438" s="136"/>
      <c r="X438" s="136"/>
      <c r="Y438" s="136"/>
      <c r="Z438" s="136"/>
    </row>
    <row r="439" spans="1:26" ht="14.25" customHeight="1">
      <c r="A439" s="136"/>
      <c r="B439" s="136"/>
      <c r="C439" s="136"/>
      <c r="D439" s="136"/>
      <c r="E439" s="136"/>
      <c r="F439" s="136"/>
      <c r="G439" s="136"/>
      <c r="H439" s="136"/>
      <c r="I439" s="140"/>
      <c r="J439" s="136"/>
      <c r="K439" s="136"/>
      <c r="L439" s="136"/>
      <c r="M439" s="136"/>
      <c r="N439" s="136"/>
      <c r="O439" s="136"/>
      <c r="P439" s="136"/>
      <c r="Q439" s="136"/>
      <c r="R439" s="136"/>
      <c r="S439" s="136"/>
      <c r="T439" s="136"/>
      <c r="U439" s="136"/>
      <c r="V439" s="136"/>
      <c r="W439" s="136"/>
      <c r="X439" s="136"/>
      <c r="Y439" s="136"/>
      <c r="Z439" s="136"/>
    </row>
    <row r="440" spans="1:26" ht="14.25" customHeight="1">
      <c r="A440" s="136"/>
      <c r="B440" s="136"/>
      <c r="C440" s="136"/>
      <c r="D440" s="136"/>
      <c r="E440" s="136"/>
      <c r="F440" s="136"/>
      <c r="G440" s="136"/>
      <c r="H440" s="136"/>
      <c r="I440" s="140"/>
      <c r="J440" s="136"/>
      <c r="K440" s="136"/>
      <c r="L440" s="136"/>
      <c r="M440" s="136"/>
      <c r="N440" s="136"/>
      <c r="O440" s="136"/>
      <c r="P440" s="136"/>
      <c r="Q440" s="136"/>
      <c r="R440" s="136"/>
      <c r="S440" s="136"/>
      <c r="T440" s="136"/>
      <c r="U440" s="136"/>
      <c r="V440" s="136"/>
      <c r="W440" s="136"/>
      <c r="X440" s="136"/>
      <c r="Y440" s="136"/>
      <c r="Z440" s="136"/>
    </row>
    <row r="441" spans="1:26" ht="14.25" customHeight="1">
      <c r="A441" s="136"/>
      <c r="B441" s="136"/>
      <c r="C441" s="136"/>
      <c r="D441" s="136"/>
      <c r="E441" s="136"/>
      <c r="F441" s="136"/>
      <c r="G441" s="136"/>
      <c r="H441" s="136"/>
      <c r="I441" s="140"/>
      <c r="J441" s="136"/>
      <c r="K441" s="136"/>
      <c r="L441" s="136"/>
      <c r="M441" s="136"/>
      <c r="N441" s="136"/>
      <c r="O441" s="136"/>
      <c r="P441" s="136"/>
      <c r="Q441" s="136"/>
      <c r="R441" s="136"/>
      <c r="S441" s="136"/>
      <c r="T441" s="136"/>
      <c r="U441" s="136"/>
      <c r="V441" s="136"/>
      <c r="W441" s="136"/>
      <c r="X441" s="136"/>
      <c r="Y441" s="136"/>
      <c r="Z441" s="136"/>
    </row>
    <row r="442" spans="1:26" ht="14.25" customHeight="1">
      <c r="A442" s="136"/>
      <c r="B442" s="136"/>
      <c r="C442" s="136"/>
      <c r="D442" s="136"/>
      <c r="E442" s="136"/>
      <c r="F442" s="136"/>
      <c r="G442" s="136"/>
      <c r="H442" s="136"/>
      <c r="I442" s="140"/>
      <c r="J442" s="136"/>
      <c r="K442" s="136"/>
      <c r="L442" s="136"/>
      <c r="M442" s="136"/>
      <c r="N442" s="136"/>
      <c r="O442" s="136"/>
      <c r="P442" s="136"/>
      <c r="Q442" s="136"/>
      <c r="R442" s="136"/>
      <c r="S442" s="136"/>
      <c r="T442" s="136"/>
      <c r="U442" s="136"/>
      <c r="V442" s="136"/>
      <c r="W442" s="136"/>
      <c r="X442" s="136"/>
      <c r="Y442" s="136"/>
      <c r="Z442" s="136"/>
    </row>
    <row r="443" spans="1:26" ht="14.25" customHeight="1">
      <c r="A443" s="136"/>
      <c r="B443" s="136"/>
      <c r="C443" s="136"/>
      <c r="D443" s="136"/>
      <c r="E443" s="136"/>
      <c r="F443" s="136"/>
      <c r="G443" s="136"/>
      <c r="H443" s="136"/>
      <c r="I443" s="140"/>
      <c r="J443" s="136"/>
      <c r="K443" s="136"/>
      <c r="L443" s="136"/>
      <c r="M443" s="136"/>
      <c r="N443" s="136"/>
      <c r="O443" s="136"/>
      <c r="P443" s="136"/>
      <c r="Q443" s="136"/>
      <c r="R443" s="136"/>
      <c r="S443" s="136"/>
      <c r="T443" s="136"/>
      <c r="U443" s="136"/>
      <c r="V443" s="136"/>
      <c r="W443" s="136"/>
      <c r="X443" s="136"/>
      <c r="Y443" s="136"/>
      <c r="Z443" s="136"/>
    </row>
    <row r="444" spans="1:26" ht="14.25" customHeight="1">
      <c r="A444" s="136"/>
      <c r="B444" s="136"/>
      <c r="C444" s="136"/>
      <c r="D444" s="136"/>
      <c r="E444" s="136"/>
      <c r="F444" s="136"/>
      <c r="G444" s="136"/>
      <c r="H444" s="136"/>
      <c r="I444" s="140"/>
      <c r="J444" s="136"/>
      <c r="K444" s="136"/>
      <c r="L444" s="136"/>
      <c r="M444" s="136"/>
      <c r="N444" s="136"/>
      <c r="O444" s="136"/>
      <c r="P444" s="136"/>
      <c r="Q444" s="136"/>
      <c r="R444" s="136"/>
      <c r="S444" s="136"/>
      <c r="T444" s="136"/>
      <c r="U444" s="136"/>
      <c r="V444" s="136"/>
      <c r="W444" s="136"/>
      <c r="X444" s="136"/>
      <c r="Y444" s="136"/>
      <c r="Z444" s="136"/>
    </row>
    <row r="445" spans="1:26" ht="14.25" customHeight="1">
      <c r="A445" s="136"/>
      <c r="B445" s="136"/>
      <c r="C445" s="136"/>
      <c r="D445" s="136"/>
      <c r="E445" s="136"/>
      <c r="F445" s="136"/>
      <c r="G445" s="136"/>
      <c r="H445" s="136"/>
      <c r="I445" s="140"/>
      <c r="J445" s="136"/>
      <c r="K445" s="136"/>
      <c r="L445" s="136"/>
      <c r="M445" s="136"/>
      <c r="N445" s="136"/>
      <c r="O445" s="136"/>
      <c r="P445" s="136"/>
      <c r="Q445" s="136"/>
      <c r="R445" s="136"/>
      <c r="S445" s="136"/>
      <c r="T445" s="136"/>
      <c r="U445" s="136"/>
      <c r="V445" s="136"/>
      <c r="W445" s="136"/>
      <c r="X445" s="136"/>
      <c r="Y445" s="136"/>
      <c r="Z445" s="136"/>
    </row>
    <row r="446" spans="1:26" ht="14.25" customHeight="1">
      <c r="A446" s="136"/>
      <c r="B446" s="136"/>
      <c r="C446" s="136"/>
      <c r="D446" s="136"/>
      <c r="E446" s="136"/>
      <c r="F446" s="136"/>
      <c r="G446" s="136"/>
      <c r="H446" s="136"/>
      <c r="I446" s="140"/>
      <c r="J446" s="136"/>
      <c r="K446" s="136"/>
      <c r="L446" s="136"/>
      <c r="M446" s="136"/>
      <c r="N446" s="136"/>
      <c r="O446" s="136"/>
      <c r="P446" s="136"/>
      <c r="Q446" s="136"/>
      <c r="R446" s="136"/>
      <c r="S446" s="136"/>
      <c r="T446" s="136"/>
      <c r="U446" s="136"/>
      <c r="V446" s="136"/>
      <c r="W446" s="136"/>
      <c r="X446" s="136"/>
      <c r="Y446" s="136"/>
      <c r="Z446" s="136"/>
    </row>
    <row r="447" spans="1:26" ht="14.25" customHeight="1">
      <c r="A447" s="136"/>
      <c r="B447" s="136"/>
      <c r="C447" s="136"/>
      <c r="D447" s="136"/>
      <c r="E447" s="136"/>
      <c r="F447" s="136"/>
      <c r="G447" s="136"/>
      <c r="H447" s="136"/>
      <c r="I447" s="140"/>
      <c r="J447" s="136"/>
      <c r="K447" s="136"/>
      <c r="L447" s="136"/>
      <c r="M447" s="136"/>
      <c r="N447" s="136"/>
      <c r="O447" s="136"/>
      <c r="P447" s="136"/>
      <c r="Q447" s="136"/>
      <c r="R447" s="136"/>
      <c r="S447" s="136"/>
      <c r="T447" s="136"/>
      <c r="U447" s="136"/>
      <c r="V447" s="136"/>
      <c r="W447" s="136"/>
      <c r="X447" s="136"/>
      <c r="Y447" s="136"/>
      <c r="Z447" s="136"/>
    </row>
    <row r="448" spans="1:26" ht="14.25" customHeight="1">
      <c r="A448" s="136"/>
      <c r="B448" s="136"/>
      <c r="C448" s="136"/>
      <c r="D448" s="136"/>
      <c r="E448" s="136"/>
      <c r="F448" s="136"/>
      <c r="G448" s="136"/>
      <c r="H448" s="136"/>
      <c r="I448" s="140"/>
      <c r="J448" s="136"/>
      <c r="K448" s="136"/>
      <c r="L448" s="136"/>
      <c r="M448" s="136"/>
      <c r="N448" s="136"/>
      <c r="O448" s="136"/>
      <c r="P448" s="136"/>
      <c r="Q448" s="136"/>
      <c r="R448" s="136"/>
      <c r="S448" s="136"/>
      <c r="T448" s="136"/>
      <c r="U448" s="136"/>
      <c r="V448" s="136"/>
      <c r="W448" s="136"/>
      <c r="X448" s="136"/>
      <c r="Y448" s="136"/>
      <c r="Z448" s="136"/>
    </row>
    <row r="449" spans="1:26" ht="14.25" customHeight="1">
      <c r="A449" s="136"/>
      <c r="B449" s="136"/>
      <c r="C449" s="136"/>
      <c r="D449" s="136"/>
      <c r="E449" s="136"/>
      <c r="F449" s="136"/>
      <c r="G449" s="136"/>
      <c r="H449" s="136"/>
      <c r="I449" s="140"/>
      <c r="J449" s="136"/>
      <c r="K449" s="136"/>
      <c r="L449" s="136"/>
      <c r="M449" s="136"/>
      <c r="N449" s="136"/>
      <c r="O449" s="136"/>
      <c r="P449" s="136"/>
      <c r="Q449" s="136"/>
      <c r="R449" s="136"/>
      <c r="S449" s="136"/>
      <c r="T449" s="136"/>
      <c r="U449" s="136"/>
      <c r="V449" s="136"/>
      <c r="W449" s="136"/>
      <c r="X449" s="136"/>
      <c r="Y449" s="136"/>
      <c r="Z449" s="136"/>
    </row>
    <row r="450" spans="1:26" ht="14.25" customHeight="1">
      <c r="A450" s="136"/>
      <c r="B450" s="136"/>
      <c r="C450" s="136"/>
      <c r="D450" s="136"/>
      <c r="E450" s="136"/>
      <c r="F450" s="136"/>
      <c r="G450" s="136"/>
      <c r="H450" s="136"/>
      <c r="I450" s="140"/>
      <c r="J450" s="136"/>
      <c r="K450" s="136"/>
      <c r="L450" s="136"/>
      <c r="M450" s="136"/>
      <c r="N450" s="136"/>
      <c r="O450" s="136"/>
      <c r="P450" s="136"/>
      <c r="Q450" s="136"/>
      <c r="R450" s="136"/>
      <c r="S450" s="136"/>
      <c r="T450" s="136"/>
      <c r="U450" s="136"/>
      <c r="V450" s="136"/>
      <c r="W450" s="136"/>
      <c r="X450" s="136"/>
      <c r="Y450" s="136"/>
      <c r="Z450" s="136"/>
    </row>
    <row r="451" spans="1:26" ht="14.25" customHeight="1">
      <c r="A451" s="136"/>
      <c r="B451" s="136"/>
      <c r="C451" s="136"/>
      <c r="D451" s="136"/>
      <c r="E451" s="136"/>
      <c r="F451" s="136"/>
      <c r="G451" s="136"/>
      <c r="H451" s="136"/>
      <c r="I451" s="140"/>
      <c r="J451" s="136"/>
      <c r="K451" s="136"/>
      <c r="L451" s="136"/>
      <c r="M451" s="136"/>
      <c r="N451" s="136"/>
      <c r="O451" s="136"/>
      <c r="P451" s="136"/>
      <c r="Q451" s="136"/>
      <c r="R451" s="136"/>
      <c r="S451" s="136"/>
      <c r="T451" s="136"/>
      <c r="U451" s="136"/>
      <c r="V451" s="136"/>
      <c r="W451" s="136"/>
      <c r="X451" s="136"/>
      <c r="Y451" s="136"/>
      <c r="Z451" s="136"/>
    </row>
    <row r="452" spans="1:26" ht="14.25" customHeight="1">
      <c r="A452" s="136"/>
      <c r="B452" s="136"/>
      <c r="C452" s="136"/>
      <c r="D452" s="136"/>
      <c r="E452" s="136"/>
      <c r="F452" s="136"/>
      <c r="G452" s="136"/>
      <c r="H452" s="136"/>
      <c r="I452" s="140"/>
      <c r="J452" s="136"/>
      <c r="K452" s="136"/>
      <c r="L452" s="136"/>
      <c r="M452" s="136"/>
      <c r="N452" s="136"/>
      <c r="O452" s="136"/>
      <c r="P452" s="136"/>
      <c r="Q452" s="136"/>
      <c r="R452" s="136"/>
      <c r="S452" s="136"/>
      <c r="T452" s="136"/>
      <c r="U452" s="136"/>
      <c r="V452" s="136"/>
      <c r="W452" s="136"/>
      <c r="X452" s="136"/>
      <c r="Y452" s="136"/>
      <c r="Z452" s="136"/>
    </row>
    <row r="453" spans="1:26" ht="14.25" customHeight="1">
      <c r="A453" s="136"/>
      <c r="B453" s="136"/>
      <c r="C453" s="136"/>
      <c r="D453" s="136"/>
      <c r="E453" s="136"/>
      <c r="F453" s="136"/>
      <c r="G453" s="136"/>
      <c r="H453" s="136"/>
      <c r="I453" s="140"/>
      <c r="J453" s="136"/>
      <c r="K453" s="136"/>
      <c r="L453" s="136"/>
      <c r="M453" s="136"/>
      <c r="N453" s="136"/>
      <c r="O453" s="136"/>
      <c r="P453" s="136"/>
      <c r="Q453" s="136"/>
      <c r="R453" s="136"/>
      <c r="S453" s="136"/>
      <c r="T453" s="136"/>
      <c r="U453" s="136"/>
      <c r="V453" s="136"/>
      <c r="W453" s="136"/>
      <c r="X453" s="136"/>
      <c r="Y453" s="136"/>
      <c r="Z453" s="136"/>
    </row>
    <row r="454" spans="1:26" ht="14.25" customHeight="1">
      <c r="A454" s="136"/>
      <c r="B454" s="136"/>
      <c r="C454" s="136"/>
      <c r="D454" s="136"/>
      <c r="E454" s="136"/>
      <c r="F454" s="136"/>
      <c r="G454" s="136"/>
      <c r="H454" s="136"/>
      <c r="I454" s="140"/>
      <c r="J454" s="136"/>
      <c r="K454" s="136"/>
      <c r="L454" s="136"/>
      <c r="M454" s="136"/>
      <c r="N454" s="136"/>
      <c r="O454" s="136"/>
      <c r="P454" s="136"/>
      <c r="Q454" s="136"/>
      <c r="R454" s="136"/>
      <c r="S454" s="136"/>
      <c r="T454" s="136"/>
      <c r="U454" s="136"/>
      <c r="V454" s="136"/>
      <c r="W454" s="136"/>
      <c r="X454" s="136"/>
      <c r="Y454" s="136"/>
      <c r="Z454" s="136"/>
    </row>
    <row r="455" spans="1:26" ht="14.25" customHeight="1">
      <c r="A455" s="136"/>
      <c r="B455" s="136"/>
      <c r="C455" s="136"/>
      <c r="D455" s="136"/>
      <c r="E455" s="136"/>
      <c r="F455" s="136"/>
      <c r="G455" s="136"/>
      <c r="H455" s="136"/>
      <c r="I455" s="140"/>
      <c r="J455" s="136"/>
      <c r="K455" s="136"/>
      <c r="L455" s="136"/>
      <c r="M455" s="136"/>
      <c r="N455" s="136"/>
      <c r="O455" s="136"/>
      <c r="P455" s="136"/>
      <c r="Q455" s="136"/>
      <c r="R455" s="136"/>
      <c r="S455" s="136"/>
      <c r="T455" s="136"/>
      <c r="U455" s="136"/>
      <c r="V455" s="136"/>
      <c r="W455" s="136"/>
      <c r="X455" s="136"/>
      <c r="Y455" s="136"/>
      <c r="Z455" s="136"/>
    </row>
    <row r="456" spans="1:26" ht="14.25" customHeight="1">
      <c r="A456" s="136"/>
      <c r="B456" s="136"/>
      <c r="C456" s="136"/>
      <c r="D456" s="136"/>
      <c r="E456" s="136"/>
      <c r="F456" s="136"/>
      <c r="G456" s="136"/>
      <c r="H456" s="136"/>
      <c r="I456" s="140"/>
      <c r="J456" s="136"/>
      <c r="K456" s="136"/>
      <c r="L456" s="136"/>
      <c r="M456" s="136"/>
      <c r="N456" s="136"/>
      <c r="O456" s="136"/>
      <c r="P456" s="136"/>
      <c r="Q456" s="136"/>
      <c r="R456" s="136"/>
      <c r="S456" s="136"/>
      <c r="T456" s="136"/>
      <c r="U456" s="136"/>
      <c r="V456" s="136"/>
      <c r="W456" s="136"/>
      <c r="X456" s="136"/>
      <c r="Y456" s="136"/>
      <c r="Z456" s="136"/>
    </row>
    <row r="457" spans="1:26" ht="14.25" customHeight="1">
      <c r="A457" s="136"/>
      <c r="B457" s="136"/>
      <c r="C457" s="136"/>
      <c r="D457" s="136"/>
      <c r="E457" s="136"/>
      <c r="F457" s="136"/>
      <c r="G457" s="136"/>
      <c r="H457" s="136"/>
      <c r="I457" s="140"/>
      <c r="J457" s="136"/>
      <c r="K457" s="136"/>
      <c r="L457" s="136"/>
      <c r="M457" s="136"/>
      <c r="N457" s="136"/>
      <c r="O457" s="136"/>
      <c r="P457" s="136"/>
      <c r="Q457" s="136"/>
      <c r="R457" s="136"/>
      <c r="S457" s="136"/>
      <c r="T457" s="136"/>
      <c r="U457" s="136"/>
      <c r="V457" s="136"/>
      <c r="W457" s="136"/>
      <c r="X457" s="136"/>
      <c r="Y457" s="136"/>
      <c r="Z457" s="136"/>
    </row>
    <row r="458" spans="1:26" ht="14.25" customHeight="1">
      <c r="A458" s="136"/>
      <c r="B458" s="136"/>
      <c r="C458" s="136"/>
      <c r="D458" s="136"/>
      <c r="E458" s="136"/>
      <c r="F458" s="136"/>
      <c r="G458" s="136"/>
      <c r="H458" s="136"/>
      <c r="I458" s="140"/>
      <c r="J458" s="136"/>
      <c r="K458" s="136"/>
      <c r="L458" s="136"/>
      <c r="M458" s="136"/>
      <c r="N458" s="136"/>
      <c r="O458" s="136"/>
      <c r="P458" s="136"/>
      <c r="Q458" s="136"/>
      <c r="R458" s="136"/>
      <c r="S458" s="136"/>
      <c r="T458" s="136"/>
      <c r="U458" s="136"/>
      <c r="V458" s="136"/>
      <c r="W458" s="136"/>
      <c r="X458" s="136"/>
      <c r="Y458" s="136"/>
      <c r="Z458" s="136"/>
    </row>
    <row r="459" spans="1:26" ht="14.25" customHeight="1">
      <c r="A459" s="136"/>
      <c r="B459" s="136"/>
      <c r="C459" s="136"/>
      <c r="D459" s="136"/>
      <c r="E459" s="136"/>
      <c r="F459" s="136"/>
      <c r="G459" s="136"/>
      <c r="H459" s="136"/>
      <c r="I459" s="140"/>
      <c r="J459" s="136"/>
      <c r="K459" s="136"/>
      <c r="L459" s="136"/>
      <c r="M459" s="136"/>
      <c r="N459" s="136"/>
      <c r="O459" s="136"/>
      <c r="P459" s="136"/>
      <c r="Q459" s="136"/>
      <c r="R459" s="136"/>
      <c r="S459" s="136"/>
      <c r="T459" s="136"/>
      <c r="U459" s="136"/>
      <c r="V459" s="136"/>
      <c r="W459" s="136"/>
      <c r="X459" s="136"/>
      <c r="Y459" s="136"/>
      <c r="Z459" s="136"/>
    </row>
    <row r="460" spans="1:26" ht="14.25" customHeight="1">
      <c r="A460" s="136"/>
      <c r="B460" s="136"/>
      <c r="C460" s="136"/>
      <c r="D460" s="136"/>
      <c r="E460" s="136"/>
      <c r="F460" s="136"/>
      <c r="G460" s="136"/>
      <c r="H460" s="136"/>
      <c r="I460" s="140"/>
      <c r="J460" s="136"/>
      <c r="K460" s="136"/>
      <c r="L460" s="136"/>
      <c r="M460" s="136"/>
      <c r="N460" s="136"/>
      <c r="O460" s="136"/>
      <c r="P460" s="136"/>
      <c r="Q460" s="136"/>
      <c r="R460" s="136"/>
      <c r="S460" s="136"/>
      <c r="T460" s="136"/>
      <c r="U460" s="136"/>
      <c r="V460" s="136"/>
      <c r="W460" s="136"/>
      <c r="X460" s="136"/>
      <c r="Y460" s="136"/>
      <c r="Z460" s="136"/>
    </row>
    <row r="461" spans="1:26" ht="14.25" customHeight="1">
      <c r="A461" s="136"/>
      <c r="B461" s="136"/>
      <c r="C461" s="136"/>
      <c r="D461" s="136"/>
      <c r="E461" s="136"/>
      <c r="F461" s="136"/>
      <c r="G461" s="136"/>
      <c r="H461" s="136"/>
      <c r="I461" s="140"/>
      <c r="J461" s="136"/>
      <c r="K461" s="136"/>
      <c r="L461" s="136"/>
      <c r="M461" s="136"/>
      <c r="N461" s="136"/>
      <c r="O461" s="136"/>
      <c r="P461" s="136"/>
      <c r="Q461" s="136"/>
      <c r="R461" s="136"/>
      <c r="S461" s="136"/>
      <c r="T461" s="136"/>
      <c r="U461" s="136"/>
      <c r="V461" s="136"/>
      <c r="W461" s="136"/>
      <c r="X461" s="136"/>
      <c r="Y461" s="136"/>
      <c r="Z461" s="136"/>
    </row>
    <row r="462" spans="1:26" ht="14.25" customHeight="1">
      <c r="A462" s="136"/>
      <c r="B462" s="136"/>
      <c r="C462" s="136"/>
      <c r="D462" s="136"/>
      <c r="E462" s="136"/>
      <c r="F462" s="136"/>
      <c r="G462" s="136"/>
      <c r="H462" s="136"/>
      <c r="I462" s="140"/>
      <c r="J462" s="136"/>
      <c r="K462" s="136"/>
      <c r="L462" s="136"/>
      <c r="M462" s="136"/>
      <c r="N462" s="136"/>
      <c r="O462" s="136"/>
      <c r="P462" s="136"/>
      <c r="Q462" s="136"/>
      <c r="R462" s="136"/>
      <c r="S462" s="136"/>
      <c r="T462" s="136"/>
      <c r="U462" s="136"/>
      <c r="V462" s="136"/>
      <c r="W462" s="136"/>
      <c r="X462" s="136"/>
      <c r="Y462" s="136"/>
      <c r="Z462" s="136"/>
    </row>
    <row r="463" spans="1:26" ht="14.25" customHeight="1">
      <c r="A463" s="136"/>
      <c r="B463" s="136"/>
      <c r="C463" s="136"/>
      <c r="D463" s="136"/>
      <c r="E463" s="136"/>
      <c r="F463" s="136"/>
      <c r="G463" s="136"/>
      <c r="H463" s="136"/>
      <c r="I463" s="140"/>
      <c r="J463" s="136"/>
      <c r="K463" s="136"/>
      <c r="L463" s="136"/>
      <c r="M463" s="136"/>
      <c r="N463" s="136"/>
      <c r="O463" s="136"/>
      <c r="P463" s="136"/>
      <c r="Q463" s="136"/>
      <c r="R463" s="136"/>
      <c r="S463" s="136"/>
      <c r="T463" s="136"/>
      <c r="U463" s="136"/>
      <c r="V463" s="136"/>
      <c r="W463" s="136"/>
      <c r="X463" s="136"/>
      <c r="Y463" s="136"/>
      <c r="Z463" s="136"/>
    </row>
    <row r="464" spans="1:26" ht="14.25" customHeight="1">
      <c r="A464" s="136"/>
      <c r="B464" s="136"/>
      <c r="C464" s="136"/>
      <c r="D464" s="136"/>
      <c r="E464" s="136"/>
      <c r="F464" s="136"/>
      <c r="G464" s="136"/>
      <c r="H464" s="136"/>
      <c r="I464" s="140"/>
      <c r="J464" s="136"/>
      <c r="K464" s="136"/>
      <c r="L464" s="136"/>
      <c r="M464" s="136"/>
      <c r="N464" s="136"/>
      <c r="O464" s="136"/>
      <c r="P464" s="136"/>
      <c r="Q464" s="136"/>
      <c r="R464" s="136"/>
      <c r="S464" s="136"/>
      <c r="T464" s="136"/>
      <c r="U464" s="136"/>
      <c r="V464" s="136"/>
      <c r="W464" s="136"/>
      <c r="X464" s="136"/>
      <c r="Y464" s="136"/>
      <c r="Z464" s="136"/>
    </row>
    <row r="465" spans="1:26" ht="14.25" customHeight="1">
      <c r="A465" s="136"/>
      <c r="B465" s="136"/>
      <c r="C465" s="136"/>
      <c r="D465" s="136"/>
      <c r="E465" s="136"/>
      <c r="F465" s="136"/>
      <c r="G465" s="136"/>
      <c r="H465" s="136"/>
      <c r="I465" s="140"/>
      <c r="J465" s="136"/>
      <c r="K465" s="136"/>
      <c r="L465" s="136"/>
      <c r="M465" s="136"/>
      <c r="N465" s="136"/>
      <c r="O465" s="136"/>
      <c r="P465" s="136"/>
      <c r="Q465" s="136"/>
      <c r="R465" s="136"/>
      <c r="S465" s="136"/>
      <c r="T465" s="136"/>
      <c r="U465" s="136"/>
      <c r="V465" s="136"/>
      <c r="W465" s="136"/>
      <c r="X465" s="136"/>
      <c r="Y465" s="136"/>
      <c r="Z465" s="136"/>
    </row>
    <row r="466" spans="1:26" ht="14.25" customHeight="1">
      <c r="A466" s="136"/>
      <c r="B466" s="136"/>
      <c r="C466" s="136"/>
      <c r="D466" s="136"/>
      <c r="E466" s="136"/>
      <c r="F466" s="136"/>
      <c r="G466" s="136"/>
      <c r="H466" s="136"/>
      <c r="I466" s="140"/>
      <c r="J466" s="136"/>
      <c r="K466" s="136"/>
      <c r="L466" s="136"/>
      <c r="M466" s="136"/>
      <c r="N466" s="136"/>
      <c r="O466" s="136"/>
      <c r="P466" s="136"/>
      <c r="Q466" s="136"/>
      <c r="R466" s="136"/>
      <c r="S466" s="136"/>
      <c r="T466" s="136"/>
      <c r="U466" s="136"/>
      <c r="V466" s="136"/>
      <c r="W466" s="136"/>
      <c r="X466" s="136"/>
      <c r="Y466" s="136"/>
      <c r="Z466" s="136"/>
    </row>
    <row r="467" spans="1:26" ht="14.25" customHeight="1">
      <c r="A467" s="136"/>
      <c r="B467" s="136"/>
      <c r="C467" s="136"/>
      <c r="D467" s="136"/>
      <c r="E467" s="136"/>
      <c r="F467" s="136"/>
      <c r="G467" s="136"/>
      <c r="H467" s="136"/>
      <c r="I467" s="140"/>
      <c r="J467" s="136"/>
      <c r="K467" s="136"/>
      <c r="L467" s="136"/>
      <c r="M467" s="136"/>
      <c r="N467" s="136"/>
      <c r="O467" s="136"/>
      <c r="P467" s="136"/>
      <c r="Q467" s="136"/>
      <c r="R467" s="136"/>
      <c r="S467" s="136"/>
      <c r="T467" s="136"/>
      <c r="U467" s="136"/>
      <c r="V467" s="136"/>
      <c r="W467" s="136"/>
      <c r="X467" s="136"/>
      <c r="Y467" s="136"/>
      <c r="Z467" s="136"/>
    </row>
    <row r="468" spans="1:26" ht="14.25" customHeight="1">
      <c r="A468" s="136"/>
      <c r="B468" s="136"/>
      <c r="C468" s="136"/>
      <c r="D468" s="136"/>
      <c r="E468" s="136"/>
      <c r="F468" s="136"/>
      <c r="G468" s="136"/>
      <c r="H468" s="136"/>
      <c r="I468" s="140"/>
      <c r="J468" s="136"/>
      <c r="K468" s="136"/>
      <c r="L468" s="136"/>
      <c r="M468" s="136"/>
      <c r="N468" s="136"/>
      <c r="O468" s="136"/>
      <c r="P468" s="136"/>
      <c r="Q468" s="136"/>
      <c r="R468" s="136"/>
      <c r="S468" s="136"/>
      <c r="T468" s="136"/>
      <c r="U468" s="136"/>
      <c r="V468" s="136"/>
      <c r="W468" s="136"/>
      <c r="X468" s="136"/>
      <c r="Y468" s="136"/>
      <c r="Z468" s="136"/>
    </row>
    <row r="469" spans="1:26" ht="14.25" customHeight="1">
      <c r="A469" s="136"/>
      <c r="B469" s="136"/>
      <c r="C469" s="136"/>
      <c r="D469" s="136"/>
      <c r="E469" s="136"/>
      <c r="F469" s="136"/>
      <c r="G469" s="136"/>
      <c r="H469" s="136"/>
      <c r="I469" s="140"/>
      <c r="J469" s="136"/>
      <c r="K469" s="136"/>
      <c r="L469" s="136"/>
      <c r="M469" s="136"/>
      <c r="N469" s="136"/>
      <c r="O469" s="136"/>
      <c r="P469" s="136"/>
      <c r="Q469" s="136"/>
      <c r="R469" s="136"/>
      <c r="S469" s="136"/>
      <c r="T469" s="136"/>
      <c r="U469" s="136"/>
      <c r="V469" s="136"/>
      <c r="W469" s="136"/>
      <c r="X469" s="136"/>
      <c r="Y469" s="136"/>
      <c r="Z469" s="136"/>
    </row>
    <row r="470" spans="1:26" ht="14.25" customHeight="1">
      <c r="A470" s="136"/>
      <c r="B470" s="136"/>
      <c r="C470" s="136"/>
      <c r="D470" s="136"/>
      <c r="E470" s="136"/>
      <c r="F470" s="136"/>
      <c r="G470" s="136"/>
      <c r="H470" s="136"/>
      <c r="I470" s="140"/>
      <c r="J470" s="136"/>
      <c r="K470" s="136"/>
      <c r="L470" s="136"/>
      <c r="M470" s="136"/>
      <c r="N470" s="136"/>
      <c r="O470" s="136"/>
      <c r="P470" s="136"/>
      <c r="Q470" s="136"/>
      <c r="R470" s="136"/>
      <c r="S470" s="136"/>
      <c r="T470" s="136"/>
      <c r="U470" s="136"/>
      <c r="V470" s="136"/>
      <c r="W470" s="136"/>
      <c r="X470" s="136"/>
      <c r="Y470" s="136"/>
      <c r="Z470" s="136"/>
    </row>
    <row r="471" spans="1:26" ht="14.25" customHeight="1">
      <c r="A471" s="136"/>
      <c r="B471" s="136"/>
      <c r="C471" s="136"/>
      <c r="D471" s="136"/>
      <c r="E471" s="136"/>
      <c r="F471" s="136"/>
      <c r="G471" s="136"/>
      <c r="H471" s="136"/>
      <c r="I471" s="140"/>
      <c r="J471" s="136"/>
      <c r="K471" s="136"/>
      <c r="L471" s="136"/>
      <c r="M471" s="136"/>
      <c r="N471" s="136"/>
      <c r="O471" s="136"/>
      <c r="P471" s="136"/>
      <c r="Q471" s="136"/>
      <c r="R471" s="136"/>
      <c r="S471" s="136"/>
      <c r="T471" s="136"/>
      <c r="U471" s="136"/>
      <c r="V471" s="136"/>
      <c r="W471" s="136"/>
      <c r="X471" s="136"/>
      <c r="Y471" s="136"/>
      <c r="Z471" s="136"/>
    </row>
    <row r="472" spans="1:26" ht="14.25" customHeight="1">
      <c r="A472" s="136"/>
      <c r="B472" s="136"/>
      <c r="C472" s="136"/>
      <c r="D472" s="136"/>
      <c r="E472" s="136"/>
      <c r="F472" s="136"/>
      <c r="G472" s="136"/>
      <c r="H472" s="136"/>
      <c r="I472" s="140"/>
      <c r="J472" s="136"/>
      <c r="K472" s="136"/>
      <c r="L472" s="136"/>
      <c r="M472" s="136"/>
      <c r="N472" s="136"/>
      <c r="O472" s="136"/>
      <c r="P472" s="136"/>
      <c r="Q472" s="136"/>
      <c r="R472" s="136"/>
      <c r="S472" s="136"/>
      <c r="T472" s="136"/>
      <c r="U472" s="136"/>
      <c r="V472" s="136"/>
      <c r="W472" s="136"/>
      <c r="X472" s="136"/>
      <c r="Y472" s="136"/>
      <c r="Z472" s="136"/>
    </row>
    <row r="473" spans="1:26" ht="14.25" customHeight="1">
      <c r="A473" s="136"/>
      <c r="B473" s="136"/>
      <c r="C473" s="136"/>
      <c r="D473" s="136"/>
      <c r="E473" s="136"/>
      <c r="F473" s="136"/>
      <c r="G473" s="136"/>
      <c r="H473" s="136"/>
      <c r="I473" s="140"/>
      <c r="J473" s="136"/>
      <c r="K473" s="136"/>
      <c r="L473" s="136"/>
      <c r="M473" s="136"/>
      <c r="N473" s="136"/>
      <c r="O473" s="136"/>
      <c r="P473" s="136"/>
      <c r="Q473" s="136"/>
      <c r="R473" s="136"/>
      <c r="S473" s="136"/>
      <c r="T473" s="136"/>
      <c r="U473" s="136"/>
      <c r="V473" s="136"/>
      <c r="W473" s="136"/>
      <c r="X473" s="136"/>
      <c r="Y473" s="136"/>
      <c r="Z473" s="136"/>
    </row>
    <row r="474" spans="1:26" ht="14.25" customHeight="1">
      <c r="A474" s="136"/>
      <c r="B474" s="136"/>
      <c r="C474" s="136"/>
      <c r="D474" s="136"/>
      <c r="E474" s="136"/>
      <c r="F474" s="136"/>
      <c r="G474" s="136"/>
      <c r="H474" s="136"/>
      <c r="I474" s="140"/>
      <c r="J474" s="136"/>
      <c r="K474" s="136"/>
      <c r="L474" s="136"/>
      <c r="M474" s="136"/>
      <c r="N474" s="136"/>
      <c r="O474" s="136"/>
      <c r="P474" s="136"/>
      <c r="Q474" s="136"/>
      <c r="R474" s="136"/>
      <c r="S474" s="136"/>
      <c r="T474" s="136"/>
      <c r="U474" s="136"/>
      <c r="V474" s="136"/>
      <c r="W474" s="136"/>
      <c r="X474" s="136"/>
      <c r="Y474" s="136"/>
      <c r="Z474" s="136"/>
    </row>
    <row r="475" spans="1:26" ht="14.25" customHeight="1">
      <c r="A475" s="136"/>
      <c r="B475" s="136"/>
      <c r="C475" s="136"/>
      <c r="D475" s="136"/>
      <c r="E475" s="136"/>
      <c r="F475" s="136"/>
      <c r="G475" s="136"/>
      <c r="H475" s="136"/>
      <c r="I475" s="140"/>
      <c r="J475" s="136"/>
      <c r="K475" s="136"/>
      <c r="L475" s="136"/>
      <c r="M475" s="136"/>
      <c r="N475" s="136"/>
      <c r="O475" s="136"/>
      <c r="P475" s="136"/>
      <c r="Q475" s="136"/>
      <c r="R475" s="136"/>
      <c r="S475" s="136"/>
      <c r="T475" s="136"/>
      <c r="U475" s="136"/>
      <c r="V475" s="136"/>
      <c r="W475" s="136"/>
      <c r="X475" s="136"/>
      <c r="Y475" s="136"/>
      <c r="Z475" s="136"/>
    </row>
    <row r="476" spans="1:26" ht="14.25" customHeight="1">
      <c r="A476" s="136"/>
      <c r="B476" s="136"/>
      <c r="C476" s="136"/>
      <c r="D476" s="136"/>
      <c r="E476" s="136"/>
      <c r="F476" s="136"/>
      <c r="G476" s="136"/>
      <c r="H476" s="136"/>
      <c r="I476" s="140"/>
      <c r="J476" s="136"/>
      <c r="K476" s="136"/>
      <c r="L476" s="136"/>
      <c r="M476" s="136"/>
      <c r="N476" s="136"/>
      <c r="O476" s="136"/>
      <c r="P476" s="136"/>
      <c r="Q476" s="136"/>
      <c r="R476" s="136"/>
      <c r="S476" s="136"/>
      <c r="T476" s="136"/>
      <c r="U476" s="136"/>
      <c r="V476" s="136"/>
      <c r="W476" s="136"/>
      <c r="X476" s="136"/>
      <c r="Y476" s="136"/>
      <c r="Z476" s="136"/>
    </row>
    <row r="477" spans="1:26" ht="14.25" customHeight="1">
      <c r="A477" s="136"/>
      <c r="B477" s="136"/>
      <c r="C477" s="136"/>
      <c r="D477" s="136"/>
      <c r="E477" s="136"/>
      <c r="F477" s="136"/>
      <c r="G477" s="136"/>
      <c r="H477" s="136"/>
      <c r="I477" s="140"/>
      <c r="J477" s="136"/>
      <c r="K477" s="136"/>
      <c r="L477" s="136"/>
      <c r="M477" s="136"/>
      <c r="N477" s="136"/>
      <c r="O477" s="136"/>
      <c r="P477" s="136"/>
      <c r="Q477" s="136"/>
      <c r="R477" s="136"/>
      <c r="S477" s="136"/>
      <c r="T477" s="136"/>
      <c r="U477" s="136"/>
      <c r="V477" s="136"/>
      <c r="W477" s="136"/>
      <c r="X477" s="136"/>
      <c r="Y477" s="136"/>
      <c r="Z477" s="136"/>
    </row>
    <row r="478" spans="1:26" ht="14.25" customHeight="1">
      <c r="A478" s="136"/>
      <c r="B478" s="136"/>
      <c r="C478" s="136"/>
      <c r="D478" s="136"/>
      <c r="E478" s="136"/>
      <c r="F478" s="136"/>
      <c r="G478" s="136"/>
      <c r="H478" s="136"/>
      <c r="I478" s="140"/>
      <c r="J478" s="136"/>
      <c r="K478" s="136"/>
      <c r="L478" s="136"/>
      <c r="M478" s="136"/>
      <c r="N478" s="136"/>
      <c r="O478" s="136"/>
      <c r="P478" s="136"/>
      <c r="Q478" s="136"/>
      <c r="R478" s="136"/>
      <c r="S478" s="136"/>
      <c r="T478" s="136"/>
      <c r="U478" s="136"/>
      <c r="V478" s="136"/>
      <c r="W478" s="136"/>
      <c r="X478" s="136"/>
      <c r="Y478" s="136"/>
      <c r="Z478" s="136"/>
    </row>
    <row r="479" spans="1:26" ht="14.25" customHeight="1">
      <c r="A479" s="136"/>
      <c r="B479" s="136"/>
      <c r="C479" s="136"/>
      <c r="D479" s="136"/>
      <c r="E479" s="136"/>
      <c r="F479" s="136"/>
      <c r="G479" s="136"/>
      <c r="H479" s="136"/>
      <c r="I479" s="140"/>
      <c r="J479" s="136"/>
      <c r="K479" s="136"/>
      <c r="L479" s="136"/>
      <c r="M479" s="136"/>
      <c r="N479" s="136"/>
      <c r="O479" s="136"/>
      <c r="P479" s="136"/>
      <c r="Q479" s="136"/>
      <c r="R479" s="136"/>
      <c r="S479" s="136"/>
      <c r="T479" s="136"/>
      <c r="U479" s="136"/>
      <c r="V479" s="136"/>
      <c r="W479" s="136"/>
      <c r="X479" s="136"/>
      <c r="Y479" s="136"/>
      <c r="Z479" s="136"/>
    </row>
    <row r="480" spans="1:26" ht="14.25" customHeight="1">
      <c r="A480" s="136"/>
      <c r="B480" s="136"/>
      <c r="C480" s="136"/>
      <c r="D480" s="136"/>
      <c r="E480" s="136"/>
      <c r="F480" s="136"/>
      <c r="G480" s="136"/>
      <c r="H480" s="136"/>
      <c r="I480" s="140"/>
      <c r="J480" s="136"/>
      <c r="K480" s="136"/>
      <c r="L480" s="136"/>
      <c r="M480" s="136"/>
      <c r="N480" s="136"/>
      <c r="O480" s="136"/>
      <c r="P480" s="136"/>
      <c r="Q480" s="136"/>
      <c r="R480" s="136"/>
      <c r="S480" s="136"/>
      <c r="T480" s="136"/>
      <c r="U480" s="136"/>
      <c r="V480" s="136"/>
      <c r="W480" s="136"/>
      <c r="X480" s="136"/>
      <c r="Y480" s="136"/>
      <c r="Z480" s="136"/>
    </row>
    <row r="481" spans="1:26" ht="14.25" customHeight="1">
      <c r="A481" s="136"/>
      <c r="B481" s="136"/>
      <c r="C481" s="136"/>
      <c r="D481" s="136"/>
      <c r="E481" s="136"/>
      <c r="F481" s="136"/>
      <c r="G481" s="136"/>
      <c r="H481" s="136"/>
      <c r="I481" s="140"/>
      <c r="J481" s="136"/>
      <c r="K481" s="136"/>
      <c r="L481" s="136"/>
      <c r="M481" s="136"/>
      <c r="N481" s="136"/>
      <c r="O481" s="136"/>
      <c r="P481" s="136"/>
      <c r="Q481" s="136"/>
      <c r="R481" s="136"/>
      <c r="S481" s="136"/>
      <c r="T481" s="136"/>
      <c r="U481" s="136"/>
      <c r="V481" s="136"/>
      <c r="W481" s="136"/>
      <c r="X481" s="136"/>
      <c r="Y481" s="136"/>
      <c r="Z481" s="136"/>
    </row>
    <row r="482" spans="1:26" ht="14.25" customHeight="1">
      <c r="A482" s="136"/>
      <c r="B482" s="136"/>
      <c r="C482" s="136"/>
      <c r="D482" s="136"/>
      <c r="E482" s="136"/>
      <c r="F482" s="136"/>
      <c r="G482" s="136"/>
      <c r="H482" s="136"/>
      <c r="I482" s="140"/>
      <c r="J482" s="136"/>
      <c r="K482" s="136"/>
      <c r="L482" s="136"/>
      <c r="M482" s="136"/>
      <c r="N482" s="136"/>
      <c r="O482" s="136"/>
      <c r="P482" s="136"/>
      <c r="Q482" s="136"/>
      <c r="R482" s="136"/>
      <c r="S482" s="136"/>
      <c r="T482" s="136"/>
      <c r="U482" s="136"/>
      <c r="V482" s="136"/>
      <c r="W482" s="136"/>
      <c r="X482" s="136"/>
      <c r="Y482" s="136"/>
      <c r="Z482" s="136"/>
    </row>
    <row r="483" spans="1:26" ht="14.25" customHeight="1">
      <c r="A483" s="136"/>
      <c r="B483" s="136"/>
      <c r="C483" s="136"/>
      <c r="D483" s="136"/>
      <c r="E483" s="136"/>
      <c r="F483" s="136"/>
      <c r="G483" s="136"/>
      <c r="H483" s="136"/>
      <c r="I483" s="140"/>
      <c r="J483" s="136"/>
      <c r="K483" s="136"/>
      <c r="L483" s="136"/>
      <c r="M483" s="136"/>
      <c r="N483" s="136"/>
      <c r="O483" s="136"/>
      <c r="P483" s="136"/>
      <c r="Q483" s="136"/>
      <c r="R483" s="136"/>
      <c r="S483" s="136"/>
      <c r="T483" s="136"/>
      <c r="U483" s="136"/>
      <c r="V483" s="136"/>
      <c r="W483" s="136"/>
      <c r="X483" s="136"/>
      <c r="Y483" s="136"/>
      <c r="Z483" s="136"/>
    </row>
    <row r="484" spans="1:26" ht="14.25" customHeight="1">
      <c r="A484" s="136"/>
      <c r="B484" s="136"/>
      <c r="C484" s="136"/>
      <c r="D484" s="136"/>
      <c r="E484" s="136"/>
      <c r="F484" s="136"/>
      <c r="G484" s="136"/>
      <c r="H484" s="136"/>
      <c r="I484" s="140"/>
      <c r="J484" s="136"/>
      <c r="K484" s="136"/>
      <c r="L484" s="136"/>
      <c r="M484" s="136"/>
      <c r="N484" s="136"/>
      <c r="O484" s="136"/>
      <c r="P484" s="136"/>
      <c r="Q484" s="136"/>
      <c r="R484" s="136"/>
      <c r="S484" s="136"/>
      <c r="T484" s="136"/>
      <c r="U484" s="136"/>
      <c r="V484" s="136"/>
      <c r="W484" s="136"/>
      <c r="X484" s="136"/>
      <c r="Y484" s="136"/>
      <c r="Z484" s="136"/>
    </row>
    <row r="485" spans="1:26" ht="14.25" customHeight="1">
      <c r="A485" s="136"/>
      <c r="B485" s="136"/>
      <c r="C485" s="136"/>
      <c r="D485" s="136"/>
      <c r="E485" s="136"/>
      <c r="F485" s="136"/>
      <c r="G485" s="136"/>
      <c r="H485" s="136"/>
      <c r="I485" s="140"/>
      <c r="J485" s="136"/>
      <c r="K485" s="136"/>
      <c r="L485" s="136"/>
      <c r="M485" s="136"/>
      <c r="N485" s="136"/>
      <c r="O485" s="136"/>
      <c r="P485" s="136"/>
      <c r="Q485" s="136"/>
      <c r="R485" s="136"/>
      <c r="S485" s="136"/>
      <c r="T485" s="136"/>
      <c r="U485" s="136"/>
      <c r="V485" s="136"/>
      <c r="W485" s="136"/>
      <c r="X485" s="136"/>
      <c r="Y485" s="136"/>
      <c r="Z485" s="136"/>
    </row>
    <row r="486" spans="1:26" ht="14.25" customHeight="1">
      <c r="A486" s="136"/>
      <c r="B486" s="136"/>
      <c r="C486" s="136"/>
      <c r="D486" s="136"/>
      <c r="E486" s="136"/>
      <c r="F486" s="136"/>
      <c r="G486" s="136"/>
      <c r="H486" s="136"/>
      <c r="I486" s="140"/>
      <c r="J486" s="136"/>
      <c r="K486" s="136"/>
      <c r="L486" s="136"/>
      <c r="M486" s="136"/>
      <c r="N486" s="136"/>
      <c r="O486" s="136"/>
      <c r="P486" s="136"/>
      <c r="Q486" s="136"/>
      <c r="R486" s="136"/>
      <c r="S486" s="136"/>
      <c r="T486" s="136"/>
      <c r="U486" s="136"/>
      <c r="V486" s="136"/>
      <c r="W486" s="136"/>
      <c r="X486" s="136"/>
      <c r="Y486" s="136"/>
      <c r="Z486" s="136"/>
    </row>
    <row r="487" spans="1:26" ht="14.25" customHeight="1">
      <c r="A487" s="136"/>
      <c r="B487" s="136"/>
      <c r="C487" s="136"/>
      <c r="D487" s="136"/>
      <c r="E487" s="136"/>
      <c r="F487" s="136"/>
      <c r="G487" s="136"/>
      <c r="H487" s="136"/>
      <c r="I487" s="140"/>
      <c r="J487" s="136"/>
      <c r="K487" s="136"/>
      <c r="L487" s="136"/>
      <c r="M487" s="136"/>
      <c r="N487" s="136"/>
      <c r="O487" s="136"/>
      <c r="P487" s="136"/>
      <c r="Q487" s="136"/>
      <c r="R487" s="136"/>
      <c r="S487" s="136"/>
      <c r="T487" s="136"/>
      <c r="U487" s="136"/>
      <c r="V487" s="136"/>
      <c r="W487" s="136"/>
      <c r="X487" s="136"/>
      <c r="Y487" s="136"/>
      <c r="Z487" s="136"/>
    </row>
    <row r="488" spans="1:26" ht="14.25" customHeight="1">
      <c r="A488" s="136"/>
      <c r="B488" s="136"/>
      <c r="C488" s="136"/>
      <c r="D488" s="136"/>
      <c r="E488" s="136"/>
      <c r="F488" s="136"/>
      <c r="G488" s="136"/>
      <c r="H488" s="136"/>
      <c r="I488" s="140"/>
      <c r="J488" s="136"/>
      <c r="K488" s="136"/>
      <c r="L488" s="136"/>
      <c r="M488" s="136"/>
      <c r="N488" s="136"/>
      <c r="O488" s="136"/>
      <c r="P488" s="136"/>
      <c r="Q488" s="136"/>
      <c r="R488" s="136"/>
      <c r="S488" s="136"/>
      <c r="T488" s="136"/>
      <c r="U488" s="136"/>
      <c r="V488" s="136"/>
      <c r="W488" s="136"/>
      <c r="X488" s="136"/>
      <c r="Y488" s="136"/>
      <c r="Z488" s="136"/>
    </row>
    <row r="489" spans="1:26" ht="14.25" customHeight="1">
      <c r="A489" s="136"/>
      <c r="B489" s="136"/>
      <c r="C489" s="136"/>
      <c r="D489" s="136"/>
      <c r="E489" s="136"/>
      <c r="F489" s="136"/>
      <c r="G489" s="136"/>
      <c r="H489" s="136"/>
      <c r="I489" s="140"/>
      <c r="J489" s="136"/>
      <c r="K489" s="136"/>
      <c r="L489" s="136"/>
      <c r="M489" s="136"/>
      <c r="N489" s="136"/>
      <c r="O489" s="136"/>
      <c r="P489" s="136"/>
      <c r="Q489" s="136"/>
      <c r="R489" s="136"/>
      <c r="S489" s="136"/>
      <c r="T489" s="136"/>
      <c r="U489" s="136"/>
      <c r="V489" s="136"/>
      <c r="W489" s="136"/>
      <c r="X489" s="136"/>
      <c r="Y489" s="136"/>
      <c r="Z489" s="136"/>
    </row>
    <row r="490" spans="1:26" ht="14.25" customHeight="1">
      <c r="A490" s="136"/>
      <c r="B490" s="136"/>
      <c r="C490" s="136"/>
      <c r="D490" s="136"/>
      <c r="E490" s="136"/>
      <c r="F490" s="136"/>
      <c r="G490" s="136"/>
      <c r="H490" s="136"/>
      <c r="I490" s="140"/>
      <c r="J490" s="136"/>
      <c r="K490" s="136"/>
      <c r="L490" s="136"/>
      <c r="M490" s="136"/>
      <c r="N490" s="136"/>
      <c r="O490" s="136"/>
      <c r="P490" s="136"/>
      <c r="Q490" s="136"/>
      <c r="R490" s="136"/>
      <c r="S490" s="136"/>
      <c r="T490" s="136"/>
      <c r="U490" s="136"/>
      <c r="V490" s="136"/>
      <c r="W490" s="136"/>
      <c r="X490" s="136"/>
      <c r="Y490" s="136"/>
      <c r="Z490" s="136"/>
    </row>
    <row r="491" spans="1:26" ht="14.25" customHeight="1">
      <c r="A491" s="136"/>
      <c r="B491" s="136"/>
      <c r="C491" s="136"/>
      <c r="D491" s="136"/>
      <c r="E491" s="136"/>
      <c r="F491" s="136"/>
      <c r="G491" s="136"/>
      <c r="H491" s="136"/>
      <c r="I491" s="140"/>
      <c r="J491" s="136"/>
      <c r="K491" s="136"/>
      <c r="L491" s="136"/>
      <c r="M491" s="136"/>
      <c r="N491" s="136"/>
      <c r="O491" s="136"/>
      <c r="P491" s="136"/>
      <c r="Q491" s="136"/>
      <c r="R491" s="136"/>
      <c r="S491" s="136"/>
      <c r="T491" s="136"/>
      <c r="U491" s="136"/>
      <c r="V491" s="136"/>
      <c r="W491" s="136"/>
      <c r="X491" s="136"/>
      <c r="Y491" s="136"/>
      <c r="Z491" s="136"/>
    </row>
    <row r="492" spans="1:26" ht="14.25" customHeight="1">
      <c r="A492" s="136"/>
      <c r="B492" s="136"/>
      <c r="C492" s="136"/>
      <c r="D492" s="136"/>
      <c r="E492" s="136"/>
      <c r="F492" s="136"/>
      <c r="G492" s="136"/>
      <c r="H492" s="136"/>
      <c r="I492" s="140"/>
      <c r="J492" s="136"/>
      <c r="K492" s="136"/>
      <c r="L492" s="136"/>
      <c r="M492" s="136"/>
      <c r="N492" s="136"/>
      <c r="O492" s="136"/>
      <c r="P492" s="136"/>
      <c r="Q492" s="136"/>
      <c r="R492" s="136"/>
      <c r="S492" s="136"/>
      <c r="T492" s="136"/>
      <c r="U492" s="136"/>
      <c r="V492" s="136"/>
      <c r="W492" s="136"/>
      <c r="X492" s="136"/>
      <c r="Y492" s="136"/>
      <c r="Z492" s="136"/>
    </row>
    <row r="493" spans="1:26" ht="14.25" customHeight="1">
      <c r="A493" s="136"/>
      <c r="B493" s="136"/>
      <c r="C493" s="136"/>
      <c r="D493" s="136"/>
      <c r="E493" s="136"/>
      <c r="F493" s="136"/>
      <c r="G493" s="136"/>
      <c r="H493" s="136"/>
      <c r="I493" s="140"/>
      <c r="J493" s="136"/>
      <c r="K493" s="136"/>
      <c r="L493" s="136"/>
      <c r="M493" s="136"/>
      <c r="N493" s="136"/>
      <c r="O493" s="136"/>
      <c r="P493" s="136"/>
      <c r="Q493" s="136"/>
      <c r="R493" s="136"/>
      <c r="S493" s="136"/>
      <c r="T493" s="136"/>
      <c r="U493" s="136"/>
      <c r="V493" s="136"/>
      <c r="W493" s="136"/>
      <c r="X493" s="136"/>
      <c r="Y493" s="136"/>
      <c r="Z493" s="136"/>
    </row>
    <row r="494" spans="1:26" ht="14.25" customHeight="1">
      <c r="A494" s="136"/>
      <c r="B494" s="136"/>
      <c r="C494" s="136"/>
      <c r="D494" s="136"/>
      <c r="E494" s="136"/>
      <c r="F494" s="136"/>
      <c r="G494" s="136"/>
      <c r="H494" s="136"/>
      <c r="I494" s="140"/>
      <c r="J494" s="136"/>
      <c r="K494" s="136"/>
      <c r="L494" s="136"/>
      <c r="M494" s="136"/>
      <c r="N494" s="136"/>
      <c r="O494" s="136"/>
      <c r="P494" s="136"/>
      <c r="Q494" s="136"/>
      <c r="R494" s="136"/>
      <c r="S494" s="136"/>
      <c r="T494" s="136"/>
      <c r="U494" s="136"/>
      <c r="V494" s="136"/>
      <c r="W494" s="136"/>
      <c r="X494" s="136"/>
      <c r="Y494" s="136"/>
      <c r="Z494" s="136"/>
    </row>
    <row r="495" spans="1:26" ht="14.25" customHeight="1">
      <c r="A495" s="136"/>
      <c r="B495" s="136"/>
      <c r="C495" s="136"/>
      <c r="D495" s="136"/>
      <c r="E495" s="136"/>
      <c r="F495" s="136"/>
      <c r="G495" s="136"/>
      <c r="H495" s="136"/>
      <c r="I495" s="140"/>
      <c r="J495" s="136"/>
      <c r="K495" s="136"/>
      <c r="L495" s="136"/>
      <c r="M495" s="136"/>
      <c r="N495" s="136"/>
      <c r="O495" s="136"/>
      <c r="P495" s="136"/>
      <c r="Q495" s="136"/>
      <c r="R495" s="136"/>
      <c r="S495" s="136"/>
      <c r="T495" s="136"/>
      <c r="U495" s="136"/>
      <c r="V495" s="136"/>
      <c r="W495" s="136"/>
      <c r="X495" s="136"/>
      <c r="Y495" s="136"/>
      <c r="Z495" s="136"/>
    </row>
    <row r="496" spans="1:26" ht="14.25" customHeight="1">
      <c r="A496" s="136"/>
      <c r="B496" s="136"/>
      <c r="C496" s="136"/>
      <c r="D496" s="136"/>
      <c r="E496" s="136"/>
      <c r="F496" s="136"/>
      <c r="G496" s="136"/>
      <c r="H496" s="136"/>
      <c r="I496" s="140"/>
      <c r="J496" s="136"/>
      <c r="K496" s="136"/>
      <c r="L496" s="136"/>
      <c r="M496" s="136"/>
      <c r="N496" s="136"/>
      <c r="O496" s="136"/>
      <c r="P496" s="136"/>
      <c r="Q496" s="136"/>
      <c r="R496" s="136"/>
      <c r="S496" s="136"/>
      <c r="T496" s="136"/>
      <c r="U496" s="136"/>
      <c r="V496" s="136"/>
      <c r="W496" s="136"/>
      <c r="X496" s="136"/>
      <c r="Y496" s="136"/>
      <c r="Z496" s="136"/>
    </row>
    <row r="497" spans="1:26" ht="14.25" customHeight="1">
      <c r="A497" s="136"/>
      <c r="B497" s="136"/>
      <c r="C497" s="136"/>
      <c r="D497" s="136"/>
      <c r="E497" s="136"/>
      <c r="F497" s="136"/>
      <c r="G497" s="136"/>
      <c r="H497" s="136"/>
      <c r="I497" s="140"/>
      <c r="J497" s="136"/>
      <c r="K497" s="136"/>
      <c r="L497" s="136"/>
      <c r="M497" s="136"/>
      <c r="N497" s="136"/>
      <c r="O497" s="136"/>
      <c r="P497" s="136"/>
      <c r="Q497" s="136"/>
      <c r="R497" s="136"/>
      <c r="S497" s="136"/>
      <c r="T497" s="136"/>
      <c r="U497" s="136"/>
      <c r="V497" s="136"/>
      <c r="W497" s="136"/>
      <c r="X497" s="136"/>
      <c r="Y497" s="136"/>
      <c r="Z497" s="136"/>
    </row>
    <row r="498" spans="1:26" ht="14.25" customHeight="1">
      <c r="A498" s="136"/>
      <c r="B498" s="136"/>
      <c r="C498" s="136"/>
      <c r="D498" s="136"/>
      <c r="E498" s="136"/>
      <c r="F498" s="136"/>
      <c r="G498" s="136"/>
      <c r="H498" s="136"/>
      <c r="I498" s="140"/>
      <c r="J498" s="136"/>
      <c r="K498" s="136"/>
      <c r="L498" s="136"/>
      <c r="M498" s="136"/>
      <c r="N498" s="136"/>
      <c r="O498" s="136"/>
      <c r="P498" s="136"/>
      <c r="Q498" s="136"/>
      <c r="R498" s="136"/>
      <c r="S498" s="136"/>
      <c r="T498" s="136"/>
      <c r="U498" s="136"/>
      <c r="V498" s="136"/>
      <c r="W498" s="136"/>
      <c r="X498" s="136"/>
      <c r="Y498" s="136"/>
      <c r="Z498" s="136"/>
    </row>
    <row r="499" spans="1:26" ht="14.25" customHeight="1">
      <c r="A499" s="136"/>
      <c r="B499" s="136"/>
      <c r="C499" s="136"/>
      <c r="D499" s="136"/>
      <c r="E499" s="136"/>
      <c r="F499" s="136"/>
      <c r="G499" s="136"/>
      <c r="H499" s="136"/>
      <c r="I499" s="140"/>
      <c r="J499" s="136"/>
      <c r="K499" s="136"/>
      <c r="L499" s="136"/>
      <c r="M499" s="136"/>
      <c r="N499" s="136"/>
      <c r="O499" s="136"/>
      <c r="P499" s="136"/>
      <c r="Q499" s="136"/>
      <c r="R499" s="136"/>
      <c r="S499" s="136"/>
      <c r="T499" s="136"/>
      <c r="U499" s="136"/>
      <c r="V499" s="136"/>
      <c r="W499" s="136"/>
      <c r="X499" s="136"/>
      <c r="Y499" s="136"/>
      <c r="Z499" s="136"/>
    </row>
    <row r="500" spans="1:26" ht="14.25" customHeight="1">
      <c r="A500" s="136"/>
      <c r="B500" s="136"/>
      <c r="C500" s="136"/>
      <c r="D500" s="136"/>
      <c r="E500" s="136"/>
      <c r="F500" s="136"/>
      <c r="G500" s="136"/>
      <c r="H500" s="136"/>
      <c r="I500" s="140"/>
      <c r="J500" s="136"/>
      <c r="K500" s="136"/>
      <c r="L500" s="136"/>
      <c r="M500" s="136"/>
      <c r="N500" s="136"/>
      <c r="O500" s="136"/>
      <c r="P500" s="136"/>
      <c r="Q500" s="136"/>
      <c r="R500" s="136"/>
      <c r="S500" s="136"/>
      <c r="T500" s="136"/>
      <c r="U500" s="136"/>
      <c r="V500" s="136"/>
      <c r="W500" s="136"/>
      <c r="X500" s="136"/>
      <c r="Y500" s="136"/>
      <c r="Z500" s="136"/>
    </row>
    <row r="501" spans="1:26" ht="14.25" customHeight="1">
      <c r="A501" s="136"/>
      <c r="B501" s="136"/>
      <c r="C501" s="136"/>
      <c r="D501" s="136"/>
      <c r="E501" s="136"/>
      <c r="F501" s="136"/>
      <c r="G501" s="136"/>
      <c r="H501" s="136"/>
      <c r="I501" s="140"/>
      <c r="J501" s="136"/>
      <c r="K501" s="136"/>
      <c r="L501" s="136"/>
      <c r="M501" s="136"/>
      <c r="N501" s="136"/>
      <c r="O501" s="136"/>
      <c r="P501" s="136"/>
      <c r="Q501" s="136"/>
      <c r="R501" s="136"/>
      <c r="S501" s="136"/>
      <c r="T501" s="136"/>
      <c r="U501" s="136"/>
      <c r="V501" s="136"/>
      <c r="W501" s="136"/>
      <c r="X501" s="136"/>
      <c r="Y501" s="136"/>
      <c r="Z501" s="136"/>
    </row>
    <row r="502" spans="1:26" ht="14.25" customHeight="1">
      <c r="A502" s="136"/>
      <c r="B502" s="136"/>
      <c r="C502" s="136"/>
      <c r="D502" s="136"/>
      <c r="E502" s="136"/>
      <c r="F502" s="136"/>
      <c r="G502" s="136"/>
      <c r="H502" s="136"/>
      <c r="I502" s="140"/>
      <c r="J502" s="136"/>
      <c r="K502" s="136"/>
      <c r="L502" s="136"/>
      <c r="M502" s="136"/>
      <c r="N502" s="136"/>
      <c r="O502" s="136"/>
      <c r="P502" s="136"/>
      <c r="Q502" s="136"/>
      <c r="R502" s="136"/>
      <c r="S502" s="136"/>
      <c r="T502" s="136"/>
      <c r="U502" s="136"/>
      <c r="V502" s="136"/>
      <c r="W502" s="136"/>
      <c r="X502" s="136"/>
      <c r="Y502" s="136"/>
      <c r="Z502" s="136"/>
    </row>
    <row r="503" spans="1:26" ht="14.25" customHeight="1">
      <c r="A503" s="136"/>
      <c r="B503" s="136"/>
      <c r="C503" s="136"/>
      <c r="D503" s="136"/>
      <c r="E503" s="136"/>
      <c r="F503" s="136"/>
      <c r="G503" s="136"/>
      <c r="H503" s="136"/>
      <c r="I503" s="140"/>
      <c r="J503" s="136"/>
      <c r="K503" s="136"/>
      <c r="L503" s="136"/>
      <c r="M503" s="136"/>
      <c r="N503" s="136"/>
      <c r="O503" s="136"/>
      <c r="P503" s="136"/>
      <c r="Q503" s="136"/>
      <c r="R503" s="136"/>
      <c r="S503" s="136"/>
      <c r="T503" s="136"/>
      <c r="U503" s="136"/>
      <c r="V503" s="136"/>
      <c r="W503" s="136"/>
      <c r="X503" s="136"/>
      <c r="Y503" s="136"/>
      <c r="Z503" s="136"/>
    </row>
    <row r="504" spans="1:26" ht="14.25" customHeight="1">
      <c r="A504" s="136"/>
      <c r="B504" s="136"/>
      <c r="C504" s="136"/>
      <c r="D504" s="136"/>
      <c r="E504" s="136"/>
      <c r="F504" s="136"/>
      <c r="G504" s="136"/>
      <c r="H504" s="136"/>
      <c r="I504" s="140"/>
      <c r="J504" s="136"/>
      <c r="K504" s="136"/>
      <c r="L504" s="136"/>
      <c r="M504" s="136"/>
      <c r="N504" s="136"/>
      <c r="O504" s="136"/>
      <c r="P504" s="136"/>
      <c r="Q504" s="136"/>
      <c r="R504" s="136"/>
      <c r="S504" s="136"/>
      <c r="T504" s="136"/>
      <c r="U504" s="136"/>
      <c r="V504" s="136"/>
      <c r="W504" s="136"/>
      <c r="X504" s="136"/>
      <c r="Y504" s="136"/>
      <c r="Z504" s="136"/>
    </row>
    <row r="505" spans="1:26" ht="14.25" customHeight="1">
      <c r="A505" s="136"/>
      <c r="B505" s="136"/>
      <c r="C505" s="136"/>
      <c r="D505" s="136"/>
      <c r="E505" s="136"/>
      <c r="F505" s="136"/>
      <c r="G505" s="136"/>
      <c r="H505" s="136"/>
      <c r="I505" s="140"/>
      <c r="J505" s="136"/>
      <c r="K505" s="136"/>
      <c r="L505" s="136"/>
      <c r="M505" s="136"/>
      <c r="N505" s="136"/>
      <c r="O505" s="136"/>
      <c r="P505" s="136"/>
      <c r="Q505" s="136"/>
      <c r="R505" s="136"/>
      <c r="S505" s="136"/>
      <c r="T505" s="136"/>
      <c r="U505" s="136"/>
      <c r="V505" s="136"/>
      <c r="W505" s="136"/>
      <c r="X505" s="136"/>
      <c r="Y505" s="136"/>
      <c r="Z505" s="136"/>
    </row>
    <row r="506" spans="1:26" ht="14.25" customHeight="1">
      <c r="A506" s="136"/>
      <c r="B506" s="136"/>
      <c r="C506" s="136"/>
      <c r="D506" s="136"/>
      <c r="E506" s="136"/>
      <c r="F506" s="136"/>
      <c r="G506" s="136"/>
      <c r="H506" s="136"/>
      <c r="I506" s="140"/>
      <c r="J506" s="136"/>
      <c r="K506" s="136"/>
      <c r="L506" s="136"/>
      <c r="M506" s="136"/>
      <c r="N506" s="136"/>
      <c r="O506" s="136"/>
      <c r="P506" s="136"/>
      <c r="Q506" s="136"/>
      <c r="R506" s="136"/>
      <c r="S506" s="136"/>
      <c r="T506" s="136"/>
      <c r="U506" s="136"/>
      <c r="V506" s="136"/>
      <c r="W506" s="136"/>
      <c r="X506" s="136"/>
      <c r="Y506" s="136"/>
      <c r="Z506" s="136"/>
    </row>
    <row r="507" spans="1:26" ht="14.25" customHeight="1">
      <c r="A507" s="136"/>
      <c r="B507" s="136"/>
      <c r="C507" s="136"/>
      <c r="D507" s="136"/>
      <c r="E507" s="136"/>
      <c r="F507" s="136"/>
      <c r="G507" s="136"/>
      <c r="H507" s="136"/>
      <c r="I507" s="140"/>
      <c r="J507" s="136"/>
      <c r="K507" s="136"/>
      <c r="L507" s="136"/>
      <c r="M507" s="136"/>
      <c r="N507" s="136"/>
      <c r="O507" s="136"/>
      <c r="P507" s="136"/>
      <c r="Q507" s="136"/>
      <c r="R507" s="136"/>
      <c r="S507" s="136"/>
      <c r="T507" s="136"/>
      <c r="U507" s="136"/>
      <c r="V507" s="136"/>
      <c r="W507" s="136"/>
      <c r="X507" s="136"/>
      <c r="Y507" s="136"/>
      <c r="Z507" s="136"/>
    </row>
    <row r="508" spans="1:26" ht="14.25" customHeight="1">
      <c r="A508" s="136"/>
      <c r="B508" s="136"/>
      <c r="C508" s="136"/>
      <c r="D508" s="136"/>
      <c r="E508" s="136"/>
      <c r="F508" s="136"/>
      <c r="G508" s="136"/>
      <c r="H508" s="136"/>
      <c r="I508" s="140"/>
      <c r="J508" s="136"/>
      <c r="K508" s="136"/>
      <c r="L508" s="136"/>
      <c r="M508" s="136"/>
      <c r="N508" s="136"/>
      <c r="O508" s="136"/>
      <c r="P508" s="136"/>
      <c r="Q508" s="136"/>
      <c r="R508" s="136"/>
      <c r="S508" s="136"/>
      <c r="T508" s="136"/>
      <c r="U508" s="136"/>
      <c r="V508" s="136"/>
      <c r="W508" s="136"/>
      <c r="X508" s="136"/>
      <c r="Y508" s="136"/>
      <c r="Z508" s="136"/>
    </row>
    <row r="509" spans="1:26" ht="14.25" customHeight="1">
      <c r="A509" s="136"/>
      <c r="B509" s="136"/>
      <c r="C509" s="136"/>
      <c r="D509" s="136"/>
      <c r="E509" s="136"/>
      <c r="F509" s="136"/>
      <c r="G509" s="136"/>
      <c r="H509" s="136"/>
      <c r="I509" s="140"/>
      <c r="J509" s="136"/>
      <c r="K509" s="136"/>
      <c r="L509" s="136"/>
      <c r="M509" s="136"/>
      <c r="N509" s="136"/>
      <c r="O509" s="136"/>
      <c r="P509" s="136"/>
      <c r="Q509" s="136"/>
      <c r="R509" s="136"/>
      <c r="S509" s="136"/>
      <c r="T509" s="136"/>
      <c r="U509" s="136"/>
      <c r="V509" s="136"/>
      <c r="W509" s="136"/>
      <c r="X509" s="136"/>
      <c r="Y509" s="136"/>
      <c r="Z509" s="136"/>
    </row>
    <row r="510" spans="1:26" ht="14.25" customHeight="1">
      <c r="A510" s="136"/>
      <c r="B510" s="136"/>
      <c r="C510" s="136"/>
      <c r="D510" s="136"/>
      <c r="E510" s="136"/>
      <c r="F510" s="136"/>
      <c r="G510" s="136"/>
      <c r="H510" s="136"/>
      <c r="I510" s="140"/>
      <c r="J510" s="136"/>
      <c r="K510" s="136"/>
      <c r="L510" s="136"/>
      <c r="M510" s="136"/>
      <c r="N510" s="136"/>
      <c r="O510" s="136"/>
      <c r="P510" s="136"/>
      <c r="Q510" s="136"/>
      <c r="R510" s="136"/>
      <c r="S510" s="136"/>
      <c r="T510" s="136"/>
      <c r="U510" s="136"/>
      <c r="V510" s="136"/>
      <c r="W510" s="136"/>
      <c r="X510" s="136"/>
      <c r="Y510" s="136"/>
      <c r="Z510" s="136"/>
    </row>
    <row r="511" spans="1:26" ht="14.25" customHeight="1">
      <c r="A511" s="136"/>
      <c r="B511" s="136"/>
      <c r="C511" s="136"/>
      <c r="D511" s="136"/>
      <c r="E511" s="136"/>
      <c r="F511" s="136"/>
      <c r="G511" s="136"/>
      <c r="H511" s="136"/>
      <c r="I511" s="140"/>
      <c r="J511" s="136"/>
      <c r="K511" s="136"/>
      <c r="L511" s="136"/>
      <c r="M511" s="136"/>
      <c r="N511" s="136"/>
      <c r="O511" s="136"/>
      <c r="P511" s="136"/>
      <c r="Q511" s="136"/>
      <c r="R511" s="136"/>
      <c r="S511" s="136"/>
      <c r="T511" s="136"/>
      <c r="U511" s="136"/>
      <c r="V511" s="136"/>
      <c r="W511" s="136"/>
      <c r="X511" s="136"/>
      <c r="Y511" s="136"/>
      <c r="Z511" s="136"/>
    </row>
    <row r="512" spans="1:26" ht="14.25" customHeight="1">
      <c r="A512" s="136"/>
      <c r="B512" s="136"/>
      <c r="C512" s="136"/>
      <c r="D512" s="136"/>
      <c r="E512" s="136"/>
      <c r="F512" s="136"/>
      <c r="G512" s="136"/>
      <c r="H512" s="136"/>
      <c r="I512" s="140"/>
      <c r="J512" s="136"/>
      <c r="K512" s="136"/>
      <c r="L512" s="136"/>
      <c r="M512" s="136"/>
      <c r="N512" s="136"/>
      <c r="O512" s="136"/>
      <c r="P512" s="136"/>
      <c r="Q512" s="136"/>
      <c r="R512" s="136"/>
      <c r="S512" s="136"/>
      <c r="T512" s="136"/>
      <c r="U512" s="136"/>
      <c r="V512" s="136"/>
      <c r="W512" s="136"/>
      <c r="X512" s="136"/>
      <c r="Y512" s="136"/>
      <c r="Z512" s="136"/>
    </row>
    <row r="513" spans="1:26" ht="14.25" customHeight="1">
      <c r="A513" s="136"/>
      <c r="B513" s="136"/>
      <c r="C513" s="136"/>
      <c r="D513" s="136"/>
      <c r="E513" s="136"/>
      <c r="F513" s="136"/>
      <c r="G513" s="136"/>
      <c r="H513" s="136"/>
      <c r="I513" s="140"/>
      <c r="J513" s="136"/>
      <c r="K513" s="136"/>
      <c r="L513" s="136"/>
      <c r="M513" s="136"/>
      <c r="N513" s="136"/>
      <c r="O513" s="136"/>
      <c r="P513" s="136"/>
      <c r="Q513" s="136"/>
      <c r="R513" s="136"/>
      <c r="S513" s="136"/>
      <c r="T513" s="136"/>
      <c r="U513" s="136"/>
      <c r="V513" s="136"/>
      <c r="W513" s="136"/>
      <c r="X513" s="136"/>
      <c r="Y513" s="136"/>
      <c r="Z513" s="136"/>
    </row>
    <row r="514" spans="1:26" ht="14.25" customHeight="1">
      <c r="A514" s="136"/>
      <c r="B514" s="136"/>
      <c r="C514" s="136"/>
      <c r="D514" s="136"/>
      <c r="E514" s="136"/>
      <c r="F514" s="136"/>
      <c r="G514" s="136"/>
      <c r="H514" s="136"/>
      <c r="I514" s="140"/>
      <c r="J514" s="136"/>
      <c r="K514" s="136"/>
      <c r="L514" s="136"/>
      <c r="M514" s="136"/>
      <c r="N514" s="136"/>
      <c r="O514" s="136"/>
      <c r="P514" s="136"/>
      <c r="Q514" s="136"/>
      <c r="R514" s="136"/>
      <c r="S514" s="136"/>
      <c r="T514" s="136"/>
      <c r="U514" s="136"/>
      <c r="V514" s="136"/>
      <c r="W514" s="136"/>
      <c r="X514" s="136"/>
      <c r="Y514" s="136"/>
      <c r="Z514" s="136"/>
    </row>
    <row r="515" spans="1:26" ht="14.25" customHeight="1">
      <c r="A515" s="136"/>
      <c r="B515" s="136"/>
      <c r="C515" s="136"/>
      <c r="D515" s="136"/>
      <c r="E515" s="136"/>
      <c r="F515" s="136"/>
      <c r="G515" s="136"/>
      <c r="H515" s="136"/>
      <c r="I515" s="140"/>
      <c r="J515" s="136"/>
      <c r="K515" s="136"/>
      <c r="L515" s="136"/>
      <c r="M515" s="136"/>
      <c r="N515" s="136"/>
      <c r="O515" s="136"/>
      <c r="P515" s="136"/>
      <c r="Q515" s="136"/>
      <c r="R515" s="136"/>
      <c r="S515" s="136"/>
      <c r="T515" s="136"/>
      <c r="U515" s="136"/>
      <c r="V515" s="136"/>
      <c r="W515" s="136"/>
      <c r="X515" s="136"/>
      <c r="Y515" s="136"/>
      <c r="Z515" s="136"/>
    </row>
    <row r="516" spans="1:26" ht="14.25" customHeight="1">
      <c r="A516" s="136"/>
      <c r="B516" s="136"/>
      <c r="C516" s="136"/>
      <c r="D516" s="136"/>
      <c r="E516" s="136"/>
      <c r="F516" s="136"/>
      <c r="G516" s="136"/>
      <c r="H516" s="136"/>
      <c r="I516" s="140"/>
      <c r="J516" s="136"/>
      <c r="K516" s="136"/>
      <c r="L516" s="136"/>
      <c r="M516" s="136"/>
      <c r="N516" s="136"/>
      <c r="O516" s="136"/>
      <c r="P516" s="136"/>
      <c r="Q516" s="136"/>
      <c r="R516" s="136"/>
      <c r="S516" s="136"/>
      <c r="T516" s="136"/>
      <c r="U516" s="136"/>
      <c r="V516" s="136"/>
      <c r="W516" s="136"/>
      <c r="X516" s="136"/>
      <c r="Y516" s="136"/>
      <c r="Z516" s="136"/>
    </row>
    <row r="517" spans="1:26" ht="14.25" customHeight="1">
      <c r="A517" s="136"/>
      <c r="B517" s="136"/>
      <c r="C517" s="136"/>
      <c r="D517" s="136"/>
      <c r="E517" s="136"/>
      <c r="F517" s="136"/>
      <c r="G517" s="136"/>
      <c r="H517" s="136"/>
      <c r="I517" s="140"/>
      <c r="J517" s="136"/>
      <c r="K517" s="136"/>
      <c r="L517" s="136"/>
      <c r="M517" s="136"/>
      <c r="N517" s="136"/>
      <c r="O517" s="136"/>
      <c r="P517" s="136"/>
      <c r="Q517" s="136"/>
      <c r="R517" s="136"/>
      <c r="S517" s="136"/>
      <c r="T517" s="136"/>
      <c r="U517" s="136"/>
      <c r="V517" s="136"/>
      <c r="W517" s="136"/>
      <c r="X517" s="136"/>
      <c r="Y517" s="136"/>
      <c r="Z517" s="136"/>
    </row>
    <row r="518" spans="1:26" ht="14.25" customHeight="1">
      <c r="A518" s="136"/>
      <c r="B518" s="136"/>
      <c r="C518" s="136"/>
      <c r="D518" s="136"/>
      <c r="E518" s="136"/>
      <c r="F518" s="136"/>
      <c r="G518" s="136"/>
      <c r="H518" s="136"/>
      <c r="I518" s="140"/>
      <c r="J518" s="136"/>
      <c r="K518" s="136"/>
      <c r="L518" s="136"/>
      <c r="M518" s="136"/>
      <c r="N518" s="136"/>
      <c r="O518" s="136"/>
      <c r="P518" s="136"/>
      <c r="Q518" s="136"/>
      <c r="R518" s="136"/>
      <c r="S518" s="136"/>
      <c r="T518" s="136"/>
      <c r="U518" s="136"/>
      <c r="V518" s="136"/>
      <c r="W518" s="136"/>
      <c r="X518" s="136"/>
      <c r="Y518" s="136"/>
      <c r="Z518" s="136"/>
    </row>
    <row r="519" spans="1:26" ht="14.25" customHeight="1">
      <c r="A519" s="136"/>
      <c r="B519" s="136"/>
      <c r="C519" s="136"/>
      <c r="D519" s="136"/>
      <c r="E519" s="136"/>
      <c r="F519" s="136"/>
      <c r="G519" s="136"/>
      <c r="H519" s="136"/>
      <c r="I519" s="140"/>
      <c r="J519" s="136"/>
      <c r="K519" s="136"/>
      <c r="L519" s="136"/>
      <c r="M519" s="136"/>
      <c r="N519" s="136"/>
      <c r="O519" s="136"/>
      <c r="P519" s="136"/>
      <c r="Q519" s="136"/>
      <c r="R519" s="136"/>
      <c r="S519" s="136"/>
      <c r="T519" s="136"/>
      <c r="U519" s="136"/>
      <c r="V519" s="136"/>
      <c r="W519" s="136"/>
      <c r="X519" s="136"/>
      <c r="Y519" s="136"/>
      <c r="Z519" s="136"/>
    </row>
    <row r="520" spans="1:26" ht="14.25" customHeight="1">
      <c r="A520" s="136"/>
      <c r="B520" s="136"/>
      <c r="C520" s="136"/>
      <c r="D520" s="136"/>
      <c r="E520" s="136"/>
      <c r="F520" s="136"/>
      <c r="G520" s="136"/>
      <c r="H520" s="136"/>
      <c r="I520" s="140"/>
      <c r="J520" s="136"/>
      <c r="K520" s="136"/>
      <c r="L520" s="136"/>
      <c r="M520" s="136"/>
      <c r="N520" s="136"/>
      <c r="O520" s="136"/>
      <c r="P520" s="136"/>
      <c r="Q520" s="136"/>
      <c r="R520" s="136"/>
      <c r="S520" s="136"/>
      <c r="T520" s="136"/>
      <c r="U520" s="136"/>
      <c r="V520" s="136"/>
      <c r="W520" s="136"/>
      <c r="X520" s="136"/>
      <c r="Y520" s="136"/>
      <c r="Z520" s="136"/>
    </row>
    <row r="521" spans="1:26" ht="14.25" customHeight="1">
      <c r="A521" s="136"/>
      <c r="B521" s="136"/>
      <c r="C521" s="136"/>
      <c r="D521" s="136"/>
      <c r="E521" s="136"/>
      <c r="F521" s="136"/>
      <c r="G521" s="136"/>
      <c r="H521" s="136"/>
      <c r="I521" s="140"/>
      <c r="J521" s="136"/>
      <c r="K521" s="136"/>
      <c r="L521" s="136"/>
      <c r="M521" s="136"/>
      <c r="N521" s="136"/>
      <c r="O521" s="136"/>
      <c r="P521" s="136"/>
      <c r="Q521" s="136"/>
      <c r="R521" s="136"/>
      <c r="S521" s="136"/>
      <c r="T521" s="136"/>
      <c r="U521" s="136"/>
      <c r="V521" s="136"/>
      <c r="W521" s="136"/>
      <c r="X521" s="136"/>
      <c r="Y521" s="136"/>
      <c r="Z521" s="136"/>
    </row>
    <row r="522" spans="1:26" ht="14.25" customHeight="1">
      <c r="A522" s="136"/>
      <c r="B522" s="136"/>
      <c r="C522" s="136"/>
      <c r="D522" s="136"/>
      <c r="E522" s="136"/>
      <c r="F522" s="136"/>
      <c r="G522" s="136"/>
      <c r="H522" s="136"/>
      <c r="I522" s="140"/>
      <c r="J522" s="136"/>
      <c r="K522" s="136"/>
      <c r="L522" s="136"/>
      <c r="M522" s="136"/>
      <c r="N522" s="136"/>
      <c r="O522" s="136"/>
      <c r="P522" s="136"/>
      <c r="Q522" s="136"/>
      <c r="R522" s="136"/>
      <c r="S522" s="136"/>
      <c r="T522" s="136"/>
      <c r="U522" s="136"/>
      <c r="V522" s="136"/>
      <c r="W522" s="136"/>
      <c r="X522" s="136"/>
      <c r="Y522" s="136"/>
      <c r="Z522" s="136"/>
    </row>
    <row r="523" spans="1:26" ht="14.25" customHeight="1">
      <c r="A523" s="136"/>
      <c r="B523" s="136"/>
      <c r="C523" s="136"/>
      <c r="D523" s="136"/>
      <c r="E523" s="136"/>
      <c r="F523" s="136"/>
      <c r="G523" s="136"/>
      <c r="H523" s="136"/>
      <c r="I523" s="140"/>
      <c r="J523" s="136"/>
      <c r="K523" s="136"/>
      <c r="L523" s="136"/>
      <c r="M523" s="136"/>
      <c r="N523" s="136"/>
      <c r="O523" s="136"/>
      <c r="P523" s="136"/>
      <c r="Q523" s="136"/>
      <c r="R523" s="136"/>
      <c r="S523" s="136"/>
      <c r="T523" s="136"/>
      <c r="U523" s="136"/>
      <c r="V523" s="136"/>
      <c r="W523" s="136"/>
      <c r="X523" s="136"/>
      <c r="Y523" s="136"/>
      <c r="Z523" s="136"/>
    </row>
    <row r="524" spans="1:26" ht="14.25" customHeight="1">
      <c r="A524" s="136"/>
      <c r="B524" s="136"/>
      <c r="C524" s="136"/>
      <c r="D524" s="136"/>
      <c r="E524" s="136"/>
      <c r="F524" s="136"/>
      <c r="G524" s="136"/>
      <c r="H524" s="136"/>
      <c r="I524" s="140"/>
      <c r="J524" s="136"/>
      <c r="K524" s="136"/>
      <c r="L524" s="136"/>
      <c r="M524" s="136"/>
      <c r="N524" s="136"/>
      <c r="O524" s="136"/>
      <c r="P524" s="136"/>
      <c r="Q524" s="136"/>
      <c r="R524" s="136"/>
      <c r="S524" s="136"/>
      <c r="T524" s="136"/>
      <c r="U524" s="136"/>
      <c r="V524" s="136"/>
      <c r="W524" s="136"/>
      <c r="X524" s="136"/>
      <c r="Y524" s="136"/>
      <c r="Z524" s="136"/>
    </row>
    <row r="525" spans="1:26" ht="14.25" customHeight="1">
      <c r="A525" s="136"/>
      <c r="B525" s="136"/>
      <c r="C525" s="136"/>
      <c r="D525" s="136"/>
      <c r="E525" s="136"/>
      <c r="F525" s="136"/>
      <c r="G525" s="136"/>
      <c r="H525" s="136"/>
      <c r="I525" s="140"/>
      <c r="J525" s="136"/>
      <c r="K525" s="136"/>
      <c r="L525" s="136"/>
      <c r="M525" s="136"/>
      <c r="N525" s="136"/>
      <c r="O525" s="136"/>
      <c r="P525" s="136"/>
      <c r="Q525" s="136"/>
      <c r="R525" s="136"/>
      <c r="S525" s="136"/>
      <c r="T525" s="136"/>
      <c r="U525" s="136"/>
      <c r="V525" s="136"/>
      <c r="W525" s="136"/>
      <c r="X525" s="136"/>
      <c r="Y525" s="136"/>
      <c r="Z525" s="136"/>
    </row>
    <row r="526" spans="1:26" ht="14.25" customHeight="1">
      <c r="A526" s="136"/>
      <c r="B526" s="136"/>
      <c r="C526" s="136"/>
      <c r="D526" s="136"/>
      <c r="E526" s="136"/>
      <c r="F526" s="136"/>
      <c r="G526" s="136"/>
      <c r="H526" s="136"/>
      <c r="I526" s="140"/>
      <c r="J526" s="136"/>
      <c r="K526" s="136"/>
      <c r="L526" s="136"/>
      <c r="M526" s="136"/>
      <c r="N526" s="136"/>
      <c r="O526" s="136"/>
      <c r="P526" s="136"/>
      <c r="Q526" s="136"/>
      <c r="R526" s="136"/>
      <c r="S526" s="136"/>
      <c r="T526" s="136"/>
      <c r="U526" s="136"/>
      <c r="V526" s="136"/>
      <c r="W526" s="136"/>
      <c r="X526" s="136"/>
      <c r="Y526" s="136"/>
      <c r="Z526" s="136"/>
    </row>
    <row r="527" spans="1:26" ht="14.25" customHeight="1">
      <c r="A527" s="136"/>
      <c r="B527" s="136"/>
      <c r="C527" s="136"/>
      <c r="D527" s="136"/>
      <c r="E527" s="136"/>
      <c r="F527" s="136"/>
      <c r="G527" s="136"/>
      <c r="H527" s="136"/>
      <c r="I527" s="140"/>
      <c r="J527" s="136"/>
      <c r="K527" s="136"/>
      <c r="L527" s="136"/>
      <c r="M527" s="136"/>
      <c r="N527" s="136"/>
      <c r="O527" s="136"/>
      <c r="P527" s="136"/>
      <c r="Q527" s="136"/>
      <c r="R527" s="136"/>
      <c r="S527" s="136"/>
      <c r="T527" s="136"/>
      <c r="U527" s="136"/>
      <c r="V527" s="136"/>
      <c r="W527" s="136"/>
      <c r="X527" s="136"/>
      <c r="Y527" s="136"/>
      <c r="Z527" s="136"/>
    </row>
    <row r="528" spans="1:26" ht="14.25" customHeight="1">
      <c r="A528" s="136"/>
      <c r="B528" s="136"/>
      <c r="C528" s="136"/>
      <c r="D528" s="136"/>
      <c r="E528" s="136"/>
      <c r="F528" s="136"/>
      <c r="G528" s="136"/>
      <c r="H528" s="136"/>
      <c r="I528" s="140"/>
      <c r="J528" s="136"/>
      <c r="K528" s="136"/>
      <c r="L528" s="136"/>
      <c r="M528" s="136"/>
      <c r="N528" s="136"/>
      <c r="O528" s="136"/>
      <c r="P528" s="136"/>
      <c r="Q528" s="136"/>
      <c r="R528" s="136"/>
      <c r="S528" s="136"/>
      <c r="T528" s="136"/>
      <c r="U528" s="136"/>
      <c r="V528" s="136"/>
      <c r="W528" s="136"/>
      <c r="X528" s="136"/>
      <c r="Y528" s="136"/>
      <c r="Z528" s="136"/>
    </row>
    <row r="529" spans="1:26" ht="14.25" customHeight="1">
      <c r="A529" s="136"/>
      <c r="B529" s="136"/>
      <c r="C529" s="136"/>
      <c r="D529" s="136"/>
      <c r="E529" s="136"/>
      <c r="F529" s="136"/>
      <c r="G529" s="136"/>
      <c r="H529" s="136"/>
      <c r="I529" s="140"/>
      <c r="J529" s="136"/>
      <c r="K529" s="136"/>
      <c r="L529" s="136"/>
      <c r="M529" s="136"/>
      <c r="N529" s="136"/>
      <c r="O529" s="136"/>
      <c r="P529" s="136"/>
      <c r="Q529" s="136"/>
      <c r="R529" s="136"/>
      <c r="S529" s="136"/>
      <c r="T529" s="136"/>
      <c r="U529" s="136"/>
      <c r="V529" s="136"/>
      <c r="W529" s="136"/>
      <c r="X529" s="136"/>
      <c r="Y529" s="136"/>
      <c r="Z529" s="136"/>
    </row>
    <row r="530" spans="1:26" ht="14.25" customHeight="1">
      <c r="A530" s="136"/>
      <c r="B530" s="136"/>
      <c r="C530" s="136"/>
      <c r="D530" s="136"/>
      <c r="E530" s="136"/>
      <c r="F530" s="136"/>
      <c r="G530" s="136"/>
      <c r="H530" s="136"/>
      <c r="I530" s="140"/>
      <c r="J530" s="136"/>
      <c r="K530" s="136"/>
      <c r="L530" s="136"/>
      <c r="M530" s="136"/>
      <c r="N530" s="136"/>
      <c r="O530" s="136"/>
      <c r="P530" s="136"/>
      <c r="Q530" s="136"/>
      <c r="R530" s="136"/>
      <c r="S530" s="136"/>
      <c r="T530" s="136"/>
      <c r="U530" s="136"/>
      <c r="V530" s="136"/>
      <c r="W530" s="136"/>
      <c r="X530" s="136"/>
      <c r="Y530" s="136"/>
      <c r="Z530" s="136"/>
    </row>
    <row r="531" spans="1:26" ht="14.25" customHeight="1">
      <c r="A531" s="136"/>
      <c r="B531" s="136"/>
      <c r="C531" s="136"/>
      <c r="D531" s="136"/>
      <c r="E531" s="136"/>
      <c r="F531" s="136"/>
      <c r="G531" s="136"/>
      <c r="H531" s="136"/>
      <c r="I531" s="140"/>
      <c r="J531" s="136"/>
      <c r="K531" s="136"/>
      <c r="L531" s="136"/>
      <c r="M531" s="136"/>
      <c r="N531" s="136"/>
      <c r="O531" s="136"/>
      <c r="P531" s="136"/>
      <c r="Q531" s="136"/>
      <c r="R531" s="136"/>
      <c r="S531" s="136"/>
      <c r="T531" s="136"/>
      <c r="U531" s="136"/>
      <c r="V531" s="136"/>
      <c r="W531" s="136"/>
      <c r="X531" s="136"/>
      <c r="Y531" s="136"/>
      <c r="Z531" s="136"/>
    </row>
    <row r="532" spans="1:26" ht="14.25" customHeight="1">
      <c r="A532" s="136"/>
      <c r="B532" s="136"/>
      <c r="C532" s="136"/>
      <c r="D532" s="136"/>
      <c r="E532" s="136"/>
      <c r="F532" s="136"/>
      <c r="G532" s="136"/>
      <c r="H532" s="136"/>
      <c r="I532" s="140"/>
      <c r="J532" s="136"/>
      <c r="K532" s="136"/>
      <c r="L532" s="136"/>
      <c r="M532" s="136"/>
      <c r="N532" s="136"/>
      <c r="O532" s="136"/>
      <c r="P532" s="136"/>
      <c r="Q532" s="136"/>
      <c r="R532" s="136"/>
      <c r="S532" s="136"/>
      <c r="T532" s="136"/>
      <c r="U532" s="136"/>
      <c r="V532" s="136"/>
      <c r="W532" s="136"/>
      <c r="X532" s="136"/>
      <c r="Y532" s="136"/>
      <c r="Z532" s="136"/>
    </row>
    <row r="533" spans="1:26" ht="14.25" customHeight="1">
      <c r="A533" s="136"/>
      <c r="B533" s="136"/>
      <c r="C533" s="136"/>
      <c r="D533" s="136"/>
      <c r="E533" s="136"/>
      <c r="F533" s="136"/>
      <c r="G533" s="136"/>
      <c r="H533" s="136"/>
      <c r="I533" s="140"/>
      <c r="J533" s="136"/>
      <c r="K533" s="136"/>
      <c r="L533" s="136"/>
      <c r="M533" s="136"/>
      <c r="N533" s="136"/>
      <c r="O533" s="136"/>
      <c r="P533" s="136"/>
      <c r="Q533" s="136"/>
      <c r="R533" s="136"/>
      <c r="S533" s="136"/>
      <c r="T533" s="136"/>
      <c r="U533" s="136"/>
      <c r="V533" s="136"/>
      <c r="W533" s="136"/>
      <c r="X533" s="136"/>
      <c r="Y533" s="136"/>
      <c r="Z533" s="136"/>
    </row>
    <row r="534" spans="1:26" ht="14.25" customHeight="1">
      <c r="A534" s="136"/>
      <c r="B534" s="136"/>
      <c r="C534" s="136"/>
      <c r="D534" s="136"/>
      <c r="E534" s="136"/>
      <c r="F534" s="136"/>
      <c r="G534" s="136"/>
      <c r="H534" s="136"/>
      <c r="I534" s="140"/>
      <c r="J534" s="136"/>
      <c r="K534" s="136"/>
      <c r="L534" s="136"/>
      <c r="M534" s="136"/>
      <c r="N534" s="136"/>
      <c r="O534" s="136"/>
      <c r="P534" s="136"/>
      <c r="Q534" s="136"/>
      <c r="R534" s="136"/>
      <c r="S534" s="136"/>
      <c r="T534" s="136"/>
      <c r="U534" s="136"/>
      <c r="V534" s="136"/>
      <c r="W534" s="136"/>
      <c r="X534" s="136"/>
      <c r="Y534" s="136"/>
      <c r="Z534" s="136"/>
    </row>
    <row r="535" spans="1:26" ht="14.25" customHeight="1">
      <c r="A535" s="136"/>
      <c r="B535" s="136"/>
      <c r="C535" s="136"/>
      <c r="D535" s="136"/>
      <c r="E535" s="136"/>
      <c r="F535" s="136"/>
      <c r="G535" s="136"/>
      <c r="H535" s="136"/>
      <c r="I535" s="140"/>
      <c r="J535" s="136"/>
      <c r="K535" s="136"/>
      <c r="L535" s="136"/>
      <c r="M535" s="136"/>
      <c r="N535" s="136"/>
      <c r="O535" s="136"/>
      <c r="P535" s="136"/>
      <c r="Q535" s="136"/>
      <c r="R535" s="136"/>
      <c r="S535" s="136"/>
      <c r="T535" s="136"/>
      <c r="U535" s="136"/>
      <c r="V535" s="136"/>
      <c r="W535" s="136"/>
      <c r="X535" s="136"/>
      <c r="Y535" s="136"/>
      <c r="Z535" s="136"/>
    </row>
    <row r="536" spans="1:26" ht="14.25" customHeight="1">
      <c r="A536" s="136"/>
      <c r="B536" s="136"/>
      <c r="C536" s="136"/>
      <c r="D536" s="136"/>
      <c r="E536" s="136"/>
      <c r="F536" s="136"/>
      <c r="G536" s="136"/>
      <c r="H536" s="136"/>
      <c r="I536" s="140"/>
      <c r="J536" s="136"/>
      <c r="K536" s="136"/>
      <c r="L536" s="136"/>
      <c r="M536" s="136"/>
      <c r="N536" s="136"/>
      <c r="O536" s="136"/>
      <c r="P536" s="136"/>
      <c r="Q536" s="136"/>
      <c r="R536" s="136"/>
      <c r="S536" s="136"/>
      <c r="T536" s="136"/>
      <c r="U536" s="136"/>
      <c r="V536" s="136"/>
      <c r="W536" s="136"/>
      <c r="X536" s="136"/>
      <c r="Y536" s="136"/>
      <c r="Z536" s="136"/>
    </row>
    <row r="537" spans="1:26" ht="14.25" customHeight="1">
      <c r="A537" s="136"/>
      <c r="B537" s="136"/>
      <c r="C537" s="136"/>
      <c r="D537" s="136"/>
      <c r="E537" s="136"/>
      <c r="F537" s="136"/>
      <c r="G537" s="136"/>
      <c r="H537" s="136"/>
      <c r="I537" s="140"/>
      <c r="J537" s="136"/>
      <c r="K537" s="136"/>
      <c r="L537" s="136"/>
      <c r="M537" s="136"/>
      <c r="N537" s="136"/>
      <c r="O537" s="136"/>
      <c r="P537" s="136"/>
      <c r="Q537" s="136"/>
      <c r="R537" s="136"/>
      <c r="S537" s="136"/>
      <c r="T537" s="136"/>
      <c r="U537" s="136"/>
      <c r="V537" s="136"/>
      <c r="W537" s="136"/>
      <c r="X537" s="136"/>
      <c r="Y537" s="136"/>
      <c r="Z537" s="136"/>
    </row>
    <row r="538" spans="1:26" ht="14.25" customHeight="1">
      <c r="A538" s="136"/>
      <c r="B538" s="136"/>
      <c r="C538" s="136"/>
      <c r="D538" s="136"/>
      <c r="E538" s="136"/>
      <c r="F538" s="136"/>
      <c r="G538" s="136"/>
      <c r="H538" s="136"/>
      <c r="I538" s="140"/>
      <c r="J538" s="136"/>
      <c r="K538" s="136"/>
      <c r="L538" s="136"/>
      <c r="M538" s="136"/>
      <c r="N538" s="136"/>
      <c r="O538" s="136"/>
      <c r="P538" s="136"/>
      <c r="Q538" s="136"/>
      <c r="R538" s="136"/>
      <c r="S538" s="136"/>
      <c r="T538" s="136"/>
      <c r="U538" s="136"/>
      <c r="V538" s="136"/>
      <c r="W538" s="136"/>
      <c r="X538" s="136"/>
      <c r="Y538" s="136"/>
      <c r="Z538" s="136"/>
    </row>
    <row r="539" spans="1:26" ht="14.25" customHeight="1">
      <c r="A539" s="136"/>
      <c r="B539" s="136"/>
      <c r="C539" s="136"/>
      <c r="D539" s="136"/>
      <c r="E539" s="136"/>
      <c r="F539" s="136"/>
      <c r="G539" s="136"/>
      <c r="H539" s="136"/>
      <c r="I539" s="140"/>
      <c r="J539" s="136"/>
      <c r="K539" s="136"/>
      <c r="L539" s="136"/>
      <c r="M539" s="136"/>
      <c r="N539" s="136"/>
      <c r="O539" s="136"/>
      <c r="P539" s="136"/>
      <c r="Q539" s="136"/>
      <c r="R539" s="136"/>
      <c r="S539" s="136"/>
      <c r="T539" s="136"/>
      <c r="U539" s="136"/>
      <c r="V539" s="136"/>
      <c r="W539" s="136"/>
      <c r="X539" s="136"/>
      <c r="Y539" s="136"/>
      <c r="Z539" s="136"/>
    </row>
    <row r="540" spans="1:26" ht="14.25" customHeight="1">
      <c r="A540" s="136"/>
      <c r="B540" s="136"/>
      <c r="C540" s="136"/>
      <c r="D540" s="136"/>
      <c r="E540" s="136"/>
      <c r="F540" s="136"/>
      <c r="G540" s="136"/>
      <c r="H540" s="136"/>
      <c r="I540" s="140"/>
      <c r="J540" s="136"/>
      <c r="K540" s="136"/>
      <c r="L540" s="136"/>
      <c r="M540" s="136"/>
      <c r="N540" s="136"/>
      <c r="O540" s="136"/>
      <c r="P540" s="136"/>
      <c r="Q540" s="136"/>
      <c r="R540" s="136"/>
      <c r="S540" s="136"/>
      <c r="T540" s="136"/>
      <c r="U540" s="136"/>
      <c r="V540" s="136"/>
      <c r="W540" s="136"/>
      <c r="X540" s="136"/>
      <c r="Y540" s="136"/>
      <c r="Z540" s="136"/>
    </row>
    <row r="541" spans="1:26" ht="14.25" customHeight="1">
      <c r="A541" s="136"/>
      <c r="B541" s="136"/>
      <c r="C541" s="136"/>
      <c r="D541" s="136"/>
      <c r="E541" s="136"/>
      <c r="F541" s="136"/>
      <c r="G541" s="136"/>
      <c r="H541" s="136"/>
      <c r="I541" s="140"/>
      <c r="J541" s="136"/>
      <c r="K541" s="136"/>
      <c r="L541" s="136"/>
      <c r="M541" s="136"/>
      <c r="N541" s="136"/>
      <c r="O541" s="136"/>
      <c r="P541" s="136"/>
      <c r="Q541" s="136"/>
      <c r="R541" s="136"/>
      <c r="S541" s="136"/>
      <c r="T541" s="136"/>
      <c r="U541" s="136"/>
      <c r="V541" s="136"/>
      <c r="W541" s="136"/>
      <c r="X541" s="136"/>
      <c r="Y541" s="136"/>
      <c r="Z541" s="136"/>
    </row>
    <row r="542" spans="1:26" ht="14.25" customHeight="1">
      <c r="A542" s="136"/>
      <c r="B542" s="136"/>
      <c r="C542" s="136"/>
      <c r="D542" s="136"/>
      <c r="E542" s="136"/>
      <c r="F542" s="136"/>
      <c r="G542" s="136"/>
      <c r="H542" s="136"/>
      <c r="I542" s="140"/>
      <c r="J542" s="136"/>
      <c r="K542" s="136"/>
      <c r="L542" s="136"/>
      <c r="M542" s="136"/>
      <c r="N542" s="136"/>
      <c r="O542" s="136"/>
      <c r="P542" s="136"/>
      <c r="Q542" s="136"/>
      <c r="R542" s="136"/>
      <c r="S542" s="136"/>
      <c r="T542" s="136"/>
      <c r="U542" s="136"/>
      <c r="V542" s="136"/>
      <c r="W542" s="136"/>
      <c r="X542" s="136"/>
      <c r="Y542" s="136"/>
      <c r="Z542" s="136"/>
    </row>
    <row r="543" spans="1:26" ht="14.25" customHeight="1">
      <c r="A543" s="136"/>
      <c r="B543" s="136"/>
      <c r="C543" s="136"/>
      <c r="D543" s="136"/>
      <c r="E543" s="136"/>
      <c r="F543" s="136"/>
      <c r="G543" s="136"/>
      <c r="H543" s="136"/>
      <c r="I543" s="140"/>
      <c r="J543" s="136"/>
      <c r="K543" s="136"/>
      <c r="L543" s="136"/>
      <c r="M543" s="136"/>
      <c r="N543" s="136"/>
      <c r="O543" s="136"/>
      <c r="P543" s="136"/>
      <c r="Q543" s="136"/>
      <c r="R543" s="136"/>
      <c r="S543" s="136"/>
      <c r="T543" s="136"/>
      <c r="U543" s="136"/>
      <c r="V543" s="136"/>
      <c r="W543" s="136"/>
      <c r="X543" s="136"/>
      <c r="Y543" s="136"/>
      <c r="Z543" s="136"/>
    </row>
    <row r="544" spans="1:26" ht="14.25" customHeight="1">
      <c r="A544" s="136"/>
      <c r="B544" s="136"/>
      <c r="C544" s="136"/>
      <c r="D544" s="136"/>
      <c r="E544" s="136"/>
      <c r="F544" s="136"/>
      <c r="G544" s="136"/>
      <c r="H544" s="136"/>
      <c r="I544" s="140"/>
      <c r="J544" s="136"/>
      <c r="K544" s="136"/>
      <c r="L544" s="136"/>
      <c r="M544" s="136"/>
      <c r="N544" s="136"/>
      <c r="O544" s="136"/>
      <c r="P544" s="136"/>
      <c r="Q544" s="136"/>
      <c r="R544" s="136"/>
      <c r="S544" s="136"/>
      <c r="T544" s="136"/>
      <c r="U544" s="136"/>
      <c r="V544" s="136"/>
      <c r="W544" s="136"/>
      <c r="X544" s="136"/>
      <c r="Y544" s="136"/>
      <c r="Z544" s="136"/>
    </row>
    <row r="545" spans="1:26" ht="14.25" customHeight="1">
      <c r="A545" s="136"/>
      <c r="B545" s="136"/>
      <c r="C545" s="136"/>
      <c r="D545" s="136"/>
      <c r="E545" s="136"/>
      <c r="F545" s="136"/>
      <c r="G545" s="136"/>
      <c r="H545" s="136"/>
      <c r="I545" s="140"/>
      <c r="J545" s="136"/>
      <c r="K545" s="136"/>
      <c r="L545" s="136"/>
      <c r="M545" s="136"/>
      <c r="N545" s="136"/>
      <c r="O545" s="136"/>
      <c r="P545" s="136"/>
      <c r="Q545" s="136"/>
      <c r="R545" s="136"/>
      <c r="S545" s="136"/>
      <c r="T545" s="136"/>
      <c r="U545" s="136"/>
      <c r="V545" s="136"/>
      <c r="W545" s="136"/>
      <c r="X545" s="136"/>
      <c r="Y545" s="136"/>
      <c r="Z545" s="136"/>
    </row>
    <row r="546" spans="1:26" ht="14.25" customHeight="1">
      <c r="A546" s="136"/>
      <c r="B546" s="136"/>
      <c r="C546" s="136"/>
      <c r="D546" s="136"/>
      <c r="E546" s="136"/>
      <c r="F546" s="136"/>
      <c r="G546" s="136"/>
      <c r="H546" s="136"/>
      <c r="I546" s="140"/>
      <c r="J546" s="136"/>
      <c r="K546" s="136"/>
      <c r="L546" s="136"/>
      <c r="M546" s="136"/>
      <c r="N546" s="136"/>
      <c r="O546" s="136"/>
      <c r="P546" s="136"/>
      <c r="Q546" s="136"/>
      <c r="R546" s="136"/>
      <c r="S546" s="136"/>
      <c r="T546" s="136"/>
      <c r="U546" s="136"/>
      <c r="V546" s="136"/>
      <c r="W546" s="136"/>
      <c r="X546" s="136"/>
      <c r="Y546" s="136"/>
      <c r="Z546" s="136"/>
    </row>
    <row r="547" spans="1:26" ht="14.25" customHeight="1">
      <c r="A547" s="136"/>
      <c r="B547" s="136"/>
      <c r="C547" s="136"/>
      <c r="D547" s="136"/>
      <c r="E547" s="136"/>
      <c r="F547" s="136"/>
      <c r="G547" s="136"/>
      <c r="H547" s="136"/>
      <c r="I547" s="140"/>
      <c r="J547" s="136"/>
      <c r="K547" s="136"/>
      <c r="L547" s="136"/>
      <c r="M547" s="136"/>
      <c r="N547" s="136"/>
      <c r="O547" s="136"/>
      <c r="P547" s="136"/>
      <c r="Q547" s="136"/>
      <c r="R547" s="136"/>
      <c r="S547" s="136"/>
      <c r="T547" s="136"/>
      <c r="U547" s="136"/>
      <c r="V547" s="136"/>
      <c r="W547" s="136"/>
      <c r="X547" s="136"/>
      <c r="Y547" s="136"/>
      <c r="Z547" s="136"/>
    </row>
    <row r="548" spans="1:26" ht="14.25" customHeight="1">
      <c r="A548" s="136"/>
      <c r="B548" s="136"/>
      <c r="C548" s="136"/>
      <c r="D548" s="136"/>
      <c r="E548" s="136"/>
      <c r="F548" s="136"/>
      <c r="G548" s="136"/>
      <c r="H548" s="136"/>
      <c r="I548" s="140"/>
      <c r="J548" s="136"/>
      <c r="K548" s="136"/>
      <c r="L548" s="136"/>
      <c r="M548" s="136"/>
      <c r="N548" s="136"/>
      <c r="O548" s="136"/>
      <c r="P548" s="136"/>
      <c r="Q548" s="136"/>
      <c r="R548" s="136"/>
      <c r="S548" s="136"/>
      <c r="T548" s="136"/>
      <c r="U548" s="136"/>
      <c r="V548" s="136"/>
      <c r="W548" s="136"/>
      <c r="X548" s="136"/>
      <c r="Y548" s="136"/>
      <c r="Z548" s="136"/>
    </row>
    <row r="549" spans="1:26" ht="14.25" customHeight="1">
      <c r="A549" s="136"/>
      <c r="B549" s="136"/>
      <c r="C549" s="136"/>
      <c r="D549" s="136"/>
      <c r="E549" s="136"/>
      <c r="F549" s="136"/>
      <c r="G549" s="136"/>
      <c r="H549" s="136"/>
      <c r="I549" s="140"/>
      <c r="J549" s="136"/>
      <c r="K549" s="136"/>
      <c r="L549" s="136"/>
      <c r="M549" s="136"/>
      <c r="N549" s="136"/>
      <c r="O549" s="136"/>
      <c r="P549" s="136"/>
      <c r="Q549" s="136"/>
      <c r="R549" s="136"/>
      <c r="S549" s="136"/>
      <c r="T549" s="136"/>
      <c r="U549" s="136"/>
      <c r="V549" s="136"/>
      <c r="W549" s="136"/>
      <c r="X549" s="136"/>
      <c r="Y549" s="136"/>
      <c r="Z549" s="136"/>
    </row>
    <row r="550" spans="1:26" ht="14.25" customHeight="1">
      <c r="A550" s="136"/>
      <c r="B550" s="136"/>
      <c r="C550" s="136"/>
      <c r="D550" s="136"/>
      <c r="E550" s="136"/>
      <c r="F550" s="136"/>
      <c r="G550" s="136"/>
      <c r="H550" s="136"/>
      <c r="I550" s="140"/>
      <c r="J550" s="136"/>
      <c r="K550" s="136"/>
      <c r="L550" s="136"/>
      <c r="M550" s="136"/>
      <c r="N550" s="136"/>
      <c r="O550" s="136"/>
      <c r="P550" s="136"/>
      <c r="Q550" s="136"/>
      <c r="R550" s="136"/>
      <c r="S550" s="136"/>
      <c r="T550" s="136"/>
      <c r="U550" s="136"/>
      <c r="V550" s="136"/>
      <c r="W550" s="136"/>
      <c r="X550" s="136"/>
      <c r="Y550" s="136"/>
      <c r="Z550" s="136"/>
    </row>
    <row r="551" spans="1:26" ht="14.25" customHeight="1">
      <c r="A551" s="136"/>
      <c r="B551" s="136"/>
      <c r="C551" s="136"/>
      <c r="D551" s="136"/>
      <c r="E551" s="136"/>
      <c r="F551" s="136"/>
      <c r="G551" s="136"/>
      <c r="H551" s="136"/>
      <c r="I551" s="140"/>
      <c r="J551" s="136"/>
      <c r="K551" s="136"/>
      <c r="L551" s="136"/>
      <c r="M551" s="136"/>
      <c r="N551" s="136"/>
      <c r="O551" s="136"/>
      <c r="P551" s="136"/>
      <c r="Q551" s="136"/>
      <c r="R551" s="136"/>
      <c r="S551" s="136"/>
      <c r="T551" s="136"/>
      <c r="U551" s="136"/>
      <c r="V551" s="136"/>
      <c r="W551" s="136"/>
      <c r="X551" s="136"/>
      <c r="Y551" s="136"/>
      <c r="Z551" s="136"/>
    </row>
    <row r="552" spans="1:26" ht="14.25" customHeight="1">
      <c r="A552" s="136"/>
      <c r="B552" s="136"/>
      <c r="C552" s="136"/>
      <c r="D552" s="136"/>
      <c r="E552" s="136"/>
      <c r="F552" s="136"/>
      <c r="G552" s="136"/>
      <c r="H552" s="136"/>
      <c r="I552" s="140"/>
      <c r="J552" s="136"/>
      <c r="K552" s="136"/>
      <c r="L552" s="136"/>
      <c r="M552" s="136"/>
      <c r="N552" s="136"/>
      <c r="O552" s="136"/>
      <c r="P552" s="136"/>
      <c r="Q552" s="136"/>
      <c r="R552" s="136"/>
      <c r="S552" s="136"/>
      <c r="T552" s="136"/>
      <c r="U552" s="136"/>
      <c r="V552" s="136"/>
      <c r="W552" s="136"/>
      <c r="X552" s="136"/>
      <c r="Y552" s="136"/>
      <c r="Z552" s="136"/>
    </row>
    <row r="553" spans="1:26" ht="14.25" customHeight="1">
      <c r="A553" s="136"/>
      <c r="B553" s="136"/>
      <c r="C553" s="136"/>
      <c r="D553" s="136"/>
      <c r="E553" s="136"/>
      <c r="F553" s="136"/>
      <c r="G553" s="136"/>
      <c r="H553" s="136"/>
      <c r="I553" s="140"/>
      <c r="J553" s="136"/>
      <c r="K553" s="136"/>
      <c r="L553" s="136"/>
      <c r="M553" s="136"/>
      <c r="N553" s="136"/>
      <c r="O553" s="136"/>
      <c r="P553" s="136"/>
      <c r="Q553" s="136"/>
      <c r="R553" s="136"/>
      <c r="S553" s="136"/>
      <c r="T553" s="136"/>
      <c r="U553" s="136"/>
      <c r="V553" s="136"/>
      <c r="W553" s="136"/>
      <c r="X553" s="136"/>
      <c r="Y553" s="136"/>
      <c r="Z553" s="136"/>
    </row>
    <row r="554" spans="1:26" ht="14.25" customHeight="1">
      <c r="A554" s="136"/>
      <c r="B554" s="136"/>
      <c r="C554" s="136"/>
      <c r="D554" s="136"/>
      <c r="E554" s="136"/>
      <c r="F554" s="136"/>
      <c r="G554" s="136"/>
      <c r="H554" s="136"/>
      <c r="I554" s="140"/>
      <c r="J554" s="136"/>
      <c r="K554" s="136"/>
      <c r="L554" s="136"/>
      <c r="M554" s="136"/>
      <c r="N554" s="136"/>
      <c r="O554" s="136"/>
      <c r="P554" s="136"/>
      <c r="Q554" s="136"/>
      <c r="R554" s="136"/>
      <c r="S554" s="136"/>
      <c r="T554" s="136"/>
      <c r="U554" s="136"/>
      <c r="V554" s="136"/>
      <c r="W554" s="136"/>
      <c r="X554" s="136"/>
      <c r="Y554" s="136"/>
      <c r="Z554" s="136"/>
    </row>
    <row r="555" spans="1:26" ht="14.25" customHeight="1">
      <c r="A555" s="136"/>
      <c r="B555" s="136"/>
      <c r="C555" s="136"/>
      <c r="D555" s="136"/>
      <c r="E555" s="136"/>
      <c r="F555" s="136"/>
      <c r="G555" s="136"/>
      <c r="H555" s="136"/>
      <c r="I555" s="140"/>
      <c r="J555" s="136"/>
      <c r="K555" s="136"/>
      <c r="L555" s="136"/>
      <c r="M555" s="136"/>
      <c r="N555" s="136"/>
      <c r="O555" s="136"/>
      <c r="P555" s="136"/>
      <c r="Q555" s="136"/>
      <c r="R555" s="136"/>
      <c r="S555" s="136"/>
      <c r="T555" s="136"/>
      <c r="U555" s="136"/>
      <c r="V555" s="136"/>
      <c r="W555" s="136"/>
      <c r="X555" s="136"/>
      <c r="Y555" s="136"/>
      <c r="Z555" s="136"/>
    </row>
    <row r="556" spans="1:26" ht="14.25" customHeight="1">
      <c r="A556" s="136"/>
      <c r="B556" s="136"/>
      <c r="C556" s="136"/>
      <c r="D556" s="136"/>
      <c r="E556" s="136"/>
      <c r="F556" s="136"/>
      <c r="G556" s="136"/>
      <c r="H556" s="136"/>
      <c r="I556" s="140"/>
      <c r="J556" s="136"/>
      <c r="K556" s="136"/>
      <c r="L556" s="136"/>
      <c r="M556" s="136"/>
      <c r="N556" s="136"/>
      <c r="O556" s="136"/>
      <c r="P556" s="136"/>
      <c r="Q556" s="136"/>
      <c r="R556" s="136"/>
      <c r="S556" s="136"/>
      <c r="T556" s="136"/>
      <c r="U556" s="136"/>
      <c r="V556" s="136"/>
      <c r="W556" s="136"/>
      <c r="X556" s="136"/>
      <c r="Y556" s="136"/>
      <c r="Z556" s="136"/>
    </row>
    <row r="557" spans="1:26" ht="14.25" customHeight="1">
      <c r="A557" s="136"/>
      <c r="B557" s="136"/>
      <c r="C557" s="136"/>
      <c r="D557" s="136"/>
      <c r="E557" s="136"/>
      <c r="F557" s="136"/>
      <c r="G557" s="136"/>
      <c r="H557" s="136"/>
      <c r="I557" s="140"/>
      <c r="J557" s="136"/>
      <c r="K557" s="136"/>
      <c r="L557" s="136"/>
      <c r="M557" s="136"/>
      <c r="N557" s="136"/>
      <c r="O557" s="136"/>
      <c r="P557" s="136"/>
      <c r="Q557" s="136"/>
      <c r="R557" s="136"/>
      <c r="S557" s="136"/>
      <c r="T557" s="136"/>
      <c r="U557" s="136"/>
      <c r="V557" s="136"/>
      <c r="W557" s="136"/>
      <c r="X557" s="136"/>
      <c r="Y557" s="136"/>
      <c r="Z557" s="136"/>
    </row>
    <row r="558" spans="1:26" ht="14.25" customHeight="1">
      <c r="A558" s="136"/>
      <c r="B558" s="136"/>
      <c r="C558" s="136"/>
      <c r="D558" s="136"/>
      <c r="E558" s="136"/>
      <c r="F558" s="136"/>
      <c r="G558" s="136"/>
      <c r="H558" s="136"/>
      <c r="I558" s="140"/>
      <c r="J558" s="136"/>
      <c r="K558" s="136"/>
      <c r="L558" s="136"/>
      <c r="M558" s="136"/>
      <c r="N558" s="136"/>
      <c r="O558" s="136"/>
      <c r="P558" s="136"/>
      <c r="Q558" s="136"/>
      <c r="R558" s="136"/>
      <c r="S558" s="136"/>
      <c r="T558" s="136"/>
      <c r="U558" s="136"/>
      <c r="V558" s="136"/>
      <c r="W558" s="136"/>
      <c r="X558" s="136"/>
      <c r="Y558" s="136"/>
      <c r="Z558" s="136"/>
    </row>
    <row r="559" spans="1:26" ht="14.25" customHeight="1">
      <c r="A559" s="136"/>
      <c r="B559" s="136"/>
      <c r="C559" s="136"/>
      <c r="D559" s="136"/>
      <c r="E559" s="136"/>
      <c r="F559" s="136"/>
      <c r="G559" s="136"/>
      <c r="H559" s="136"/>
      <c r="I559" s="140"/>
      <c r="J559" s="136"/>
      <c r="K559" s="136"/>
      <c r="L559" s="136"/>
      <c r="M559" s="136"/>
      <c r="N559" s="136"/>
      <c r="O559" s="136"/>
      <c r="P559" s="136"/>
      <c r="Q559" s="136"/>
      <c r="R559" s="136"/>
      <c r="S559" s="136"/>
      <c r="T559" s="136"/>
      <c r="U559" s="136"/>
      <c r="V559" s="136"/>
      <c r="W559" s="136"/>
      <c r="X559" s="136"/>
      <c r="Y559" s="136"/>
      <c r="Z559" s="136"/>
    </row>
    <row r="560" spans="1:26" ht="14.25" customHeight="1">
      <c r="A560" s="136"/>
      <c r="B560" s="136"/>
      <c r="C560" s="136"/>
      <c r="D560" s="136"/>
      <c r="E560" s="136"/>
      <c r="F560" s="136"/>
      <c r="G560" s="136"/>
      <c r="H560" s="136"/>
      <c r="I560" s="140"/>
      <c r="J560" s="136"/>
      <c r="K560" s="136"/>
      <c r="L560" s="136"/>
      <c r="M560" s="136"/>
      <c r="N560" s="136"/>
      <c r="O560" s="136"/>
      <c r="P560" s="136"/>
      <c r="Q560" s="136"/>
      <c r="R560" s="136"/>
      <c r="S560" s="136"/>
      <c r="T560" s="136"/>
      <c r="U560" s="136"/>
      <c r="V560" s="136"/>
      <c r="W560" s="136"/>
      <c r="X560" s="136"/>
      <c r="Y560" s="136"/>
      <c r="Z560" s="136"/>
    </row>
    <row r="561" spans="1:26" ht="14.25" customHeight="1">
      <c r="A561" s="136"/>
      <c r="B561" s="136"/>
      <c r="C561" s="136"/>
      <c r="D561" s="136"/>
      <c r="E561" s="136"/>
      <c r="F561" s="136"/>
      <c r="G561" s="136"/>
      <c r="H561" s="136"/>
      <c r="I561" s="140"/>
      <c r="J561" s="136"/>
      <c r="K561" s="136"/>
      <c r="L561" s="136"/>
      <c r="M561" s="136"/>
      <c r="N561" s="136"/>
      <c r="O561" s="136"/>
      <c r="P561" s="136"/>
      <c r="Q561" s="136"/>
      <c r="R561" s="136"/>
      <c r="S561" s="136"/>
      <c r="T561" s="136"/>
      <c r="U561" s="136"/>
      <c r="V561" s="136"/>
      <c r="W561" s="136"/>
      <c r="X561" s="136"/>
      <c r="Y561" s="136"/>
      <c r="Z561" s="136"/>
    </row>
    <row r="562" spans="1:26" ht="14.25" customHeight="1">
      <c r="A562" s="136"/>
      <c r="B562" s="136"/>
      <c r="C562" s="136"/>
      <c r="D562" s="136"/>
      <c r="E562" s="136"/>
      <c r="F562" s="136"/>
      <c r="G562" s="136"/>
      <c r="H562" s="136"/>
      <c r="I562" s="140"/>
      <c r="J562" s="136"/>
      <c r="K562" s="136"/>
      <c r="L562" s="136"/>
      <c r="M562" s="136"/>
      <c r="N562" s="136"/>
      <c r="O562" s="136"/>
      <c r="P562" s="136"/>
      <c r="Q562" s="136"/>
      <c r="R562" s="136"/>
      <c r="S562" s="136"/>
      <c r="T562" s="136"/>
      <c r="U562" s="136"/>
      <c r="V562" s="136"/>
      <c r="W562" s="136"/>
      <c r="X562" s="136"/>
      <c r="Y562" s="136"/>
      <c r="Z562" s="136"/>
    </row>
    <row r="563" spans="1:26" ht="14.25" customHeight="1">
      <c r="A563" s="136"/>
      <c r="B563" s="136"/>
      <c r="C563" s="136"/>
      <c r="D563" s="136"/>
      <c r="E563" s="136"/>
      <c r="F563" s="136"/>
      <c r="G563" s="136"/>
      <c r="H563" s="136"/>
      <c r="I563" s="140"/>
      <c r="J563" s="136"/>
      <c r="K563" s="136"/>
      <c r="L563" s="136"/>
      <c r="M563" s="136"/>
      <c r="N563" s="136"/>
      <c r="O563" s="136"/>
      <c r="P563" s="136"/>
      <c r="Q563" s="136"/>
      <c r="R563" s="136"/>
      <c r="S563" s="136"/>
      <c r="T563" s="136"/>
      <c r="U563" s="136"/>
      <c r="V563" s="136"/>
      <c r="W563" s="136"/>
      <c r="X563" s="136"/>
      <c r="Y563" s="136"/>
      <c r="Z563" s="136"/>
    </row>
    <row r="564" spans="1:26" ht="14.25" customHeight="1">
      <c r="A564" s="136"/>
      <c r="B564" s="136"/>
      <c r="C564" s="136"/>
      <c r="D564" s="136"/>
      <c r="E564" s="136"/>
      <c r="F564" s="136"/>
      <c r="G564" s="136"/>
      <c r="H564" s="136"/>
      <c r="I564" s="140"/>
      <c r="J564" s="136"/>
      <c r="K564" s="136"/>
      <c r="L564" s="136"/>
      <c r="M564" s="136"/>
      <c r="N564" s="136"/>
      <c r="O564" s="136"/>
      <c r="P564" s="136"/>
      <c r="Q564" s="136"/>
      <c r="R564" s="136"/>
      <c r="S564" s="136"/>
      <c r="T564" s="136"/>
      <c r="U564" s="136"/>
      <c r="V564" s="136"/>
      <c r="W564" s="136"/>
      <c r="X564" s="136"/>
      <c r="Y564" s="136"/>
      <c r="Z564" s="136"/>
    </row>
    <row r="565" spans="1:26" ht="14.25" customHeight="1">
      <c r="A565" s="136"/>
      <c r="B565" s="136"/>
      <c r="C565" s="136"/>
      <c r="D565" s="136"/>
      <c r="E565" s="136"/>
      <c r="F565" s="136"/>
      <c r="G565" s="136"/>
      <c r="H565" s="136"/>
      <c r="I565" s="140"/>
      <c r="J565" s="136"/>
      <c r="K565" s="136"/>
      <c r="L565" s="136"/>
      <c r="M565" s="136"/>
      <c r="N565" s="136"/>
      <c r="O565" s="136"/>
      <c r="P565" s="136"/>
      <c r="Q565" s="136"/>
      <c r="R565" s="136"/>
      <c r="S565" s="136"/>
      <c r="T565" s="136"/>
      <c r="U565" s="136"/>
      <c r="V565" s="136"/>
      <c r="W565" s="136"/>
      <c r="X565" s="136"/>
      <c r="Y565" s="136"/>
      <c r="Z565" s="136"/>
    </row>
    <row r="566" spans="1:26" ht="14.25" customHeight="1">
      <c r="A566" s="136"/>
      <c r="B566" s="136"/>
      <c r="C566" s="136"/>
      <c r="D566" s="136"/>
      <c r="E566" s="136"/>
      <c r="F566" s="136"/>
      <c r="G566" s="136"/>
      <c r="H566" s="136"/>
      <c r="I566" s="140"/>
      <c r="J566" s="136"/>
      <c r="K566" s="136"/>
      <c r="L566" s="136"/>
      <c r="M566" s="136"/>
      <c r="N566" s="136"/>
      <c r="O566" s="136"/>
      <c r="P566" s="136"/>
      <c r="Q566" s="136"/>
      <c r="R566" s="136"/>
      <c r="S566" s="136"/>
      <c r="T566" s="136"/>
      <c r="U566" s="136"/>
      <c r="V566" s="136"/>
      <c r="W566" s="136"/>
      <c r="X566" s="136"/>
      <c r="Y566" s="136"/>
      <c r="Z566" s="136"/>
    </row>
    <row r="567" spans="1:26" ht="14.25" customHeight="1">
      <c r="A567" s="136"/>
      <c r="B567" s="136"/>
      <c r="C567" s="136"/>
      <c r="D567" s="136"/>
      <c r="E567" s="136"/>
      <c r="F567" s="136"/>
      <c r="G567" s="136"/>
      <c r="H567" s="136"/>
      <c r="I567" s="140"/>
      <c r="J567" s="136"/>
      <c r="K567" s="136"/>
      <c r="L567" s="136"/>
      <c r="M567" s="136"/>
      <c r="N567" s="136"/>
      <c r="O567" s="136"/>
      <c r="P567" s="136"/>
      <c r="Q567" s="136"/>
      <c r="R567" s="136"/>
      <c r="S567" s="136"/>
      <c r="T567" s="136"/>
      <c r="U567" s="136"/>
      <c r="V567" s="136"/>
      <c r="W567" s="136"/>
      <c r="X567" s="136"/>
      <c r="Y567" s="136"/>
      <c r="Z567" s="136"/>
    </row>
    <row r="568" spans="1:26" ht="14.25" customHeight="1">
      <c r="A568" s="136"/>
      <c r="B568" s="136"/>
      <c r="C568" s="136"/>
      <c r="D568" s="136"/>
      <c r="E568" s="136"/>
      <c r="F568" s="136"/>
      <c r="G568" s="136"/>
      <c r="H568" s="136"/>
      <c r="I568" s="140"/>
      <c r="J568" s="136"/>
      <c r="K568" s="136"/>
      <c r="L568" s="136"/>
      <c r="M568" s="136"/>
      <c r="N568" s="136"/>
      <c r="O568" s="136"/>
      <c r="P568" s="136"/>
      <c r="Q568" s="136"/>
      <c r="R568" s="136"/>
      <c r="S568" s="136"/>
      <c r="T568" s="136"/>
      <c r="U568" s="136"/>
      <c r="V568" s="136"/>
      <c r="W568" s="136"/>
      <c r="X568" s="136"/>
      <c r="Y568" s="136"/>
      <c r="Z568" s="136"/>
    </row>
    <row r="569" spans="1:26" ht="14.25" customHeight="1">
      <c r="A569" s="136"/>
      <c r="B569" s="136"/>
      <c r="C569" s="136"/>
      <c r="D569" s="136"/>
      <c r="E569" s="136"/>
      <c r="F569" s="136"/>
      <c r="G569" s="136"/>
      <c r="H569" s="136"/>
      <c r="I569" s="140"/>
      <c r="J569" s="136"/>
      <c r="K569" s="136"/>
      <c r="L569" s="136"/>
      <c r="M569" s="136"/>
      <c r="N569" s="136"/>
      <c r="O569" s="136"/>
      <c r="P569" s="136"/>
      <c r="Q569" s="136"/>
      <c r="R569" s="136"/>
      <c r="S569" s="136"/>
      <c r="T569" s="136"/>
      <c r="U569" s="136"/>
      <c r="V569" s="136"/>
      <c r="W569" s="136"/>
      <c r="X569" s="136"/>
      <c r="Y569" s="136"/>
      <c r="Z569" s="136"/>
    </row>
    <row r="570" spans="1:26" ht="14.25" customHeight="1">
      <c r="A570" s="136"/>
      <c r="B570" s="136"/>
      <c r="C570" s="136"/>
      <c r="D570" s="136"/>
      <c r="E570" s="136"/>
      <c r="F570" s="136"/>
      <c r="G570" s="136"/>
      <c r="H570" s="136"/>
      <c r="I570" s="140"/>
      <c r="J570" s="136"/>
      <c r="K570" s="136"/>
      <c r="L570" s="136"/>
      <c r="M570" s="136"/>
      <c r="N570" s="136"/>
      <c r="O570" s="136"/>
      <c r="P570" s="136"/>
      <c r="Q570" s="136"/>
      <c r="R570" s="136"/>
      <c r="S570" s="136"/>
      <c r="T570" s="136"/>
      <c r="U570" s="136"/>
      <c r="V570" s="136"/>
      <c r="W570" s="136"/>
      <c r="X570" s="136"/>
      <c r="Y570" s="136"/>
      <c r="Z570" s="136"/>
    </row>
    <row r="571" spans="1:26" ht="14.25" customHeight="1">
      <c r="A571" s="136"/>
      <c r="B571" s="136"/>
      <c r="C571" s="136"/>
      <c r="D571" s="136"/>
      <c r="E571" s="136"/>
      <c r="F571" s="136"/>
      <c r="G571" s="136"/>
      <c r="H571" s="136"/>
      <c r="I571" s="140"/>
      <c r="J571" s="136"/>
      <c r="K571" s="136"/>
      <c r="L571" s="136"/>
      <c r="M571" s="136"/>
      <c r="N571" s="136"/>
      <c r="O571" s="136"/>
      <c r="P571" s="136"/>
      <c r="Q571" s="136"/>
      <c r="R571" s="136"/>
      <c r="S571" s="136"/>
      <c r="T571" s="136"/>
      <c r="U571" s="136"/>
      <c r="V571" s="136"/>
      <c r="W571" s="136"/>
      <c r="X571" s="136"/>
      <c r="Y571" s="136"/>
      <c r="Z571" s="136"/>
    </row>
    <row r="572" spans="1:26" ht="14.25" customHeight="1">
      <c r="A572" s="136"/>
      <c r="B572" s="136"/>
      <c r="C572" s="136"/>
      <c r="D572" s="136"/>
      <c r="E572" s="136"/>
      <c r="F572" s="136"/>
      <c r="G572" s="136"/>
      <c r="H572" s="136"/>
      <c r="I572" s="140"/>
      <c r="J572" s="136"/>
      <c r="K572" s="136"/>
      <c r="L572" s="136"/>
      <c r="M572" s="136"/>
      <c r="N572" s="136"/>
      <c r="O572" s="136"/>
      <c r="P572" s="136"/>
      <c r="Q572" s="136"/>
      <c r="R572" s="136"/>
      <c r="S572" s="136"/>
      <c r="T572" s="136"/>
      <c r="U572" s="136"/>
      <c r="V572" s="136"/>
      <c r="W572" s="136"/>
      <c r="X572" s="136"/>
      <c r="Y572" s="136"/>
      <c r="Z572" s="136"/>
    </row>
    <row r="573" spans="1:26" ht="14.25" customHeight="1">
      <c r="A573" s="136"/>
      <c r="B573" s="136"/>
      <c r="C573" s="136"/>
      <c r="D573" s="136"/>
      <c r="E573" s="136"/>
      <c r="F573" s="136"/>
      <c r="G573" s="136"/>
      <c r="H573" s="136"/>
      <c r="I573" s="140"/>
      <c r="J573" s="136"/>
      <c r="K573" s="136"/>
      <c r="L573" s="136"/>
      <c r="M573" s="136"/>
      <c r="N573" s="136"/>
      <c r="O573" s="136"/>
      <c r="P573" s="136"/>
      <c r="Q573" s="136"/>
      <c r="R573" s="136"/>
      <c r="S573" s="136"/>
      <c r="T573" s="136"/>
      <c r="U573" s="136"/>
      <c r="V573" s="136"/>
      <c r="W573" s="136"/>
      <c r="X573" s="136"/>
      <c r="Y573" s="136"/>
      <c r="Z573" s="136"/>
    </row>
    <row r="574" spans="1:26" ht="14.25" customHeight="1">
      <c r="A574" s="136"/>
      <c r="B574" s="136"/>
      <c r="C574" s="136"/>
      <c r="D574" s="136"/>
      <c r="E574" s="136"/>
      <c r="F574" s="136"/>
      <c r="G574" s="136"/>
      <c r="H574" s="136"/>
      <c r="I574" s="140"/>
      <c r="J574" s="136"/>
      <c r="K574" s="136"/>
      <c r="L574" s="136"/>
      <c r="M574" s="136"/>
      <c r="N574" s="136"/>
      <c r="O574" s="136"/>
      <c r="P574" s="136"/>
      <c r="Q574" s="136"/>
      <c r="R574" s="136"/>
      <c r="S574" s="136"/>
      <c r="T574" s="136"/>
      <c r="U574" s="136"/>
      <c r="V574" s="136"/>
      <c r="W574" s="136"/>
      <c r="X574" s="136"/>
      <c r="Y574" s="136"/>
      <c r="Z574" s="136"/>
    </row>
    <row r="575" spans="1:26" ht="14.25" customHeight="1">
      <c r="A575" s="136"/>
      <c r="B575" s="136"/>
      <c r="C575" s="136"/>
      <c r="D575" s="136"/>
      <c r="E575" s="136"/>
      <c r="F575" s="136"/>
      <c r="G575" s="136"/>
      <c r="H575" s="136"/>
      <c r="I575" s="140"/>
      <c r="J575" s="136"/>
      <c r="K575" s="136"/>
      <c r="L575" s="136"/>
      <c r="M575" s="136"/>
      <c r="N575" s="136"/>
      <c r="O575" s="136"/>
      <c r="P575" s="136"/>
      <c r="Q575" s="136"/>
      <c r="R575" s="136"/>
      <c r="S575" s="136"/>
      <c r="T575" s="136"/>
      <c r="U575" s="136"/>
      <c r="V575" s="136"/>
      <c r="W575" s="136"/>
      <c r="X575" s="136"/>
      <c r="Y575" s="136"/>
      <c r="Z575" s="136"/>
    </row>
    <row r="576" spans="1:26" ht="14.25" customHeight="1">
      <c r="A576" s="136"/>
      <c r="B576" s="136"/>
      <c r="C576" s="136"/>
      <c r="D576" s="136"/>
      <c r="E576" s="136"/>
      <c r="F576" s="136"/>
      <c r="G576" s="136"/>
      <c r="H576" s="136"/>
      <c r="I576" s="140"/>
      <c r="J576" s="136"/>
      <c r="K576" s="136"/>
      <c r="L576" s="136"/>
      <c r="M576" s="136"/>
      <c r="N576" s="136"/>
      <c r="O576" s="136"/>
      <c r="P576" s="136"/>
      <c r="Q576" s="136"/>
      <c r="R576" s="136"/>
      <c r="S576" s="136"/>
      <c r="T576" s="136"/>
      <c r="U576" s="136"/>
      <c r="V576" s="136"/>
      <c r="W576" s="136"/>
      <c r="X576" s="136"/>
      <c r="Y576" s="136"/>
      <c r="Z576" s="136"/>
    </row>
    <row r="577" spans="1:26" ht="14.25" customHeight="1">
      <c r="A577" s="136"/>
      <c r="B577" s="136"/>
      <c r="C577" s="136"/>
      <c r="D577" s="136"/>
      <c r="E577" s="136"/>
      <c r="F577" s="136"/>
      <c r="G577" s="136"/>
      <c r="H577" s="136"/>
      <c r="I577" s="140"/>
      <c r="J577" s="136"/>
      <c r="K577" s="136"/>
      <c r="L577" s="136"/>
      <c r="M577" s="136"/>
      <c r="N577" s="136"/>
      <c r="O577" s="136"/>
      <c r="P577" s="136"/>
      <c r="Q577" s="136"/>
      <c r="R577" s="136"/>
      <c r="S577" s="136"/>
      <c r="T577" s="136"/>
      <c r="U577" s="136"/>
      <c r="V577" s="136"/>
      <c r="W577" s="136"/>
      <c r="X577" s="136"/>
      <c r="Y577" s="136"/>
      <c r="Z577" s="136"/>
    </row>
    <row r="578" spans="1:26" ht="14.25" customHeight="1">
      <c r="A578" s="136"/>
      <c r="B578" s="136"/>
      <c r="C578" s="136"/>
      <c r="D578" s="136"/>
      <c r="E578" s="136"/>
      <c r="F578" s="136"/>
      <c r="G578" s="136"/>
      <c r="H578" s="136"/>
      <c r="I578" s="140"/>
      <c r="J578" s="136"/>
      <c r="K578" s="136"/>
      <c r="L578" s="136"/>
      <c r="M578" s="136"/>
      <c r="N578" s="136"/>
      <c r="O578" s="136"/>
      <c r="P578" s="136"/>
      <c r="Q578" s="136"/>
      <c r="R578" s="136"/>
      <c r="S578" s="136"/>
      <c r="T578" s="136"/>
      <c r="U578" s="136"/>
      <c r="V578" s="136"/>
      <c r="W578" s="136"/>
      <c r="X578" s="136"/>
      <c r="Y578" s="136"/>
      <c r="Z578" s="136"/>
    </row>
    <row r="579" spans="1:26" ht="14.25" customHeight="1">
      <c r="A579" s="136"/>
      <c r="B579" s="136"/>
      <c r="C579" s="136"/>
      <c r="D579" s="136"/>
      <c r="E579" s="136"/>
      <c r="F579" s="136"/>
      <c r="G579" s="136"/>
      <c r="H579" s="136"/>
      <c r="I579" s="140"/>
      <c r="J579" s="136"/>
      <c r="K579" s="136"/>
      <c r="L579" s="136"/>
      <c r="M579" s="136"/>
      <c r="N579" s="136"/>
      <c r="O579" s="136"/>
      <c r="P579" s="136"/>
      <c r="Q579" s="136"/>
      <c r="R579" s="136"/>
      <c r="S579" s="136"/>
      <c r="T579" s="136"/>
      <c r="U579" s="136"/>
      <c r="V579" s="136"/>
      <c r="W579" s="136"/>
      <c r="X579" s="136"/>
      <c r="Y579" s="136"/>
      <c r="Z579" s="136"/>
    </row>
    <row r="580" spans="1:26" ht="14.25" customHeight="1">
      <c r="A580" s="136"/>
      <c r="B580" s="136"/>
      <c r="C580" s="136"/>
      <c r="D580" s="136"/>
      <c r="E580" s="136"/>
      <c r="F580" s="136"/>
      <c r="G580" s="136"/>
      <c r="H580" s="136"/>
      <c r="I580" s="140"/>
      <c r="J580" s="136"/>
      <c r="K580" s="136"/>
      <c r="L580" s="136"/>
      <c r="M580" s="136"/>
      <c r="N580" s="136"/>
      <c r="O580" s="136"/>
      <c r="P580" s="136"/>
      <c r="Q580" s="136"/>
      <c r="R580" s="136"/>
      <c r="S580" s="136"/>
      <c r="T580" s="136"/>
      <c r="U580" s="136"/>
      <c r="V580" s="136"/>
      <c r="W580" s="136"/>
      <c r="X580" s="136"/>
      <c r="Y580" s="136"/>
      <c r="Z580" s="136"/>
    </row>
    <row r="581" spans="1:26" ht="14.25" customHeight="1">
      <c r="A581" s="136"/>
      <c r="B581" s="136"/>
      <c r="C581" s="136"/>
      <c r="D581" s="136"/>
      <c r="E581" s="136"/>
      <c r="F581" s="136"/>
      <c r="G581" s="136"/>
      <c r="H581" s="136"/>
      <c r="I581" s="140"/>
      <c r="J581" s="136"/>
      <c r="K581" s="136"/>
      <c r="L581" s="136"/>
      <c r="M581" s="136"/>
      <c r="N581" s="136"/>
      <c r="O581" s="136"/>
      <c r="P581" s="136"/>
      <c r="Q581" s="136"/>
      <c r="R581" s="136"/>
      <c r="S581" s="136"/>
      <c r="T581" s="136"/>
      <c r="U581" s="136"/>
      <c r="V581" s="136"/>
      <c r="W581" s="136"/>
      <c r="X581" s="136"/>
      <c r="Y581" s="136"/>
      <c r="Z581" s="136"/>
    </row>
    <row r="582" spans="1:26" ht="14.25" customHeight="1">
      <c r="A582" s="136"/>
      <c r="B582" s="136"/>
      <c r="C582" s="136"/>
      <c r="D582" s="136"/>
      <c r="E582" s="136"/>
      <c r="F582" s="136"/>
      <c r="G582" s="136"/>
      <c r="H582" s="136"/>
      <c r="I582" s="140"/>
      <c r="J582" s="136"/>
      <c r="K582" s="136"/>
      <c r="L582" s="136"/>
      <c r="M582" s="136"/>
      <c r="N582" s="136"/>
      <c r="O582" s="136"/>
      <c r="P582" s="136"/>
      <c r="Q582" s="136"/>
      <c r="R582" s="136"/>
      <c r="S582" s="136"/>
      <c r="T582" s="136"/>
      <c r="U582" s="136"/>
      <c r="V582" s="136"/>
      <c r="W582" s="136"/>
      <c r="X582" s="136"/>
      <c r="Y582" s="136"/>
      <c r="Z582" s="136"/>
    </row>
    <row r="583" spans="1:26" ht="14.25" customHeight="1">
      <c r="A583" s="136"/>
      <c r="B583" s="136"/>
      <c r="C583" s="136"/>
      <c r="D583" s="136"/>
      <c r="E583" s="136"/>
      <c r="F583" s="136"/>
      <c r="G583" s="136"/>
      <c r="H583" s="136"/>
      <c r="I583" s="140"/>
      <c r="J583" s="136"/>
      <c r="K583" s="136"/>
      <c r="L583" s="136"/>
      <c r="M583" s="136"/>
      <c r="N583" s="136"/>
      <c r="O583" s="136"/>
      <c r="P583" s="136"/>
      <c r="Q583" s="136"/>
      <c r="R583" s="136"/>
      <c r="S583" s="136"/>
      <c r="T583" s="136"/>
      <c r="U583" s="136"/>
      <c r="V583" s="136"/>
      <c r="W583" s="136"/>
      <c r="X583" s="136"/>
      <c r="Y583" s="136"/>
      <c r="Z583" s="136"/>
    </row>
    <row r="584" spans="1:26" ht="14.25" customHeight="1">
      <c r="A584" s="136"/>
      <c r="B584" s="136"/>
      <c r="C584" s="136"/>
      <c r="D584" s="136"/>
      <c r="E584" s="136"/>
      <c r="F584" s="136"/>
      <c r="G584" s="136"/>
      <c r="H584" s="136"/>
      <c r="I584" s="140"/>
      <c r="J584" s="136"/>
      <c r="K584" s="136"/>
      <c r="L584" s="136"/>
      <c r="M584" s="136"/>
      <c r="N584" s="136"/>
      <c r="O584" s="136"/>
      <c r="P584" s="136"/>
      <c r="Q584" s="136"/>
      <c r="R584" s="136"/>
      <c r="S584" s="136"/>
      <c r="T584" s="136"/>
      <c r="U584" s="136"/>
      <c r="V584" s="136"/>
      <c r="W584" s="136"/>
      <c r="X584" s="136"/>
      <c r="Y584" s="136"/>
      <c r="Z584" s="136"/>
    </row>
    <row r="585" spans="1:26" ht="14.25" customHeight="1">
      <c r="A585" s="136"/>
      <c r="B585" s="136"/>
      <c r="C585" s="136"/>
      <c r="D585" s="136"/>
      <c r="E585" s="136"/>
      <c r="F585" s="136"/>
      <c r="G585" s="136"/>
      <c r="H585" s="136"/>
      <c r="I585" s="140"/>
      <c r="J585" s="136"/>
      <c r="K585" s="136"/>
      <c r="L585" s="136"/>
      <c r="M585" s="136"/>
      <c r="N585" s="136"/>
      <c r="O585" s="136"/>
      <c r="P585" s="136"/>
      <c r="Q585" s="136"/>
      <c r="R585" s="136"/>
      <c r="S585" s="136"/>
      <c r="T585" s="136"/>
      <c r="U585" s="136"/>
      <c r="V585" s="136"/>
      <c r="W585" s="136"/>
      <c r="X585" s="136"/>
      <c r="Y585" s="136"/>
      <c r="Z585" s="136"/>
    </row>
    <row r="586" spans="1:26" ht="14.25" customHeight="1">
      <c r="A586" s="136"/>
      <c r="B586" s="136"/>
      <c r="C586" s="136"/>
      <c r="D586" s="136"/>
      <c r="E586" s="136"/>
      <c r="F586" s="136"/>
      <c r="G586" s="136"/>
      <c r="H586" s="136"/>
      <c r="I586" s="140"/>
      <c r="J586" s="136"/>
      <c r="K586" s="136"/>
      <c r="L586" s="136"/>
      <c r="M586" s="136"/>
      <c r="N586" s="136"/>
      <c r="O586" s="136"/>
      <c r="P586" s="136"/>
      <c r="Q586" s="136"/>
      <c r="R586" s="136"/>
      <c r="S586" s="136"/>
      <c r="T586" s="136"/>
      <c r="U586" s="136"/>
      <c r="V586" s="136"/>
      <c r="W586" s="136"/>
      <c r="X586" s="136"/>
      <c r="Y586" s="136"/>
      <c r="Z586" s="136"/>
    </row>
    <row r="587" spans="1:26" ht="14.25" customHeight="1">
      <c r="A587" s="136"/>
      <c r="B587" s="136"/>
      <c r="C587" s="136"/>
      <c r="D587" s="136"/>
      <c r="E587" s="136"/>
      <c r="F587" s="136"/>
      <c r="G587" s="136"/>
      <c r="H587" s="136"/>
      <c r="I587" s="140"/>
      <c r="J587" s="136"/>
      <c r="K587" s="136"/>
      <c r="L587" s="136"/>
      <c r="M587" s="136"/>
      <c r="N587" s="136"/>
      <c r="O587" s="136"/>
      <c r="P587" s="136"/>
      <c r="Q587" s="136"/>
      <c r="R587" s="136"/>
      <c r="S587" s="136"/>
      <c r="T587" s="136"/>
      <c r="U587" s="136"/>
      <c r="V587" s="136"/>
      <c r="W587" s="136"/>
      <c r="X587" s="136"/>
      <c r="Y587" s="136"/>
      <c r="Z587" s="136"/>
    </row>
    <row r="588" spans="1:26" ht="14.25" customHeight="1">
      <c r="A588" s="136"/>
      <c r="B588" s="136"/>
      <c r="C588" s="136"/>
      <c r="D588" s="136"/>
      <c r="E588" s="136"/>
      <c r="F588" s="136"/>
      <c r="G588" s="136"/>
      <c r="H588" s="136"/>
      <c r="I588" s="140"/>
      <c r="J588" s="136"/>
      <c r="K588" s="136"/>
      <c r="L588" s="136"/>
      <c r="M588" s="136"/>
      <c r="N588" s="136"/>
      <c r="O588" s="136"/>
      <c r="P588" s="136"/>
      <c r="Q588" s="136"/>
      <c r="R588" s="136"/>
      <c r="S588" s="136"/>
      <c r="T588" s="136"/>
      <c r="U588" s="136"/>
      <c r="V588" s="136"/>
      <c r="W588" s="136"/>
      <c r="X588" s="136"/>
      <c r="Y588" s="136"/>
      <c r="Z588" s="136"/>
    </row>
    <row r="589" spans="1:26" ht="14.25" customHeight="1">
      <c r="A589" s="136"/>
      <c r="B589" s="136"/>
      <c r="C589" s="136"/>
      <c r="D589" s="136"/>
      <c r="E589" s="136"/>
      <c r="F589" s="136"/>
      <c r="G589" s="136"/>
      <c r="H589" s="136"/>
      <c r="I589" s="140"/>
      <c r="J589" s="136"/>
      <c r="K589" s="136"/>
      <c r="L589" s="136"/>
      <c r="M589" s="136"/>
      <c r="N589" s="136"/>
      <c r="O589" s="136"/>
      <c r="P589" s="136"/>
      <c r="Q589" s="136"/>
      <c r="R589" s="136"/>
      <c r="S589" s="136"/>
      <c r="T589" s="136"/>
      <c r="U589" s="136"/>
      <c r="V589" s="136"/>
      <c r="W589" s="136"/>
      <c r="X589" s="136"/>
      <c r="Y589" s="136"/>
      <c r="Z589" s="136"/>
    </row>
    <row r="590" spans="1:26" ht="14.25" customHeight="1">
      <c r="A590" s="136"/>
      <c r="B590" s="136"/>
      <c r="C590" s="136"/>
      <c r="D590" s="136"/>
      <c r="E590" s="136"/>
      <c r="F590" s="136"/>
      <c r="G590" s="136"/>
      <c r="H590" s="136"/>
      <c r="I590" s="140"/>
      <c r="J590" s="136"/>
      <c r="K590" s="136"/>
      <c r="L590" s="136"/>
      <c r="M590" s="136"/>
      <c r="N590" s="136"/>
      <c r="O590" s="136"/>
      <c r="P590" s="136"/>
      <c r="Q590" s="136"/>
      <c r="R590" s="136"/>
      <c r="S590" s="136"/>
      <c r="T590" s="136"/>
      <c r="U590" s="136"/>
      <c r="V590" s="136"/>
      <c r="W590" s="136"/>
      <c r="X590" s="136"/>
      <c r="Y590" s="136"/>
      <c r="Z590" s="136"/>
    </row>
    <row r="591" spans="1:26" ht="14.25" customHeight="1">
      <c r="A591" s="136"/>
      <c r="B591" s="136"/>
      <c r="C591" s="136"/>
      <c r="D591" s="136"/>
      <c r="E591" s="136"/>
      <c r="F591" s="136"/>
      <c r="G591" s="136"/>
      <c r="H591" s="136"/>
      <c r="I591" s="140"/>
      <c r="J591" s="136"/>
      <c r="K591" s="136"/>
      <c r="L591" s="136"/>
      <c r="M591" s="136"/>
      <c r="N591" s="136"/>
      <c r="O591" s="136"/>
      <c r="P591" s="136"/>
      <c r="Q591" s="136"/>
      <c r="R591" s="136"/>
      <c r="S591" s="136"/>
      <c r="T591" s="136"/>
      <c r="U591" s="136"/>
      <c r="V591" s="136"/>
      <c r="W591" s="136"/>
      <c r="X591" s="136"/>
      <c r="Y591" s="136"/>
      <c r="Z591" s="136"/>
    </row>
    <row r="592" spans="1:26" ht="14.25" customHeight="1">
      <c r="A592" s="136"/>
      <c r="B592" s="136"/>
      <c r="C592" s="136"/>
      <c r="D592" s="136"/>
      <c r="E592" s="136"/>
      <c r="F592" s="136"/>
      <c r="G592" s="136"/>
      <c r="H592" s="136"/>
      <c r="I592" s="140"/>
      <c r="J592" s="136"/>
      <c r="K592" s="136"/>
      <c r="L592" s="136"/>
      <c r="M592" s="136"/>
      <c r="N592" s="136"/>
      <c r="O592" s="136"/>
      <c r="P592" s="136"/>
      <c r="Q592" s="136"/>
      <c r="R592" s="136"/>
      <c r="S592" s="136"/>
      <c r="T592" s="136"/>
      <c r="U592" s="136"/>
      <c r="V592" s="136"/>
      <c r="W592" s="136"/>
      <c r="X592" s="136"/>
      <c r="Y592" s="136"/>
      <c r="Z592" s="136"/>
    </row>
    <row r="593" spans="1:26" ht="14.25" customHeight="1">
      <c r="A593" s="136"/>
      <c r="B593" s="136"/>
      <c r="C593" s="136"/>
      <c r="D593" s="136"/>
      <c r="E593" s="136"/>
      <c r="F593" s="136"/>
      <c r="G593" s="136"/>
      <c r="H593" s="136"/>
      <c r="I593" s="140"/>
      <c r="J593" s="136"/>
      <c r="K593" s="136"/>
      <c r="L593" s="136"/>
      <c r="M593" s="136"/>
      <c r="N593" s="136"/>
      <c r="O593" s="136"/>
      <c r="P593" s="136"/>
      <c r="Q593" s="136"/>
      <c r="R593" s="136"/>
      <c r="S593" s="136"/>
      <c r="T593" s="136"/>
      <c r="U593" s="136"/>
      <c r="V593" s="136"/>
      <c r="W593" s="136"/>
      <c r="X593" s="136"/>
      <c r="Y593" s="136"/>
      <c r="Z593" s="136"/>
    </row>
    <row r="594" spans="1:26" ht="14.25" customHeight="1">
      <c r="A594" s="136"/>
      <c r="B594" s="136"/>
      <c r="C594" s="136"/>
      <c r="D594" s="136"/>
      <c r="E594" s="136"/>
      <c r="F594" s="136"/>
      <c r="G594" s="136"/>
      <c r="H594" s="136"/>
      <c r="I594" s="140"/>
      <c r="J594" s="136"/>
      <c r="K594" s="136"/>
      <c r="L594" s="136"/>
      <c r="M594" s="136"/>
      <c r="N594" s="136"/>
      <c r="O594" s="136"/>
      <c r="P594" s="136"/>
      <c r="Q594" s="136"/>
      <c r="R594" s="136"/>
      <c r="S594" s="136"/>
      <c r="T594" s="136"/>
      <c r="U594" s="136"/>
      <c r="V594" s="136"/>
      <c r="W594" s="136"/>
      <c r="X594" s="136"/>
      <c r="Y594" s="136"/>
      <c r="Z594" s="136"/>
    </row>
    <row r="595" spans="1:26" ht="14.25" customHeight="1">
      <c r="A595" s="136"/>
      <c r="B595" s="136"/>
      <c r="C595" s="136"/>
      <c r="D595" s="136"/>
      <c r="E595" s="136"/>
      <c r="F595" s="136"/>
      <c r="G595" s="136"/>
      <c r="H595" s="136"/>
      <c r="I595" s="140"/>
      <c r="J595" s="136"/>
      <c r="K595" s="136"/>
      <c r="L595" s="136"/>
      <c r="M595" s="136"/>
      <c r="N595" s="136"/>
      <c r="O595" s="136"/>
      <c r="P595" s="136"/>
      <c r="Q595" s="136"/>
      <c r="R595" s="136"/>
      <c r="S595" s="136"/>
      <c r="T595" s="136"/>
      <c r="U595" s="136"/>
      <c r="V595" s="136"/>
      <c r="W595" s="136"/>
      <c r="X595" s="136"/>
      <c r="Y595" s="136"/>
      <c r="Z595" s="136"/>
    </row>
    <row r="596" spans="1:26" ht="14.25" customHeight="1">
      <c r="A596" s="136"/>
      <c r="B596" s="136"/>
      <c r="C596" s="136"/>
      <c r="D596" s="136"/>
      <c r="E596" s="136"/>
      <c r="F596" s="136"/>
      <c r="G596" s="136"/>
      <c r="H596" s="136"/>
      <c r="I596" s="140"/>
      <c r="J596" s="136"/>
      <c r="K596" s="136"/>
      <c r="L596" s="136"/>
      <c r="M596" s="136"/>
      <c r="N596" s="136"/>
      <c r="O596" s="136"/>
      <c r="P596" s="136"/>
      <c r="Q596" s="136"/>
      <c r="R596" s="136"/>
      <c r="S596" s="136"/>
      <c r="T596" s="136"/>
      <c r="U596" s="136"/>
      <c r="V596" s="136"/>
      <c r="W596" s="136"/>
      <c r="X596" s="136"/>
      <c r="Y596" s="136"/>
      <c r="Z596" s="136"/>
    </row>
    <row r="597" spans="1:26" ht="14.25" customHeight="1">
      <c r="A597" s="136"/>
      <c r="B597" s="136"/>
      <c r="C597" s="136"/>
      <c r="D597" s="136"/>
      <c r="E597" s="136"/>
      <c r="F597" s="136"/>
      <c r="G597" s="136"/>
      <c r="H597" s="136"/>
      <c r="I597" s="140"/>
      <c r="J597" s="136"/>
      <c r="K597" s="136"/>
      <c r="L597" s="136"/>
      <c r="M597" s="136"/>
      <c r="N597" s="136"/>
      <c r="O597" s="136"/>
      <c r="P597" s="136"/>
      <c r="Q597" s="136"/>
      <c r="R597" s="136"/>
      <c r="S597" s="136"/>
      <c r="T597" s="136"/>
      <c r="U597" s="136"/>
      <c r="V597" s="136"/>
      <c r="W597" s="136"/>
      <c r="X597" s="136"/>
      <c r="Y597" s="136"/>
      <c r="Z597" s="136"/>
    </row>
    <row r="598" spans="1:26" ht="14.25" customHeight="1">
      <c r="A598" s="136"/>
      <c r="B598" s="136"/>
      <c r="C598" s="136"/>
      <c r="D598" s="136"/>
      <c r="E598" s="136"/>
      <c r="F598" s="136"/>
      <c r="G598" s="136"/>
      <c r="H598" s="136"/>
      <c r="I598" s="140"/>
      <c r="J598" s="136"/>
      <c r="K598" s="136"/>
      <c r="L598" s="136"/>
      <c r="M598" s="136"/>
      <c r="N598" s="136"/>
      <c r="O598" s="136"/>
      <c r="P598" s="136"/>
      <c r="Q598" s="136"/>
      <c r="R598" s="136"/>
      <c r="S598" s="136"/>
      <c r="T598" s="136"/>
      <c r="U598" s="136"/>
      <c r="V598" s="136"/>
      <c r="W598" s="136"/>
      <c r="X598" s="136"/>
      <c r="Y598" s="136"/>
      <c r="Z598" s="136"/>
    </row>
    <row r="599" spans="1:26" ht="14.25" customHeight="1">
      <c r="A599" s="136"/>
      <c r="B599" s="136"/>
      <c r="C599" s="136"/>
      <c r="D599" s="136"/>
      <c r="E599" s="136"/>
      <c r="F599" s="136"/>
      <c r="G599" s="136"/>
      <c r="H599" s="136"/>
      <c r="I599" s="140"/>
      <c r="J599" s="136"/>
      <c r="K599" s="136"/>
      <c r="L599" s="136"/>
      <c r="M599" s="136"/>
      <c r="N599" s="136"/>
      <c r="O599" s="136"/>
      <c r="P599" s="136"/>
      <c r="Q599" s="136"/>
      <c r="R599" s="136"/>
      <c r="S599" s="136"/>
      <c r="T599" s="136"/>
      <c r="U599" s="136"/>
      <c r="V599" s="136"/>
      <c r="W599" s="136"/>
      <c r="X599" s="136"/>
      <c r="Y599" s="136"/>
      <c r="Z599" s="136"/>
    </row>
    <row r="600" spans="1:26" ht="14.25" customHeight="1">
      <c r="A600" s="136"/>
      <c r="B600" s="136"/>
      <c r="C600" s="136"/>
      <c r="D600" s="136"/>
      <c r="E600" s="136"/>
      <c r="F600" s="136"/>
      <c r="G600" s="136"/>
      <c r="H600" s="136"/>
      <c r="I600" s="140"/>
      <c r="J600" s="136"/>
      <c r="K600" s="136"/>
      <c r="L600" s="136"/>
      <c r="M600" s="136"/>
      <c r="N600" s="136"/>
      <c r="O600" s="136"/>
      <c r="P600" s="136"/>
      <c r="Q600" s="136"/>
      <c r="R600" s="136"/>
      <c r="S600" s="136"/>
      <c r="T600" s="136"/>
      <c r="U600" s="136"/>
      <c r="V600" s="136"/>
      <c r="W600" s="136"/>
      <c r="X600" s="136"/>
      <c r="Y600" s="136"/>
      <c r="Z600" s="136"/>
    </row>
    <row r="601" spans="1:26" ht="14.25" customHeight="1">
      <c r="A601" s="136"/>
      <c r="B601" s="136"/>
      <c r="C601" s="136"/>
      <c r="D601" s="136"/>
      <c r="E601" s="136"/>
      <c r="F601" s="136"/>
      <c r="G601" s="136"/>
      <c r="H601" s="136"/>
      <c r="I601" s="140"/>
      <c r="J601" s="136"/>
      <c r="K601" s="136"/>
      <c r="L601" s="136"/>
      <c r="M601" s="136"/>
      <c r="N601" s="136"/>
      <c r="O601" s="136"/>
      <c r="P601" s="136"/>
      <c r="Q601" s="136"/>
      <c r="R601" s="136"/>
      <c r="S601" s="136"/>
      <c r="T601" s="136"/>
      <c r="U601" s="136"/>
      <c r="V601" s="136"/>
      <c r="W601" s="136"/>
      <c r="X601" s="136"/>
      <c r="Y601" s="136"/>
      <c r="Z601" s="136"/>
    </row>
    <row r="602" spans="1:26" ht="14.25" customHeight="1">
      <c r="A602" s="136"/>
      <c r="B602" s="136"/>
      <c r="C602" s="136"/>
      <c r="D602" s="136"/>
      <c r="E602" s="136"/>
      <c r="F602" s="136"/>
      <c r="G602" s="136"/>
      <c r="H602" s="136"/>
      <c r="I602" s="140"/>
      <c r="J602" s="136"/>
      <c r="K602" s="136"/>
      <c r="L602" s="136"/>
      <c r="M602" s="136"/>
      <c r="N602" s="136"/>
      <c r="O602" s="136"/>
      <c r="P602" s="136"/>
      <c r="Q602" s="136"/>
      <c r="R602" s="136"/>
      <c r="S602" s="136"/>
      <c r="T602" s="136"/>
      <c r="U602" s="136"/>
      <c r="V602" s="136"/>
      <c r="W602" s="136"/>
      <c r="X602" s="136"/>
      <c r="Y602" s="136"/>
      <c r="Z602" s="136"/>
    </row>
    <row r="603" spans="1:26" ht="14.25" customHeight="1">
      <c r="A603" s="136"/>
      <c r="B603" s="136"/>
      <c r="C603" s="136"/>
      <c r="D603" s="136"/>
      <c r="E603" s="136"/>
      <c r="F603" s="136"/>
      <c r="G603" s="136"/>
      <c r="H603" s="136"/>
      <c r="I603" s="140"/>
      <c r="J603" s="136"/>
      <c r="K603" s="136"/>
      <c r="L603" s="136"/>
      <c r="M603" s="136"/>
      <c r="N603" s="136"/>
      <c r="O603" s="136"/>
      <c r="P603" s="136"/>
      <c r="Q603" s="136"/>
      <c r="R603" s="136"/>
      <c r="S603" s="136"/>
      <c r="T603" s="136"/>
      <c r="U603" s="136"/>
      <c r="V603" s="136"/>
      <c r="W603" s="136"/>
      <c r="X603" s="136"/>
      <c r="Y603" s="136"/>
      <c r="Z603" s="136"/>
    </row>
    <row r="604" spans="1:26" ht="14.25" customHeight="1">
      <c r="A604" s="136"/>
      <c r="B604" s="136"/>
      <c r="C604" s="136"/>
      <c r="D604" s="136"/>
      <c r="E604" s="136"/>
      <c r="F604" s="136"/>
      <c r="G604" s="136"/>
      <c r="H604" s="136"/>
      <c r="I604" s="140"/>
      <c r="J604" s="136"/>
      <c r="K604" s="136"/>
      <c r="L604" s="136"/>
      <c r="M604" s="136"/>
      <c r="N604" s="136"/>
      <c r="O604" s="136"/>
      <c r="P604" s="136"/>
      <c r="Q604" s="136"/>
      <c r="R604" s="136"/>
      <c r="S604" s="136"/>
      <c r="T604" s="136"/>
      <c r="U604" s="136"/>
      <c r="V604" s="136"/>
      <c r="W604" s="136"/>
      <c r="X604" s="136"/>
      <c r="Y604" s="136"/>
      <c r="Z604" s="136"/>
    </row>
    <row r="605" spans="1:26" ht="14.25" customHeight="1">
      <c r="A605" s="136"/>
      <c r="B605" s="136"/>
      <c r="C605" s="136"/>
      <c r="D605" s="136"/>
      <c r="E605" s="136"/>
      <c r="F605" s="136"/>
      <c r="G605" s="136"/>
      <c r="H605" s="136"/>
      <c r="I605" s="140"/>
      <c r="J605" s="136"/>
      <c r="K605" s="136"/>
      <c r="L605" s="136"/>
      <c r="M605" s="136"/>
      <c r="N605" s="136"/>
      <c r="O605" s="136"/>
      <c r="P605" s="136"/>
      <c r="Q605" s="136"/>
      <c r="R605" s="136"/>
      <c r="S605" s="136"/>
      <c r="T605" s="136"/>
      <c r="U605" s="136"/>
      <c r="V605" s="136"/>
      <c r="W605" s="136"/>
      <c r="X605" s="136"/>
      <c r="Y605" s="136"/>
      <c r="Z605" s="136"/>
    </row>
    <row r="606" spans="1:26" ht="14.25" customHeight="1">
      <c r="A606" s="136"/>
      <c r="B606" s="136"/>
      <c r="C606" s="136"/>
      <c r="D606" s="136"/>
      <c r="E606" s="136"/>
      <c r="F606" s="136"/>
      <c r="G606" s="136"/>
      <c r="H606" s="136"/>
      <c r="I606" s="140"/>
      <c r="J606" s="136"/>
      <c r="K606" s="136"/>
      <c r="L606" s="136"/>
      <c r="M606" s="136"/>
      <c r="N606" s="136"/>
      <c r="O606" s="136"/>
      <c r="P606" s="136"/>
      <c r="Q606" s="136"/>
      <c r="R606" s="136"/>
      <c r="S606" s="136"/>
      <c r="T606" s="136"/>
      <c r="U606" s="136"/>
      <c r="V606" s="136"/>
      <c r="W606" s="136"/>
      <c r="X606" s="136"/>
      <c r="Y606" s="136"/>
      <c r="Z606" s="136"/>
    </row>
    <row r="607" spans="1:26" ht="14.25" customHeight="1">
      <c r="A607" s="136"/>
      <c r="B607" s="136"/>
      <c r="C607" s="136"/>
      <c r="D607" s="136"/>
      <c r="E607" s="136"/>
      <c r="F607" s="136"/>
      <c r="G607" s="136"/>
      <c r="H607" s="136"/>
      <c r="I607" s="140"/>
      <c r="J607" s="136"/>
      <c r="K607" s="136"/>
      <c r="L607" s="136"/>
      <c r="M607" s="136"/>
      <c r="N607" s="136"/>
      <c r="O607" s="136"/>
      <c r="P607" s="136"/>
      <c r="Q607" s="136"/>
      <c r="R607" s="136"/>
      <c r="S607" s="136"/>
      <c r="T607" s="136"/>
      <c r="U607" s="136"/>
      <c r="V607" s="136"/>
      <c r="W607" s="136"/>
      <c r="X607" s="136"/>
      <c r="Y607" s="136"/>
      <c r="Z607" s="136"/>
    </row>
    <row r="608" spans="1:26" ht="14.25" customHeight="1">
      <c r="A608" s="136"/>
      <c r="B608" s="136"/>
      <c r="C608" s="136"/>
      <c r="D608" s="136"/>
      <c r="E608" s="136"/>
      <c r="F608" s="136"/>
      <c r="G608" s="136"/>
      <c r="H608" s="136"/>
      <c r="I608" s="140"/>
      <c r="J608" s="136"/>
      <c r="K608" s="136"/>
      <c r="L608" s="136"/>
      <c r="M608" s="136"/>
      <c r="N608" s="136"/>
      <c r="O608" s="136"/>
      <c r="P608" s="136"/>
      <c r="Q608" s="136"/>
      <c r="R608" s="136"/>
      <c r="S608" s="136"/>
      <c r="T608" s="136"/>
      <c r="U608" s="136"/>
      <c r="V608" s="136"/>
      <c r="W608" s="136"/>
      <c r="X608" s="136"/>
      <c r="Y608" s="136"/>
      <c r="Z608" s="136"/>
    </row>
    <row r="609" spans="1:26" ht="14.25" customHeight="1">
      <c r="A609" s="136"/>
      <c r="B609" s="136"/>
      <c r="C609" s="136"/>
      <c r="D609" s="136"/>
      <c r="E609" s="136"/>
      <c r="F609" s="136"/>
      <c r="G609" s="136"/>
      <c r="H609" s="136"/>
      <c r="I609" s="140"/>
      <c r="J609" s="136"/>
      <c r="K609" s="136"/>
      <c r="L609" s="136"/>
      <c r="M609" s="136"/>
      <c r="N609" s="136"/>
      <c r="O609" s="136"/>
      <c r="P609" s="136"/>
      <c r="Q609" s="136"/>
      <c r="R609" s="136"/>
      <c r="S609" s="136"/>
      <c r="T609" s="136"/>
      <c r="U609" s="136"/>
      <c r="V609" s="136"/>
      <c r="W609" s="136"/>
      <c r="X609" s="136"/>
      <c r="Y609" s="136"/>
      <c r="Z609" s="136"/>
    </row>
    <row r="610" spans="1:26" ht="14.25" customHeight="1">
      <c r="A610" s="136"/>
      <c r="B610" s="136"/>
      <c r="C610" s="136"/>
      <c r="D610" s="136"/>
      <c r="E610" s="136"/>
      <c r="F610" s="136"/>
      <c r="G610" s="136"/>
      <c r="H610" s="136"/>
      <c r="I610" s="140"/>
      <c r="J610" s="136"/>
      <c r="K610" s="136"/>
      <c r="L610" s="136"/>
      <c r="M610" s="136"/>
      <c r="N610" s="136"/>
      <c r="O610" s="136"/>
      <c r="P610" s="136"/>
      <c r="Q610" s="136"/>
      <c r="R610" s="136"/>
      <c r="S610" s="136"/>
      <c r="T610" s="136"/>
      <c r="U610" s="136"/>
      <c r="V610" s="136"/>
      <c r="W610" s="136"/>
      <c r="X610" s="136"/>
      <c r="Y610" s="136"/>
      <c r="Z610" s="136"/>
    </row>
    <row r="611" spans="1:26" ht="14.25" customHeight="1">
      <c r="A611" s="136"/>
      <c r="B611" s="136"/>
      <c r="C611" s="136"/>
      <c r="D611" s="136"/>
      <c r="E611" s="136"/>
      <c r="F611" s="136"/>
      <c r="G611" s="136"/>
      <c r="H611" s="136"/>
      <c r="I611" s="140"/>
      <c r="J611" s="136"/>
      <c r="K611" s="136"/>
      <c r="L611" s="136"/>
      <c r="M611" s="136"/>
      <c r="N611" s="136"/>
      <c r="O611" s="136"/>
      <c r="P611" s="136"/>
      <c r="Q611" s="136"/>
      <c r="R611" s="136"/>
      <c r="S611" s="136"/>
      <c r="T611" s="136"/>
      <c r="U611" s="136"/>
      <c r="V611" s="136"/>
      <c r="W611" s="136"/>
      <c r="X611" s="136"/>
      <c r="Y611" s="136"/>
      <c r="Z611" s="136"/>
    </row>
    <row r="612" spans="1:26" ht="14.25" customHeight="1">
      <c r="A612" s="136"/>
      <c r="B612" s="136"/>
      <c r="C612" s="136"/>
      <c r="D612" s="136"/>
      <c r="E612" s="136"/>
      <c r="F612" s="136"/>
      <c r="G612" s="136"/>
      <c r="H612" s="136"/>
      <c r="I612" s="140"/>
      <c r="J612" s="136"/>
      <c r="K612" s="136"/>
      <c r="L612" s="136"/>
      <c r="M612" s="136"/>
      <c r="N612" s="136"/>
      <c r="O612" s="136"/>
      <c r="P612" s="136"/>
      <c r="Q612" s="136"/>
      <c r="R612" s="136"/>
      <c r="S612" s="136"/>
      <c r="T612" s="136"/>
      <c r="U612" s="136"/>
      <c r="V612" s="136"/>
      <c r="W612" s="136"/>
      <c r="X612" s="136"/>
      <c r="Y612" s="136"/>
      <c r="Z612" s="136"/>
    </row>
    <row r="613" spans="1:26" ht="14.25" customHeight="1">
      <c r="A613" s="136"/>
      <c r="B613" s="136"/>
      <c r="C613" s="136"/>
      <c r="D613" s="136"/>
      <c r="E613" s="136"/>
      <c r="F613" s="136"/>
      <c r="G613" s="136"/>
      <c r="H613" s="136"/>
      <c r="I613" s="140"/>
      <c r="J613" s="136"/>
      <c r="K613" s="136"/>
      <c r="L613" s="136"/>
      <c r="M613" s="136"/>
      <c r="N613" s="136"/>
      <c r="O613" s="136"/>
      <c r="P613" s="136"/>
      <c r="Q613" s="136"/>
      <c r="R613" s="136"/>
      <c r="S613" s="136"/>
      <c r="T613" s="136"/>
      <c r="U613" s="136"/>
      <c r="V613" s="136"/>
      <c r="W613" s="136"/>
      <c r="X613" s="136"/>
      <c r="Y613" s="136"/>
      <c r="Z613" s="136"/>
    </row>
    <row r="614" spans="1:26" ht="14.25" customHeight="1">
      <c r="A614" s="136"/>
      <c r="B614" s="136"/>
      <c r="C614" s="136"/>
      <c r="D614" s="136"/>
      <c r="E614" s="136"/>
      <c r="F614" s="136"/>
      <c r="G614" s="136"/>
      <c r="H614" s="136"/>
      <c r="I614" s="140"/>
      <c r="J614" s="136"/>
      <c r="K614" s="136"/>
      <c r="L614" s="136"/>
      <c r="M614" s="136"/>
      <c r="N614" s="136"/>
      <c r="O614" s="136"/>
      <c r="P614" s="136"/>
      <c r="Q614" s="136"/>
      <c r="R614" s="136"/>
      <c r="S614" s="136"/>
      <c r="T614" s="136"/>
      <c r="U614" s="136"/>
      <c r="V614" s="136"/>
      <c r="W614" s="136"/>
      <c r="X614" s="136"/>
      <c r="Y614" s="136"/>
      <c r="Z614" s="136"/>
    </row>
    <row r="615" spans="1:26" ht="14.25" customHeight="1">
      <c r="A615" s="136"/>
      <c r="B615" s="136"/>
      <c r="C615" s="136"/>
      <c r="D615" s="136"/>
      <c r="E615" s="136"/>
      <c r="F615" s="136"/>
      <c r="G615" s="136"/>
      <c r="H615" s="136"/>
      <c r="I615" s="140"/>
      <c r="J615" s="136"/>
      <c r="K615" s="136"/>
      <c r="L615" s="136"/>
      <c r="M615" s="136"/>
      <c r="N615" s="136"/>
      <c r="O615" s="136"/>
      <c r="P615" s="136"/>
      <c r="Q615" s="136"/>
      <c r="R615" s="136"/>
      <c r="S615" s="136"/>
      <c r="T615" s="136"/>
      <c r="U615" s="136"/>
      <c r="V615" s="136"/>
      <c r="W615" s="136"/>
      <c r="X615" s="136"/>
      <c r="Y615" s="136"/>
      <c r="Z615" s="136"/>
    </row>
    <row r="616" spans="1:26" ht="14.25" customHeight="1">
      <c r="A616" s="136"/>
      <c r="B616" s="136"/>
      <c r="C616" s="136"/>
      <c r="D616" s="136"/>
      <c r="E616" s="136"/>
      <c r="F616" s="136"/>
      <c r="G616" s="136"/>
      <c r="H616" s="136"/>
      <c r="I616" s="140"/>
      <c r="J616" s="136"/>
      <c r="K616" s="136"/>
      <c r="L616" s="136"/>
      <c r="M616" s="136"/>
      <c r="N616" s="136"/>
      <c r="O616" s="136"/>
      <c r="P616" s="136"/>
      <c r="Q616" s="136"/>
      <c r="R616" s="136"/>
      <c r="S616" s="136"/>
      <c r="T616" s="136"/>
      <c r="U616" s="136"/>
      <c r="V616" s="136"/>
      <c r="W616" s="136"/>
      <c r="X616" s="136"/>
      <c r="Y616" s="136"/>
      <c r="Z616" s="136"/>
    </row>
    <row r="617" spans="1:26" ht="14.25" customHeight="1">
      <c r="A617" s="136"/>
      <c r="B617" s="136"/>
      <c r="C617" s="136"/>
      <c r="D617" s="136"/>
      <c r="E617" s="136"/>
      <c r="F617" s="136"/>
      <c r="G617" s="136"/>
      <c r="H617" s="136"/>
      <c r="I617" s="140"/>
      <c r="J617" s="136"/>
      <c r="K617" s="136"/>
      <c r="L617" s="136"/>
      <c r="M617" s="136"/>
      <c r="N617" s="136"/>
      <c r="O617" s="136"/>
      <c r="P617" s="136"/>
      <c r="Q617" s="136"/>
      <c r="R617" s="136"/>
      <c r="S617" s="136"/>
      <c r="T617" s="136"/>
      <c r="U617" s="136"/>
      <c r="V617" s="136"/>
      <c r="W617" s="136"/>
      <c r="X617" s="136"/>
      <c r="Y617" s="136"/>
      <c r="Z617" s="136"/>
    </row>
    <row r="618" spans="1:26" ht="14.25" customHeight="1">
      <c r="A618" s="136"/>
      <c r="B618" s="136"/>
      <c r="C618" s="136"/>
      <c r="D618" s="136"/>
      <c r="E618" s="136"/>
      <c r="F618" s="136"/>
      <c r="G618" s="136"/>
      <c r="H618" s="136"/>
      <c r="I618" s="140"/>
      <c r="J618" s="136"/>
      <c r="K618" s="136"/>
      <c r="L618" s="136"/>
      <c r="M618" s="136"/>
      <c r="N618" s="136"/>
      <c r="O618" s="136"/>
      <c r="P618" s="136"/>
      <c r="Q618" s="136"/>
      <c r="R618" s="136"/>
      <c r="S618" s="136"/>
      <c r="T618" s="136"/>
      <c r="U618" s="136"/>
      <c r="V618" s="136"/>
      <c r="W618" s="136"/>
      <c r="X618" s="136"/>
      <c r="Y618" s="136"/>
      <c r="Z618" s="136"/>
    </row>
    <row r="619" spans="1:26" ht="14.25" customHeight="1">
      <c r="A619" s="136"/>
      <c r="B619" s="136"/>
      <c r="C619" s="136"/>
      <c r="D619" s="136"/>
      <c r="E619" s="136"/>
      <c r="F619" s="136"/>
      <c r="G619" s="136"/>
      <c r="H619" s="136"/>
      <c r="I619" s="140"/>
      <c r="J619" s="136"/>
      <c r="K619" s="136"/>
      <c r="L619" s="136"/>
      <c r="M619" s="136"/>
      <c r="N619" s="136"/>
      <c r="O619" s="136"/>
      <c r="P619" s="136"/>
      <c r="Q619" s="136"/>
      <c r="R619" s="136"/>
      <c r="S619" s="136"/>
      <c r="T619" s="136"/>
      <c r="U619" s="136"/>
      <c r="V619" s="136"/>
      <c r="W619" s="136"/>
      <c r="X619" s="136"/>
      <c r="Y619" s="136"/>
      <c r="Z619" s="136"/>
    </row>
    <row r="620" spans="1:26" ht="14.25" customHeight="1">
      <c r="A620" s="136"/>
      <c r="B620" s="136"/>
      <c r="C620" s="136"/>
      <c r="D620" s="136"/>
      <c r="E620" s="136"/>
      <c r="F620" s="136"/>
      <c r="G620" s="136"/>
      <c r="H620" s="136"/>
      <c r="I620" s="140"/>
      <c r="J620" s="136"/>
      <c r="K620" s="136"/>
      <c r="L620" s="136"/>
      <c r="M620" s="136"/>
      <c r="N620" s="136"/>
      <c r="O620" s="136"/>
      <c r="P620" s="136"/>
      <c r="Q620" s="136"/>
      <c r="R620" s="136"/>
      <c r="S620" s="136"/>
      <c r="T620" s="136"/>
      <c r="U620" s="136"/>
      <c r="V620" s="136"/>
      <c r="W620" s="136"/>
      <c r="X620" s="136"/>
      <c r="Y620" s="136"/>
      <c r="Z620" s="136"/>
    </row>
    <row r="621" spans="1:26" ht="14.25" customHeight="1">
      <c r="A621" s="136"/>
      <c r="B621" s="136"/>
      <c r="C621" s="136"/>
      <c r="D621" s="136"/>
      <c r="E621" s="136"/>
      <c r="F621" s="136"/>
      <c r="G621" s="136"/>
      <c r="H621" s="136"/>
      <c r="I621" s="140"/>
      <c r="J621" s="136"/>
      <c r="K621" s="136"/>
      <c r="L621" s="136"/>
      <c r="M621" s="136"/>
      <c r="N621" s="136"/>
      <c r="O621" s="136"/>
      <c r="P621" s="136"/>
      <c r="Q621" s="136"/>
      <c r="R621" s="136"/>
      <c r="S621" s="136"/>
      <c r="T621" s="136"/>
      <c r="U621" s="136"/>
      <c r="V621" s="136"/>
      <c r="W621" s="136"/>
      <c r="X621" s="136"/>
      <c r="Y621" s="136"/>
      <c r="Z621" s="136"/>
    </row>
    <row r="622" spans="1:26" ht="14.25" customHeight="1">
      <c r="A622" s="136"/>
      <c r="B622" s="136"/>
      <c r="C622" s="136"/>
      <c r="D622" s="136"/>
      <c r="E622" s="136"/>
      <c r="F622" s="136"/>
      <c r="G622" s="136"/>
      <c r="H622" s="136"/>
      <c r="I622" s="140"/>
      <c r="J622" s="136"/>
      <c r="K622" s="136"/>
      <c r="L622" s="136"/>
      <c r="M622" s="136"/>
      <c r="N622" s="136"/>
      <c r="O622" s="136"/>
      <c r="P622" s="136"/>
      <c r="Q622" s="136"/>
      <c r="R622" s="136"/>
      <c r="S622" s="136"/>
      <c r="T622" s="136"/>
      <c r="U622" s="136"/>
      <c r="V622" s="136"/>
      <c r="W622" s="136"/>
      <c r="X622" s="136"/>
      <c r="Y622" s="136"/>
      <c r="Z622" s="136"/>
    </row>
    <row r="623" spans="1:26" ht="14.25" customHeight="1">
      <c r="A623" s="136"/>
      <c r="B623" s="136"/>
      <c r="C623" s="136"/>
      <c r="D623" s="136"/>
      <c r="E623" s="136"/>
      <c r="F623" s="136"/>
      <c r="G623" s="136"/>
      <c r="H623" s="136"/>
      <c r="I623" s="140"/>
      <c r="J623" s="136"/>
      <c r="K623" s="136"/>
      <c r="L623" s="136"/>
      <c r="M623" s="136"/>
      <c r="N623" s="136"/>
      <c r="O623" s="136"/>
      <c r="P623" s="136"/>
      <c r="Q623" s="136"/>
      <c r="R623" s="136"/>
      <c r="S623" s="136"/>
      <c r="T623" s="136"/>
      <c r="U623" s="136"/>
      <c r="V623" s="136"/>
      <c r="W623" s="136"/>
      <c r="X623" s="136"/>
      <c r="Y623" s="136"/>
      <c r="Z623" s="136"/>
    </row>
    <row r="624" spans="1:26" ht="14.25" customHeight="1">
      <c r="A624" s="136"/>
      <c r="B624" s="136"/>
      <c r="C624" s="136"/>
      <c r="D624" s="136"/>
      <c r="E624" s="136"/>
      <c r="F624" s="136"/>
      <c r="G624" s="136"/>
      <c r="H624" s="136"/>
      <c r="I624" s="140"/>
      <c r="J624" s="136"/>
      <c r="K624" s="136"/>
      <c r="L624" s="136"/>
      <c r="M624" s="136"/>
      <c r="N624" s="136"/>
      <c r="O624" s="136"/>
      <c r="P624" s="136"/>
      <c r="Q624" s="136"/>
      <c r="R624" s="136"/>
      <c r="S624" s="136"/>
      <c r="T624" s="136"/>
      <c r="U624" s="136"/>
      <c r="V624" s="136"/>
      <c r="W624" s="136"/>
      <c r="X624" s="136"/>
      <c r="Y624" s="136"/>
      <c r="Z624" s="136"/>
    </row>
    <row r="625" spans="1:26" ht="14.25" customHeight="1">
      <c r="A625" s="136"/>
      <c r="B625" s="136"/>
      <c r="C625" s="136"/>
      <c r="D625" s="136"/>
      <c r="E625" s="136"/>
      <c r="F625" s="136"/>
      <c r="G625" s="136"/>
      <c r="H625" s="136"/>
      <c r="I625" s="140"/>
      <c r="J625" s="136"/>
      <c r="K625" s="136"/>
      <c r="L625" s="136"/>
      <c r="M625" s="136"/>
      <c r="N625" s="136"/>
      <c r="O625" s="136"/>
      <c r="P625" s="136"/>
      <c r="Q625" s="136"/>
      <c r="R625" s="136"/>
      <c r="S625" s="136"/>
      <c r="T625" s="136"/>
      <c r="U625" s="136"/>
      <c r="V625" s="136"/>
      <c r="W625" s="136"/>
      <c r="X625" s="136"/>
      <c r="Y625" s="136"/>
      <c r="Z625" s="136"/>
    </row>
    <row r="626" spans="1:26" ht="14.25" customHeight="1">
      <c r="A626" s="136"/>
      <c r="B626" s="136"/>
      <c r="C626" s="136"/>
      <c r="D626" s="136"/>
      <c r="E626" s="136"/>
      <c r="F626" s="136"/>
      <c r="G626" s="136"/>
      <c r="H626" s="136"/>
      <c r="I626" s="140"/>
      <c r="J626" s="136"/>
      <c r="K626" s="136"/>
      <c r="L626" s="136"/>
      <c r="M626" s="136"/>
      <c r="N626" s="136"/>
      <c r="O626" s="136"/>
      <c r="P626" s="136"/>
      <c r="Q626" s="136"/>
      <c r="R626" s="136"/>
      <c r="S626" s="136"/>
      <c r="T626" s="136"/>
      <c r="U626" s="136"/>
      <c r="V626" s="136"/>
      <c r="W626" s="136"/>
      <c r="X626" s="136"/>
      <c r="Y626" s="136"/>
      <c r="Z626" s="136"/>
    </row>
    <row r="627" spans="1:26" ht="14.25" customHeight="1">
      <c r="A627" s="136"/>
      <c r="B627" s="136"/>
      <c r="C627" s="136"/>
      <c r="D627" s="136"/>
      <c r="E627" s="136"/>
      <c r="F627" s="136"/>
      <c r="G627" s="136"/>
      <c r="H627" s="136"/>
      <c r="I627" s="140"/>
      <c r="J627" s="136"/>
      <c r="K627" s="136"/>
      <c r="L627" s="136"/>
      <c r="M627" s="136"/>
      <c r="N627" s="136"/>
      <c r="O627" s="136"/>
      <c r="P627" s="136"/>
      <c r="Q627" s="136"/>
      <c r="R627" s="136"/>
      <c r="S627" s="136"/>
      <c r="T627" s="136"/>
      <c r="U627" s="136"/>
      <c r="V627" s="136"/>
      <c r="W627" s="136"/>
      <c r="X627" s="136"/>
      <c r="Y627" s="136"/>
      <c r="Z627" s="136"/>
    </row>
    <row r="628" spans="1:26" ht="14.25" customHeight="1">
      <c r="A628" s="136"/>
      <c r="B628" s="136"/>
      <c r="C628" s="136"/>
      <c r="D628" s="136"/>
      <c r="E628" s="136"/>
      <c r="F628" s="136"/>
      <c r="G628" s="136"/>
      <c r="H628" s="136"/>
      <c r="I628" s="140"/>
      <c r="J628" s="136"/>
      <c r="K628" s="136"/>
      <c r="L628" s="136"/>
      <c r="M628" s="136"/>
      <c r="N628" s="136"/>
      <c r="O628" s="136"/>
      <c r="P628" s="136"/>
      <c r="Q628" s="136"/>
      <c r="R628" s="136"/>
      <c r="S628" s="136"/>
      <c r="T628" s="136"/>
      <c r="U628" s="136"/>
      <c r="V628" s="136"/>
      <c r="W628" s="136"/>
      <c r="X628" s="136"/>
      <c r="Y628" s="136"/>
      <c r="Z628" s="136"/>
    </row>
    <row r="629" spans="1:26" ht="14.25" customHeight="1">
      <c r="A629" s="136"/>
      <c r="B629" s="136"/>
      <c r="C629" s="136"/>
      <c r="D629" s="136"/>
      <c r="E629" s="136"/>
      <c r="F629" s="136"/>
      <c r="G629" s="136"/>
      <c r="H629" s="136"/>
      <c r="I629" s="140"/>
      <c r="J629" s="136"/>
      <c r="K629" s="136"/>
      <c r="L629" s="136"/>
      <c r="M629" s="136"/>
      <c r="N629" s="136"/>
      <c r="O629" s="136"/>
      <c r="P629" s="136"/>
      <c r="Q629" s="136"/>
      <c r="R629" s="136"/>
      <c r="S629" s="136"/>
      <c r="T629" s="136"/>
      <c r="U629" s="136"/>
      <c r="V629" s="136"/>
      <c r="W629" s="136"/>
      <c r="X629" s="136"/>
      <c r="Y629" s="136"/>
      <c r="Z629" s="136"/>
    </row>
    <row r="630" spans="1:26" ht="14.25" customHeight="1">
      <c r="A630" s="136"/>
      <c r="B630" s="136"/>
      <c r="C630" s="136"/>
      <c r="D630" s="136"/>
      <c r="E630" s="136"/>
      <c r="F630" s="136"/>
      <c r="G630" s="136"/>
      <c r="H630" s="136"/>
      <c r="I630" s="140"/>
      <c r="J630" s="136"/>
      <c r="K630" s="136"/>
      <c r="L630" s="136"/>
      <c r="M630" s="136"/>
      <c r="N630" s="136"/>
      <c r="O630" s="136"/>
      <c r="P630" s="136"/>
      <c r="Q630" s="136"/>
      <c r="R630" s="136"/>
      <c r="S630" s="136"/>
      <c r="T630" s="136"/>
      <c r="U630" s="136"/>
      <c r="V630" s="136"/>
      <c r="W630" s="136"/>
      <c r="X630" s="136"/>
      <c r="Y630" s="136"/>
      <c r="Z630" s="136"/>
    </row>
    <row r="631" spans="1:26" ht="14.25" customHeight="1">
      <c r="A631" s="136"/>
      <c r="B631" s="136"/>
      <c r="C631" s="136"/>
      <c r="D631" s="136"/>
      <c r="E631" s="136"/>
      <c r="F631" s="136"/>
      <c r="G631" s="136"/>
      <c r="H631" s="136"/>
      <c r="I631" s="140"/>
      <c r="J631" s="136"/>
      <c r="K631" s="136"/>
      <c r="L631" s="136"/>
      <c r="M631" s="136"/>
      <c r="N631" s="136"/>
      <c r="O631" s="136"/>
      <c r="P631" s="136"/>
      <c r="Q631" s="136"/>
      <c r="R631" s="136"/>
      <c r="S631" s="136"/>
      <c r="T631" s="136"/>
      <c r="U631" s="136"/>
      <c r="V631" s="136"/>
      <c r="W631" s="136"/>
      <c r="X631" s="136"/>
      <c r="Y631" s="136"/>
      <c r="Z631" s="136"/>
    </row>
    <row r="632" spans="1:26" ht="14.25" customHeight="1">
      <c r="A632" s="136"/>
      <c r="B632" s="136"/>
      <c r="C632" s="136"/>
      <c r="D632" s="136"/>
      <c r="E632" s="136"/>
      <c r="F632" s="136"/>
      <c r="G632" s="136"/>
      <c r="H632" s="136"/>
      <c r="I632" s="140"/>
      <c r="J632" s="136"/>
      <c r="K632" s="136"/>
      <c r="L632" s="136"/>
      <c r="M632" s="136"/>
      <c r="N632" s="136"/>
      <c r="O632" s="136"/>
      <c r="P632" s="136"/>
      <c r="Q632" s="136"/>
      <c r="R632" s="136"/>
      <c r="S632" s="136"/>
      <c r="T632" s="136"/>
      <c r="U632" s="136"/>
      <c r="V632" s="136"/>
      <c r="W632" s="136"/>
      <c r="X632" s="136"/>
      <c r="Y632" s="136"/>
      <c r="Z632" s="136"/>
    </row>
    <row r="633" spans="1:26" ht="14.25" customHeight="1">
      <c r="A633" s="136"/>
      <c r="B633" s="136"/>
      <c r="C633" s="136"/>
      <c r="D633" s="136"/>
      <c r="E633" s="136"/>
      <c r="F633" s="136"/>
      <c r="G633" s="136"/>
      <c r="H633" s="136"/>
      <c r="I633" s="140"/>
      <c r="J633" s="136"/>
      <c r="K633" s="136"/>
      <c r="L633" s="136"/>
      <c r="M633" s="136"/>
      <c r="N633" s="136"/>
      <c r="O633" s="136"/>
      <c r="P633" s="136"/>
      <c r="Q633" s="136"/>
      <c r="R633" s="136"/>
      <c r="S633" s="136"/>
      <c r="T633" s="136"/>
      <c r="U633" s="136"/>
      <c r="V633" s="136"/>
      <c r="W633" s="136"/>
      <c r="X633" s="136"/>
      <c r="Y633" s="136"/>
      <c r="Z633" s="136"/>
    </row>
    <row r="634" spans="1:26" ht="14.25" customHeight="1">
      <c r="A634" s="136"/>
      <c r="B634" s="136"/>
      <c r="C634" s="136"/>
      <c r="D634" s="136"/>
      <c r="E634" s="136"/>
      <c r="F634" s="136"/>
      <c r="G634" s="136"/>
      <c r="H634" s="136"/>
      <c r="I634" s="140"/>
      <c r="J634" s="136"/>
      <c r="K634" s="136"/>
      <c r="L634" s="136"/>
      <c r="M634" s="136"/>
      <c r="N634" s="136"/>
      <c r="O634" s="136"/>
      <c r="P634" s="136"/>
      <c r="Q634" s="136"/>
      <c r="R634" s="136"/>
      <c r="S634" s="136"/>
      <c r="T634" s="136"/>
      <c r="U634" s="136"/>
      <c r="V634" s="136"/>
      <c r="W634" s="136"/>
      <c r="X634" s="136"/>
      <c r="Y634" s="136"/>
      <c r="Z634" s="136"/>
    </row>
    <row r="635" spans="1:26" ht="14.25" customHeight="1">
      <c r="A635" s="136"/>
      <c r="B635" s="136"/>
      <c r="C635" s="136"/>
      <c r="D635" s="136"/>
      <c r="E635" s="136"/>
      <c r="F635" s="136"/>
      <c r="G635" s="136"/>
      <c r="H635" s="136"/>
      <c r="I635" s="140"/>
      <c r="J635" s="136"/>
      <c r="K635" s="136"/>
      <c r="L635" s="136"/>
      <c r="M635" s="136"/>
      <c r="N635" s="136"/>
      <c r="O635" s="136"/>
      <c r="P635" s="136"/>
      <c r="Q635" s="136"/>
      <c r="R635" s="136"/>
      <c r="S635" s="136"/>
      <c r="T635" s="136"/>
      <c r="U635" s="136"/>
      <c r="V635" s="136"/>
      <c r="W635" s="136"/>
      <c r="X635" s="136"/>
      <c r="Y635" s="136"/>
      <c r="Z635" s="136"/>
    </row>
    <row r="636" spans="1:26" ht="14.25" customHeight="1">
      <c r="A636" s="136"/>
      <c r="B636" s="136"/>
      <c r="C636" s="136"/>
      <c r="D636" s="136"/>
      <c r="E636" s="136"/>
      <c r="F636" s="136"/>
      <c r="G636" s="136"/>
      <c r="H636" s="136"/>
      <c r="I636" s="140"/>
      <c r="J636" s="136"/>
      <c r="K636" s="136"/>
      <c r="L636" s="136"/>
      <c r="M636" s="136"/>
      <c r="N636" s="136"/>
      <c r="O636" s="136"/>
      <c r="P636" s="136"/>
      <c r="Q636" s="136"/>
      <c r="R636" s="136"/>
      <c r="S636" s="136"/>
      <c r="T636" s="136"/>
      <c r="U636" s="136"/>
      <c r="V636" s="136"/>
      <c r="W636" s="136"/>
      <c r="X636" s="136"/>
      <c r="Y636" s="136"/>
      <c r="Z636" s="136"/>
    </row>
    <row r="637" spans="1:26" ht="14.25" customHeight="1">
      <c r="A637" s="136"/>
      <c r="B637" s="136"/>
      <c r="C637" s="136"/>
      <c r="D637" s="136"/>
      <c r="E637" s="136"/>
      <c r="F637" s="136"/>
      <c r="G637" s="136"/>
      <c r="H637" s="136"/>
      <c r="I637" s="140"/>
      <c r="J637" s="136"/>
      <c r="K637" s="136"/>
      <c r="L637" s="136"/>
      <c r="M637" s="136"/>
      <c r="N637" s="136"/>
      <c r="O637" s="136"/>
      <c r="P637" s="136"/>
      <c r="Q637" s="136"/>
      <c r="R637" s="136"/>
      <c r="S637" s="136"/>
      <c r="T637" s="136"/>
      <c r="U637" s="136"/>
      <c r="V637" s="136"/>
      <c r="W637" s="136"/>
      <c r="X637" s="136"/>
      <c r="Y637" s="136"/>
      <c r="Z637" s="136"/>
    </row>
    <row r="638" spans="1:26" ht="14.25" customHeight="1">
      <c r="A638" s="136"/>
      <c r="B638" s="136"/>
      <c r="C638" s="136"/>
      <c r="D638" s="136"/>
      <c r="E638" s="136"/>
      <c r="F638" s="136"/>
      <c r="G638" s="136"/>
      <c r="H638" s="136"/>
      <c r="I638" s="140"/>
      <c r="J638" s="136"/>
      <c r="K638" s="136"/>
      <c r="L638" s="136"/>
      <c r="M638" s="136"/>
      <c r="N638" s="136"/>
      <c r="O638" s="136"/>
      <c r="P638" s="136"/>
      <c r="Q638" s="136"/>
      <c r="R638" s="136"/>
      <c r="S638" s="136"/>
      <c r="T638" s="136"/>
      <c r="U638" s="136"/>
      <c r="V638" s="136"/>
      <c r="W638" s="136"/>
      <c r="X638" s="136"/>
      <c r="Y638" s="136"/>
      <c r="Z638" s="136"/>
    </row>
    <row r="639" spans="1:26" ht="14.25" customHeight="1">
      <c r="A639" s="136"/>
      <c r="B639" s="136"/>
      <c r="C639" s="136"/>
      <c r="D639" s="136"/>
      <c r="E639" s="136"/>
      <c r="F639" s="136"/>
      <c r="G639" s="136"/>
      <c r="H639" s="136"/>
      <c r="I639" s="140"/>
      <c r="J639" s="136"/>
      <c r="K639" s="136"/>
      <c r="L639" s="136"/>
      <c r="M639" s="136"/>
      <c r="N639" s="136"/>
      <c r="O639" s="136"/>
      <c r="P639" s="136"/>
      <c r="Q639" s="136"/>
      <c r="R639" s="136"/>
      <c r="S639" s="136"/>
      <c r="T639" s="136"/>
      <c r="U639" s="136"/>
      <c r="V639" s="136"/>
      <c r="W639" s="136"/>
      <c r="X639" s="136"/>
      <c r="Y639" s="136"/>
      <c r="Z639" s="136"/>
    </row>
    <row r="640" spans="1:26" ht="14.25" customHeight="1">
      <c r="A640" s="136"/>
      <c r="B640" s="136"/>
      <c r="C640" s="136"/>
      <c r="D640" s="136"/>
      <c r="E640" s="136"/>
      <c r="F640" s="136"/>
      <c r="G640" s="136"/>
      <c r="H640" s="136"/>
      <c r="I640" s="140"/>
      <c r="J640" s="136"/>
      <c r="K640" s="136"/>
      <c r="L640" s="136"/>
      <c r="M640" s="136"/>
      <c r="N640" s="136"/>
      <c r="O640" s="136"/>
      <c r="P640" s="136"/>
      <c r="Q640" s="136"/>
      <c r="R640" s="136"/>
      <c r="S640" s="136"/>
      <c r="T640" s="136"/>
      <c r="U640" s="136"/>
      <c r="V640" s="136"/>
      <c r="W640" s="136"/>
      <c r="X640" s="136"/>
      <c r="Y640" s="136"/>
      <c r="Z640" s="136"/>
    </row>
    <row r="641" spans="1:26" ht="14.25" customHeight="1">
      <c r="A641" s="136"/>
      <c r="B641" s="136"/>
      <c r="C641" s="136"/>
      <c r="D641" s="136"/>
      <c r="E641" s="136"/>
      <c r="F641" s="136"/>
      <c r="G641" s="136"/>
      <c r="H641" s="136"/>
      <c r="I641" s="140"/>
      <c r="J641" s="136"/>
      <c r="K641" s="136"/>
      <c r="L641" s="136"/>
      <c r="M641" s="136"/>
      <c r="N641" s="136"/>
      <c r="O641" s="136"/>
      <c r="P641" s="136"/>
      <c r="Q641" s="136"/>
      <c r="R641" s="136"/>
      <c r="S641" s="136"/>
      <c r="T641" s="136"/>
      <c r="U641" s="136"/>
      <c r="V641" s="136"/>
      <c r="W641" s="136"/>
      <c r="X641" s="136"/>
      <c r="Y641" s="136"/>
      <c r="Z641" s="136"/>
    </row>
    <row r="642" spans="1:26" ht="14.25" customHeight="1">
      <c r="A642" s="136"/>
      <c r="B642" s="136"/>
      <c r="C642" s="136"/>
      <c r="D642" s="136"/>
      <c r="E642" s="136"/>
      <c r="F642" s="136"/>
      <c r="G642" s="136"/>
      <c r="H642" s="136"/>
      <c r="I642" s="140"/>
      <c r="J642" s="136"/>
      <c r="K642" s="136"/>
      <c r="L642" s="136"/>
      <c r="M642" s="136"/>
      <c r="N642" s="136"/>
      <c r="O642" s="136"/>
      <c r="P642" s="136"/>
      <c r="Q642" s="136"/>
      <c r="R642" s="136"/>
      <c r="S642" s="136"/>
      <c r="T642" s="136"/>
      <c r="U642" s="136"/>
      <c r="V642" s="136"/>
      <c r="W642" s="136"/>
      <c r="X642" s="136"/>
      <c r="Y642" s="136"/>
      <c r="Z642" s="136"/>
    </row>
    <row r="643" spans="1:26" ht="14.25" customHeight="1">
      <c r="A643" s="136"/>
      <c r="B643" s="136"/>
      <c r="C643" s="136"/>
      <c r="D643" s="136"/>
      <c r="E643" s="136"/>
      <c r="F643" s="136"/>
      <c r="G643" s="136"/>
      <c r="H643" s="136"/>
      <c r="I643" s="140"/>
      <c r="J643" s="136"/>
      <c r="K643" s="136"/>
      <c r="L643" s="136"/>
      <c r="M643" s="136"/>
      <c r="N643" s="136"/>
      <c r="O643" s="136"/>
      <c r="P643" s="136"/>
      <c r="Q643" s="136"/>
      <c r="R643" s="136"/>
      <c r="S643" s="136"/>
      <c r="T643" s="136"/>
      <c r="U643" s="136"/>
      <c r="V643" s="136"/>
      <c r="W643" s="136"/>
      <c r="X643" s="136"/>
      <c r="Y643" s="136"/>
      <c r="Z643" s="136"/>
    </row>
    <row r="644" spans="1:26" ht="14.25" customHeight="1">
      <c r="A644" s="136"/>
      <c r="B644" s="136"/>
      <c r="C644" s="136"/>
      <c r="D644" s="136"/>
      <c r="E644" s="136"/>
      <c r="F644" s="136"/>
      <c r="G644" s="136"/>
      <c r="H644" s="136"/>
      <c r="I644" s="140"/>
      <c r="J644" s="136"/>
      <c r="K644" s="136"/>
      <c r="L644" s="136"/>
      <c r="M644" s="136"/>
      <c r="N644" s="136"/>
      <c r="O644" s="136"/>
      <c r="P644" s="136"/>
      <c r="Q644" s="136"/>
      <c r="R644" s="136"/>
      <c r="S644" s="136"/>
      <c r="T644" s="136"/>
      <c r="U644" s="136"/>
      <c r="V644" s="136"/>
      <c r="W644" s="136"/>
      <c r="X644" s="136"/>
      <c r="Y644" s="136"/>
      <c r="Z644" s="136"/>
    </row>
    <row r="645" spans="1:26" ht="14.25" customHeight="1">
      <c r="A645" s="136"/>
      <c r="B645" s="136"/>
      <c r="C645" s="136"/>
      <c r="D645" s="136"/>
      <c r="E645" s="136"/>
      <c r="F645" s="136"/>
      <c r="G645" s="136"/>
      <c r="H645" s="136"/>
      <c r="I645" s="140"/>
      <c r="J645" s="136"/>
      <c r="K645" s="136"/>
      <c r="L645" s="136"/>
      <c r="M645" s="136"/>
      <c r="N645" s="136"/>
      <c r="O645" s="136"/>
      <c r="P645" s="136"/>
      <c r="Q645" s="136"/>
      <c r="R645" s="136"/>
      <c r="S645" s="136"/>
      <c r="T645" s="136"/>
      <c r="U645" s="136"/>
      <c r="V645" s="136"/>
      <c r="W645" s="136"/>
      <c r="X645" s="136"/>
      <c r="Y645" s="136"/>
      <c r="Z645" s="136"/>
    </row>
    <row r="646" spans="1:26" ht="14.25" customHeight="1">
      <c r="A646" s="136"/>
      <c r="B646" s="136"/>
      <c r="C646" s="136"/>
      <c r="D646" s="136"/>
      <c r="E646" s="136"/>
      <c r="F646" s="136"/>
      <c r="G646" s="136"/>
      <c r="H646" s="136"/>
      <c r="I646" s="140"/>
      <c r="J646" s="136"/>
      <c r="K646" s="136"/>
      <c r="L646" s="136"/>
      <c r="M646" s="136"/>
      <c r="N646" s="136"/>
      <c r="O646" s="136"/>
      <c r="P646" s="136"/>
      <c r="Q646" s="136"/>
      <c r="R646" s="136"/>
      <c r="S646" s="136"/>
      <c r="T646" s="136"/>
      <c r="U646" s="136"/>
      <c r="V646" s="136"/>
      <c r="W646" s="136"/>
      <c r="X646" s="136"/>
      <c r="Y646" s="136"/>
      <c r="Z646" s="136"/>
    </row>
    <row r="647" spans="1:26" ht="14.25" customHeight="1">
      <c r="A647" s="136"/>
      <c r="B647" s="136"/>
      <c r="C647" s="136"/>
      <c r="D647" s="136"/>
      <c r="E647" s="136"/>
      <c r="F647" s="136"/>
      <c r="G647" s="136"/>
      <c r="H647" s="136"/>
      <c r="I647" s="140"/>
      <c r="J647" s="136"/>
      <c r="K647" s="136"/>
      <c r="L647" s="136"/>
      <c r="M647" s="136"/>
      <c r="N647" s="136"/>
      <c r="O647" s="136"/>
      <c r="P647" s="136"/>
      <c r="Q647" s="136"/>
      <c r="R647" s="136"/>
      <c r="S647" s="136"/>
      <c r="T647" s="136"/>
      <c r="U647" s="136"/>
      <c r="V647" s="136"/>
      <c r="W647" s="136"/>
      <c r="X647" s="136"/>
      <c r="Y647" s="136"/>
      <c r="Z647" s="136"/>
    </row>
    <row r="648" spans="1:26" ht="14.25" customHeight="1">
      <c r="A648" s="136"/>
      <c r="B648" s="136"/>
      <c r="C648" s="136"/>
      <c r="D648" s="136"/>
      <c r="E648" s="136"/>
      <c r="F648" s="136"/>
      <c r="G648" s="136"/>
      <c r="H648" s="136"/>
      <c r="I648" s="140"/>
      <c r="J648" s="136"/>
      <c r="K648" s="136"/>
      <c r="L648" s="136"/>
      <c r="M648" s="136"/>
      <c r="N648" s="136"/>
      <c r="O648" s="136"/>
      <c r="P648" s="136"/>
      <c r="Q648" s="136"/>
      <c r="R648" s="136"/>
      <c r="S648" s="136"/>
      <c r="T648" s="136"/>
      <c r="U648" s="136"/>
      <c r="V648" s="136"/>
      <c r="W648" s="136"/>
      <c r="X648" s="136"/>
      <c r="Y648" s="136"/>
      <c r="Z648" s="136"/>
    </row>
    <row r="649" spans="1:26" ht="14.25" customHeight="1">
      <c r="A649" s="136"/>
      <c r="B649" s="136"/>
      <c r="C649" s="136"/>
      <c r="D649" s="136"/>
      <c r="E649" s="136"/>
      <c r="F649" s="136"/>
      <c r="G649" s="136"/>
      <c r="H649" s="136"/>
      <c r="I649" s="140"/>
      <c r="J649" s="136"/>
      <c r="K649" s="136"/>
      <c r="L649" s="136"/>
      <c r="M649" s="136"/>
      <c r="N649" s="136"/>
      <c r="O649" s="136"/>
      <c r="P649" s="136"/>
      <c r="Q649" s="136"/>
      <c r="R649" s="136"/>
      <c r="S649" s="136"/>
      <c r="T649" s="136"/>
      <c r="U649" s="136"/>
      <c r="V649" s="136"/>
      <c r="W649" s="136"/>
      <c r="X649" s="136"/>
      <c r="Y649" s="136"/>
      <c r="Z649" s="136"/>
    </row>
    <row r="650" spans="1:26" ht="14.25" customHeight="1">
      <c r="A650" s="136"/>
      <c r="B650" s="136"/>
      <c r="C650" s="136"/>
      <c r="D650" s="136"/>
      <c r="E650" s="136"/>
      <c r="F650" s="136"/>
      <c r="G650" s="136"/>
      <c r="H650" s="136"/>
      <c r="I650" s="140"/>
      <c r="J650" s="136"/>
      <c r="K650" s="136"/>
      <c r="L650" s="136"/>
      <c r="M650" s="136"/>
      <c r="N650" s="136"/>
      <c r="O650" s="136"/>
      <c r="P650" s="136"/>
      <c r="Q650" s="136"/>
      <c r="R650" s="136"/>
      <c r="S650" s="136"/>
      <c r="T650" s="136"/>
      <c r="U650" s="136"/>
      <c r="V650" s="136"/>
      <c r="W650" s="136"/>
      <c r="X650" s="136"/>
      <c r="Y650" s="136"/>
      <c r="Z650" s="136"/>
    </row>
    <row r="651" spans="1:26" ht="14.25" customHeight="1">
      <c r="A651" s="136"/>
      <c r="B651" s="136"/>
      <c r="C651" s="136"/>
      <c r="D651" s="136"/>
      <c r="E651" s="136"/>
      <c r="F651" s="136"/>
      <c r="G651" s="136"/>
      <c r="H651" s="136"/>
      <c r="I651" s="140"/>
      <c r="J651" s="136"/>
      <c r="K651" s="136"/>
      <c r="L651" s="136"/>
      <c r="M651" s="136"/>
      <c r="N651" s="136"/>
      <c r="O651" s="136"/>
      <c r="P651" s="136"/>
      <c r="Q651" s="136"/>
      <c r="R651" s="136"/>
      <c r="S651" s="136"/>
      <c r="T651" s="136"/>
      <c r="U651" s="136"/>
      <c r="V651" s="136"/>
      <c r="W651" s="136"/>
      <c r="X651" s="136"/>
      <c r="Y651" s="136"/>
      <c r="Z651" s="136"/>
    </row>
    <row r="652" spans="1:26" ht="14.25" customHeight="1">
      <c r="A652" s="136"/>
      <c r="B652" s="136"/>
      <c r="C652" s="136"/>
      <c r="D652" s="136"/>
      <c r="E652" s="136"/>
      <c r="F652" s="136"/>
      <c r="G652" s="136"/>
      <c r="H652" s="136"/>
      <c r="I652" s="140"/>
      <c r="J652" s="136"/>
      <c r="K652" s="136"/>
      <c r="L652" s="136"/>
      <c r="M652" s="136"/>
      <c r="N652" s="136"/>
      <c r="O652" s="136"/>
      <c r="P652" s="136"/>
      <c r="Q652" s="136"/>
      <c r="R652" s="136"/>
      <c r="S652" s="136"/>
      <c r="T652" s="136"/>
      <c r="U652" s="136"/>
      <c r="V652" s="136"/>
      <c r="W652" s="136"/>
      <c r="X652" s="136"/>
      <c r="Y652" s="136"/>
      <c r="Z652" s="136"/>
    </row>
    <row r="653" spans="1:26" ht="14.25" customHeight="1">
      <c r="A653" s="136"/>
      <c r="B653" s="136"/>
      <c r="C653" s="136"/>
      <c r="D653" s="136"/>
      <c r="E653" s="136"/>
      <c r="F653" s="136"/>
      <c r="G653" s="136"/>
      <c r="H653" s="136"/>
      <c r="I653" s="140"/>
      <c r="J653" s="136"/>
      <c r="K653" s="136"/>
      <c r="L653" s="136"/>
      <c r="M653" s="136"/>
      <c r="N653" s="136"/>
      <c r="O653" s="136"/>
      <c r="P653" s="136"/>
      <c r="Q653" s="136"/>
      <c r="R653" s="136"/>
      <c r="S653" s="136"/>
      <c r="T653" s="136"/>
      <c r="U653" s="136"/>
      <c r="V653" s="136"/>
      <c r="W653" s="136"/>
      <c r="X653" s="136"/>
      <c r="Y653" s="136"/>
      <c r="Z653" s="136"/>
    </row>
    <row r="654" spans="1:26" ht="14.25" customHeight="1">
      <c r="A654" s="136"/>
      <c r="B654" s="136"/>
      <c r="C654" s="136"/>
      <c r="D654" s="136"/>
      <c r="E654" s="136"/>
      <c r="F654" s="136"/>
      <c r="G654" s="136"/>
      <c r="H654" s="136"/>
      <c r="I654" s="140"/>
      <c r="J654" s="136"/>
      <c r="K654" s="136"/>
      <c r="L654" s="136"/>
      <c r="M654" s="136"/>
      <c r="N654" s="136"/>
      <c r="O654" s="136"/>
      <c r="P654" s="136"/>
      <c r="Q654" s="136"/>
      <c r="R654" s="136"/>
      <c r="S654" s="136"/>
      <c r="T654" s="136"/>
      <c r="U654" s="136"/>
      <c r="V654" s="136"/>
      <c r="W654" s="136"/>
      <c r="X654" s="136"/>
      <c r="Y654" s="136"/>
      <c r="Z654" s="136"/>
    </row>
    <row r="655" spans="1:26" ht="14.25" customHeight="1">
      <c r="A655" s="136"/>
      <c r="B655" s="136"/>
      <c r="C655" s="136"/>
      <c r="D655" s="136"/>
      <c r="E655" s="136"/>
      <c r="F655" s="136"/>
      <c r="G655" s="136"/>
      <c r="H655" s="136"/>
      <c r="I655" s="140"/>
      <c r="J655" s="136"/>
      <c r="K655" s="136"/>
      <c r="L655" s="136"/>
      <c r="M655" s="136"/>
      <c r="N655" s="136"/>
      <c r="O655" s="136"/>
      <c r="P655" s="136"/>
      <c r="Q655" s="136"/>
      <c r="R655" s="136"/>
      <c r="S655" s="136"/>
      <c r="T655" s="136"/>
      <c r="U655" s="136"/>
      <c r="V655" s="136"/>
      <c r="W655" s="136"/>
      <c r="X655" s="136"/>
      <c r="Y655" s="136"/>
      <c r="Z655" s="136"/>
    </row>
    <row r="656" spans="1:26" ht="14.25" customHeight="1">
      <c r="A656" s="136"/>
      <c r="B656" s="136"/>
      <c r="C656" s="136"/>
      <c r="D656" s="136"/>
      <c r="E656" s="136"/>
      <c r="F656" s="136"/>
      <c r="G656" s="136"/>
      <c r="H656" s="136"/>
      <c r="I656" s="140"/>
      <c r="J656" s="136"/>
      <c r="K656" s="136"/>
      <c r="L656" s="136"/>
      <c r="M656" s="136"/>
      <c r="N656" s="136"/>
      <c r="O656" s="136"/>
      <c r="P656" s="136"/>
      <c r="Q656" s="136"/>
      <c r="R656" s="136"/>
      <c r="S656" s="136"/>
      <c r="T656" s="136"/>
      <c r="U656" s="136"/>
      <c r="V656" s="136"/>
      <c r="W656" s="136"/>
      <c r="X656" s="136"/>
      <c r="Y656" s="136"/>
      <c r="Z656" s="136"/>
    </row>
    <row r="657" spans="1:26" ht="14.25" customHeight="1">
      <c r="A657" s="136"/>
      <c r="B657" s="136"/>
      <c r="C657" s="136"/>
      <c r="D657" s="136"/>
      <c r="E657" s="136"/>
      <c r="F657" s="136"/>
      <c r="G657" s="136"/>
      <c r="H657" s="136"/>
      <c r="I657" s="140"/>
      <c r="J657" s="136"/>
      <c r="K657" s="136"/>
      <c r="L657" s="136"/>
      <c r="M657" s="136"/>
      <c r="N657" s="136"/>
      <c r="O657" s="136"/>
      <c r="P657" s="136"/>
      <c r="Q657" s="136"/>
      <c r="R657" s="136"/>
      <c r="S657" s="136"/>
      <c r="T657" s="136"/>
      <c r="U657" s="136"/>
      <c r="V657" s="136"/>
      <c r="W657" s="136"/>
      <c r="X657" s="136"/>
      <c r="Y657" s="136"/>
      <c r="Z657" s="136"/>
    </row>
    <row r="658" spans="1:26" ht="14.25" customHeight="1">
      <c r="A658" s="136"/>
      <c r="B658" s="136"/>
      <c r="C658" s="136"/>
      <c r="D658" s="136"/>
      <c r="E658" s="136"/>
      <c r="F658" s="136"/>
      <c r="G658" s="136"/>
      <c r="H658" s="136"/>
      <c r="I658" s="140"/>
      <c r="J658" s="136"/>
      <c r="K658" s="136"/>
      <c r="L658" s="136"/>
      <c r="M658" s="136"/>
      <c r="N658" s="136"/>
      <c r="O658" s="136"/>
      <c r="P658" s="136"/>
      <c r="Q658" s="136"/>
      <c r="R658" s="136"/>
      <c r="S658" s="136"/>
      <c r="T658" s="136"/>
      <c r="U658" s="136"/>
      <c r="V658" s="136"/>
      <c r="W658" s="136"/>
      <c r="X658" s="136"/>
      <c r="Y658" s="136"/>
      <c r="Z658" s="136"/>
    </row>
    <row r="659" spans="1:26" ht="14.25" customHeight="1">
      <c r="A659" s="136"/>
      <c r="B659" s="136"/>
      <c r="C659" s="136"/>
      <c r="D659" s="136"/>
      <c r="E659" s="136"/>
      <c r="F659" s="136"/>
      <c r="G659" s="136"/>
      <c r="H659" s="136"/>
      <c r="I659" s="140"/>
      <c r="J659" s="136"/>
      <c r="K659" s="136"/>
      <c r="L659" s="136"/>
      <c r="M659" s="136"/>
      <c r="N659" s="136"/>
      <c r="O659" s="136"/>
      <c r="P659" s="136"/>
      <c r="Q659" s="136"/>
      <c r="R659" s="136"/>
      <c r="S659" s="136"/>
      <c r="T659" s="136"/>
      <c r="U659" s="136"/>
      <c r="V659" s="136"/>
      <c r="W659" s="136"/>
      <c r="X659" s="136"/>
      <c r="Y659" s="136"/>
      <c r="Z659" s="136"/>
    </row>
    <row r="660" spans="1:26" ht="14.25" customHeight="1">
      <c r="A660" s="136"/>
      <c r="B660" s="136"/>
      <c r="C660" s="136"/>
      <c r="D660" s="136"/>
      <c r="E660" s="136"/>
      <c r="F660" s="136"/>
      <c r="G660" s="136"/>
      <c r="H660" s="136"/>
      <c r="I660" s="140"/>
      <c r="J660" s="136"/>
      <c r="K660" s="136"/>
      <c r="L660" s="136"/>
      <c r="M660" s="136"/>
      <c r="N660" s="136"/>
      <c r="O660" s="136"/>
      <c r="P660" s="136"/>
      <c r="Q660" s="136"/>
      <c r="R660" s="136"/>
      <c r="S660" s="136"/>
      <c r="T660" s="136"/>
      <c r="U660" s="136"/>
      <c r="V660" s="136"/>
      <c r="W660" s="136"/>
      <c r="X660" s="136"/>
      <c r="Y660" s="136"/>
      <c r="Z660" s="136"/>
    </row>
    <row r="661" spans="1:26" ht="14.25" customHeight="1">
      <c r="A661" s="136"/>
      <c r="B661" s="136"/>
      <c r="C661" s="136"/>
      <c r="D661" s="136"/>
      <c r="E661" s="136"/>
      <c r="F661" s="136"/>
      <c r="G661" s="136"/>
      <c r="H661" s="136"/>
      <c r="I661" s="140"/>
      <c r="J661" s="136"/>
      <c r="K661" s="136"/>
      <c r="L661" s="136"/>
      <c r="M661" s="136"/>
      <c r="N661" s="136"/>
      <c r="O661" s="136"/>
      <c r="P661" s="136"/>
      <c r="Q661" s="136"/>
      <c r="R661" s="136"/>
      <c r="S661" s="136"/>
      <c r="T661" s="136"/>
      <c r="U661" s="136"/>
      <c r="V661" s="136"/>
      <c r="W661" s="136"/>
      <c r="X661" s="136"/>
      <c r="Y661" s="136"/>
      <c r="Z661" s="136"/>
    </row>
    <row r="662" spans="1:26" ht="14.25" customHeight="1">
      <c r="A662" s="136"/>
      <c r="B662" s="136"/>
      <c r="C662" s="136"/>
      <c r="D662" s="136"/>
      <c r="E662" s="136"/>
      <c r="F662" s="136"/>
      <c r="G662" s="136"/>
      <c r="H662" s="136"/>
      <c r="I662" s="140"/>
      <c r="J662" s="136"/>
      <c r="K662" s="136"/>
      <c r="L662" s="136"/>
      <c r="M662" s="136"/>
      <c r="N662" s="136"/>
      <c r="O662" s="136"/>
      <c r="P662" s="136"/>
      <c r="Q662" s="136"/>
      <c r="R662" s="136"/>
      <c r="S662" s="136"/>
      <c r="T662" s="136"/>
      <c r="U662" s="136"/>
      <c r="V662" s="136"/>
      <c r="W662" s="136"/>
      <c r="X662" s="136"/>
      <c r="Y662" s="136"/>
      <c r="Z662" s="136"/>
    </row>
    <row r="663" spans="1:26" ht="14.25" customHeight="1">
      <c r="A663" s="136"/>
      <c r="B663" s="136"/>
      <c r="C663" s="136"/>
      <c r="D663" s="136"/>
      <c r="E663" s="136"/>
      <c r="F663" s="136"/>
      <c r="G663" s="136"/>
      <c r="H663" s="136"/>
      <c r="I663" s="140"/>
      <c r="J663" s="136"/>
      <c r="K663" s="136"/>
      <c r="L663" s="136"/>
      <c r="M663" s="136"/>
      <c r="N663" s="136"/>
      <c r="O663" s="136"/>
      <c r="P663" s="136"/>
      <c r="Q663" s="136"/>
      <c r="R663" s="136"/>
      <c r="S663" s="136"/>
      <c r="T663" s="136"/>
      <c r="U663" s="136"/>
      <c r="V663" s="136"/>
      <c r="W663" s="136"/>
      <c r="X663" s="136"/>
      <c r="Y663" s="136"/>
      <c r="Z663" s="136"/>
    </row>
    <row r="664" spans="1:26" ht="14.25" customHeight="1">
      <c r="A664" s="136"/>
      <c r="B664" s="136"/>
      <c r="C664" s="136"/>
      <c r="D664" s="136"/>
      <c r="E664" s="136"/>
      <c r="F664" s="136"/>
      <c r="G664" s="136"/>
      <c r="H664" s="136"/>
      <c r="I664" s="140"/>
      <c r="J664" s="136"/>
      <c r="K664" s="136"/>
      <c r="L664" s="136"/>
      <c r="M664" s="136"/>
      <c r="N664" s="136"/>
      <c r="O664" s="136"/>
      <c r="P664" s="136"/>
      <c r="Q664" s="136"/>
      <c r="R664" s="136"/>
      <c r="S664" s="136"/>
      <c r="T664" s="136"/>
      <c r="U664" s="136"/>
      <c r="V664" s="136"/>
      <c r="W664" s="136"/>
      <c r="X664" s="136"/>
      <c r="Y664" s="136"/>
      <c r="Z664" s="136"/>
    </row>
    <row r="665" spans="1:26" ht="14.25" customHeight="1">
      <c r="A665" s="136"/>
      <c r="B665" s="136"/>
      <c r="C665" s="136"/>
      <c r="D665" s="136"/>
      <c r="E665" s="136"/>
      <c r="F665" s="136"/>
      <c r="G665" s="136"/>
      <c r="H665" s="136"/>
      <c r="I665" s="140"/>
      <c r="J665" s="136"/>
      <c r="K665" s="136"/>
      <c r="L665" s="136"/>
      <c r="M665" s="136"/>
      <c r="N665" s="136"/>
      <c r="O665" s="136"/>
      <c r="P665" s="136"/>
      <c r="Q665" s="136"/>
      <c r="R665" s="136"/>
      <c r="S665" s="136"/>
      <c r="T665" s="136"/>
      <c r="U665" s="136"/>
      <c r="V665" s="136"/>
      <c r="W665" s="136"/>
      <c r="X665" s="136"/>
      <c r="Y665" s="136"/>
      <c r="Z665" s="136"/>
    </row>
    <row r="666" spans="1:26" ht="14.25" customHeight="1">
      <c r="A666" s="136"/>
      <c r="B666" s="136"/>
      <c r="C666" s="136"/>
      <c r="D666" s="136"/>
      <c r="E666" s="136"/>
      <c r="F666" s="136"/>
      <c r="G666" s="136"/>
      <c r="H666" s="136"/>
      <c r="I666" s="140"/>
      <c r="J666" s="136"/>
      <c r="K666" s="136"/>
      <c r="L666" s="136"/>
      <c r="M666" s="136"/>
      <c r="N666" s="136"/>
      <c r="O666" s="136"/>
      <c r="P666" s="136"/>
      <c r="Q666" s="136"/>
      <c r="R666" s="136"/>
      <c r="S666" s="136"/>
      <c r="T666" s="136"/>
      <c r="U666" s="136"/>
      <c r="V666" s="136"/>
      <c r="W666" s="136"/>
      <c r="X666" s="136"/>
      <c r="Y666" s="136"/>
      <c r="Z666" s="136"/>
    </row>
    <row r="667" spans="1:26" ht="14.25" customHeight="1">
      <c r="A667" s="136"/>
      <c r="B667" s="136"/>
      <c r="C667" s="136"/>
      <c r="D667" s="136"/>
      <c r="E667" s="136"/>
      <c r="F667" s="136"/>
      <c r="G667" s="136"/>
      <c r="H667" s="136"/>
      <c r="I667" s="140"/>
      <c r="J667" s="136"/>
      <c r="K667" s="136"/>
      <c r="L667" s="136"/>
      <c r="M667" s="136"/>
      <c r="N667" s="136"/>
      <c r="O667" s="136"/>
      <c r="P667" s="136"/>
      <c r="Q667" s="136"/>
      <c r="R667" s="136"/>
      <c r="S667" s="136"/>
      <c r="T667" s="136"/>
      <c r="U667" s="136"/>
      <c r="V667" s="136"/>
      <c r="W667" s="136"/>
      <c r="X667" s="136"/>
      <c r="Y667" s="136"/>
      <c r="Z667" s="136"/>
    </row>
    <row r="668" spans="1:26" ht="14.25" customHeight="1">
      <c r="A668" s="136"/>
      <c r="B668" s="136"/>
      <c r="C668" s="136"/>
      <c r="D668" s="136"/>
      <c r="E668" s="136"/>
      <c r="F668" s="136"/>
      <c r="G668" s="136"/>
      <c r="H668" s="136"/>
      <c r="I668" s="140"/>
      <c r="J668" s="136"/>
      <c r="K668" s="136"/>
      <c r="L668" s="136"/>
      <c r="M668" s="136"/>
      <c r="N668" s="136"/>
      <c r="O668" s="136"/>
      <c r="P668" s="136"/>
      <c r="Q668" s="136"/>
      <c r="R668" s="136"/>
      <c r="S668" s="136"/>
      <c r="T668" s="136"/>
      <c r="U668" s="136"/>
      <c r="V668" s="136"/>
      <c r="W668" s="136"/>
      <c r="X668" s="136"/>
      <c r="Y668" s="136"/>
      <c r="Z668" s="136"/>
    </row>
    <row r="669" spans="1:26" ht="14.25" customHeight="1">
      <c r="A669" s="136"/>
      <c r="B669" s="136"/>
      <c r="C669" s="136"/>
      <c r="D669" s="136"/>
      <c r="E669" s="136"/>
      <c r="F669" s="136"/>
      <c r="G669" s="136"/>
      <c r="H669" s="136"/>
      <c r="I669" s="140"/>
      <c r="J669" s="136"/>
      <c r="K669" s="136"/>
      <c r="L669" s="136"/>
      <c r="M669" s="136"/>
      <c r="N669" s="136"/>
      <c r="O669" s="136"/>
      <c r="P669" s="136"/>
      <c r="Q669" s="136"/>
      <c r="R669" s="136"/>
      <c r="S669" s="136"/>
      <c r="T669" s="136"/>
      <c r="U669" s="136"/>
      <c r="V669" s="136"/>
      <c r="W669" s="136"/>
      <c r="X669" s="136"/>
      <c r="Y669" s="136"/>
      <c r="Z669" s="136"/>
    </row>
    <row r="670" spans="1:26" ht="14.25" customHeight="1">
      <c r="A670" s="136"/>
      <c r="B670" s="136"/>
      <c r="C670" s="136"/>
      <c r="D670" s="136"/>
      <c r="E670" s="136"/>
      <c r="F670" s="136"/>
      <c r="G670" s="136"/>
      <c r="H670" s="136"/>
      <c r="I670" s="140"/>
      <c r="J670" s="136"/>
      <c r="K670" s="136"/>
      <c r="L670" s="136"/>
      <c r="M670" s="136"/>
      <c r="N670" s="136"/>
      <c r="O670" s="136"/>
      <c r="P670" s="136"/>
      <c r="Q670" s="136"/>
      <c r="R670" s="136"/>
      <c r="S670" s="136"/>
      <c r="T670" s="136"/>
      <c r="U670" s="136"/>
      <c r="V670" s="136"/>
      <c r="W670" s="136"/>
      <c r="X670" s="136"/>
      <c r="Y670" s="136"/>
      <c r="Z670" s="136"/>
    </row>
    <row r="671" spans="1:26" ht="14.25" customHeight="1">
      <c r="A671" s="136"/>
      <c r="B671" s="136"/>
      <c r="C671" s="136"/>
      <c r="D671" s="136"/>
      <c r="E671" s="136"/>
      <c r="F671" s="136"/>
      <c r="G671" s="136"/>
      <c r="H671" s="136"/>
      <c r="I671" s="140"/>
      <c r="J671" s="136"/>
      <c r="K671" s="136"/>
      <c r="L671" s="136"/>
      <c r="M671" s="136"/>
      <c r="N671" s="136"/>
      <c r="O671" s="136"/>
      <c r="P671" s="136"/>
      <c r="Q671" s="136"/>
      <c r="R671" s="136"/>
      <c r="S671" s="136"/>
      <c r="T671" s="136"/>
      <c r="U671" s="136"/>
      <c r="V671" s="136"/>
      <c r="W671" s="136"/>
      <c r="X671" s="136"/>
      <c r="Y671" s="136"/>
      <c r="Z671" s="136"/>
    </row>
    <row r="672" spans="1:26" ht="14.25" customHeight="1">
      <c r="A672" s="136"/>
      <c r="B672" s="136"/>
      <c r="C672" s="136"/>
      <c r="D672" s="136"/>
      <c r="E672" s="136"/>
      <c r="F672" s="136"/>
      <c r="G672" s="136"/>
      <c r="H672" s="136"/>
      <c r="I672" s="140"/>
      <c r="J672" s="136"/>
      <c r="K672" s="136"/>
      <c r="L672" s="136"/>
      <c r="M672" s="136"/>
      <c r="N672" s="136"/>
      <c r="O672" s="136"/>
      <c r="P672" s="136"/>
      <c r="Q672" s="136"/>
      <c r="R672" s="136"/>
      <c r="S672" s="136"/>
      <c r="T672" s="136"/>
      <c r="U672" s="136"/>
      <c r="V672" s="136"/>
      <c r="W672" s="136"/>
      <c r="X672" s="136"/>
      <c r="Y672" s="136"/>
      <c r="Z672" s="136"/>
    </row>
    <row r="673" spans="1:26" ht="14.25" customHeight="1">
      <c r="A673" s="136"/>
      <c r="B673" s="136"/>
      <c r="C673" s="136"/>
      <c r="D673" s="136"/>
      <c r="E673" s="136"/>
      <c r="F673" s="136"/>
      <c r="G673" s="136"/>
      <c r="H673" s="136"/>
      <c r="I673" s="140"/>
      <c r="J673" s="136"/>
      <c r="K673" s="136"/>
      <c r="L673" s="136"/>
      <c r="M673" s="136"/>
      <c r="N673" s="136"/>
      <c r="O673" s="136"/>
      <c r="P673" s="136"/>
      <c r="Q673" s="136"/>
      <c r="R673" s="136"/>
      <c r="S673" s="136"/>
      <c r="T673" s="136"/>
      <c r="U673" s="136"/>
      <c r="V673" s="136"/>
      <c r="W673" s="136"/>
      <c r="X673" s="136"/>
      <c r="Y673" s="136"/>
      <c r="Z673" s="136"/>
    </row>
    <row r="674" spans="1:26" ht="14.25" customHeight="1">
      <c r="A674" s="136"/>
      <c r="B674" s="136"/>
      <c r="C674" s="136"/>
      <c r="D674" s="136"/>
      <c r="E674" s="136"/>
      <c r="F674" s="136"/>
      <c r="G674" s="136"/>
      <c r="H674" s="136"/>
      <c r="I674" s="140"/>
      <c r="J674" s="136"/>
      <c r="K674" s="136"/>
      <c r="L674" s="136"/>
      <c r="M674" s="136"/>
      <c r="N674" s="136"/>
      <c r="O674" s="136"/>
      <c r="P674" s="136"/>
      <c r="Q674" s="136"/>
      <c r="R674" s="136"/>
      <c r="S674" s="136"/>
      <c r="T674" s="136"/>
      <c r="U674" s="136"/>
      <c r="V674" s="136"/>
      <c r="W674" s="136"/>
      <c r="X674" s="136"/>
      <c r="Y674" s="136"/>
      <c r="Z674" s="136"/>
    </row>
    <row r="675" spans="1:26" ht="14.25" customHeight="1">
      <c r="A675" s="136"/>
      <c r="B675" s="136"/>
      <c r="C675" s="136"/>
      <c r="D675" s="136"/>
      <c r="E675" s="136"/>
      <c r="F675" s="136"/>
      <c r="G675" s="136"/>
      <c r="H675" s="136"/>
      <c r="I675" s="140"/>
      <c r="J675" s="136"/>
      <c r="K675" s="136"/>
      <c r="L675" s="136"/>
      <c r="M675" s="136"/>
      <c r="N675" s="136"/>
      <c r="O675" s="136"/>
      <c r="P675" s="136"/>
      <c r="Q675" s="136"/>
      <c r="R675" s="136"/>
      <c r="S675" s="136"/>
      <c r="T675" s="136"/>
      <c r="U675" s="136"/>
      <c r="V675" s="136"/>
      <c r="W675" s="136"/>
      <c r="X675" s="136"/>
      <c r="Y675" s="136"/>
      <c r="Z675" s="136"/>
    </row>
    <row r="676" spans="1:26" ht="14.25" customHeight="1">
      <c r="A676" s="136"/>
      <c r="B676" s="136"/>
      <c r="C676" s="136"/>
      <c r="D676" s="136"/>
      <c r="E676" s="136"/>
      <c r="F676" s="136"/>
      <c r="G676" s="136"/>
      <c r="H676" s="136"/>
      <c r="I676" s="140"/>
      <c r="J676" s="136"/>
      <c r="K676" s="136"/>
      <c r="L676" s="136"/>
      <c r="M676" s="136"/>
      <c r="N676" s="136"/>
      <c r="O676" s="136"/>
      <c r="P676" s="136"/>
      <c r="Q676" s="136"/>
      <c r="R676" s="136"/>
      <c r="S676" s="136"/>
      <c r="T676" s="136"/>
      <c r="U676" s="136"/>
      <c r="V676" s="136"/>
      <c r="W676" s="136"/>
      <c r="X676" s="136"/>
      <c r="Y676" s="136"/>
      <c r="Z676" s="136"/>
    </row>
    <row r="677" spans="1:26" ht="14.25" customHeight="1">
      <c r="A677" s="136"/>
      <c r="B677" s="136"/>
      <c r="C677" s="136"/>
      <c r="D677" s="136"/>
      <c r="E677" s="136"/>
      <c r="F677" s="136"/>
      <c r="G677" s="136"/>
      <c r="H677" s="136"/>
      <c r="I677" s="140"/>
      <c r="J677" s="136"/>
      <c r="K677" s="136"/>
      <c r="L677" s="136"/>
      <c r="M677" s="136"/>
      <c r="N677" s="136"/>
      <c r="O677" s="136"/>
      <c r="P677" s="136"/>
      <c r="Q677" s="136"/>
      <c r="R677" s="136"/>
      <c r="S677" s="136"/>
      <c r="T677" s="136"/>
      <c r="U677" s="136"/>
      <c r="V677" s="136"/>
      <c r="W677" s="136"/>
      <c r="X677" s="136"/>
      <c r="Y677" s="136"/>
      <c r="Z677" s="136"/>
    </row>
    <row r="678" spans="1:26" ht="14.25" customHeight="1">
      <c r="A678" s="136"/>
      <c r="B678" s="136"/>
      <c r="C678" s="136"/>
      <c r="D678" s="136"/>
      <c r="E678" s="136"/>
      <c r="F678" s="136"/>
      <c r="G678" s="136"/>
      <c r="H678" s="136"/>
      <c r="I678" s="140"/>
      <c r="J678" s="136"/>
      <c r="K678" s="136"/>
      <c r="L678" s="136"/>
      <c r="M678" s="136"/>
      <c r="N678" s="136"/>
      <c r="O678" s="136"/>
      <c r="P678" s="136"/>
      <c r="Q678" s="136"/>
      <c r="R678" s="136"/>
      <c r="S678" s="136"/>
      <c r="T678" s="136"/>
      <c r="U678" s="136"/>
      <c r="V678" s="136"/>
      <c r="W678" s="136"/>
      <c r="X678" s="136"/>
      <c r="Y678" s="136"/>
      <c r="Z678" s="136"/>
    </row>
    <row r="679" spans="1:26" ht="14.25" customHeight="1">
      <c r="A679" s="136"/>
      <c r="B679" s="136"/>
      <c r="C679" s="136"/>
      <c r="D679" s="136"/>
      <c r="E679" s="136"/>
      <c r="F679" s="136"/>
      <c r="G679" s="136"/>
      <c r="H679" s="136"/>
      <c r="I679" s="140"/>
      <c r="J679" s="136"/>
      <c r="K679" s="136"/>
      <c r="L679" s="136"/>
      <c r="M679" s="136"/>
      <c r="N679" s="136"/>
      <c r="O679" s="136"/>
      <c r="P679" s="136"/>
      <c r="Q679" s="136"/>
      <c r="R679" s="136"/>
      <c r="S679" s="136"/>
      <c r="T679" s="136"/>
      <c r="U679" s="136"/>
      <c r="V679" s="136"/>
      <c r="W679" s="136"/>
      <c r="X679" s="136"/>
      <c r="Y679" s="136"/>
      <c r="Z679" s="136"/>
    </row>
    <row r="680" spans="1:26" ht="14.25" customHeight="1">
      <c r="A680" s="136"/>
      <c r="B680" s="136"/>
      <c r="C680" s="136"/>
      <c r="D680" s="136"/>
      <c r="E680" s="136"/>
      <c r="F680" s="136"/>
      <c r="G680" s="136"/>
      <c r="H680" s="136"/>
      <c r="I680" s="140"/>
      <c r="J680" s="136"/>
      <c r="K680" s="136"/>
      <c r="L680" s="136"/>
      <c r="M680" s="136"/>
      <c r="N680" s="136"/>
      <c r="O680" s="136"/>
      <c r="P680" s="136"/>
      <c r="Q680" s="136"/>
      <c r="R680" s="136"/>
      <c r="S680" s="136"/>
      <c r="T680" s="136"/>
      <c r="U680" s="136"/>
      <c r="V680" s="136"/>
      <c r="W680" s="136"/>
      <c r="X680" s="136"/>
      <c r="Y680" s="136"/>
      <c r="Z680" s="136"/>
    </row>
    <row r="681" spans="1:26" ht="14.25" customHeight="1">
      <c r="A681" s="136"/>
      <c r="B681" s="136"/>
      <c r="C681" s="136"/>
      <c r="D681" s="136"/>
      <c r="E681" s="136"/>
      <c r="F681" s="136"/>
      <c r="G681" s="136"/>
      <c r="H681" s="136"/>
      <c r="I681" s="140"/>
      <c r="J681" s="136"/>
      <c r="K681" s="136"/>
      <c r="L681" s="136"/>
      <c r="M681" s="136"/>
      <c r="N681" s="136"/>
      <c r="O681" s="136"/>
      <c r="P681" s="136"/>
      <c r="Q681" s="136"/>
      <c r="R681" s="136"/>
      <c r="S681" s="136"/>
      <c r="T681" s="136"/>
      <c r="U681" s="136"/>
      <c r="V681" s="136"/>
      <c r="W681" s="136"/>
      <c r="X681" s="136"/>
      <c r="Y681" s="136"/>
      <c r="Z681" s="136"/>
    </row>
    <row r="682" spans="1:26" ht="14.25" customHeight="1">
      <c r="A682" s="136"/>
      <c r="B682" s="136"/>
      <c r="C682" s="136"/>
      <c r="D682" s="136"/>
      <c r="E682" s="136"/>
      <c r="F682" s="136"/>
      <c r="G682" s="136"/>
      <c r="H682" s="136"/>
      <c r="I682" s="140"/>
      <c r="J682" s="136"/>
      <c r="K682" s="136"/>
      <c r="L682" s="136"/>
      <c r="M682" s="136"/>
      <c r="N682" s="136"/>
      <c r="O682" s="136"/>
      <c r="P682" s="136"/>
      <c r="Q682" s="136"/>
      <c r="R682" s="136"/>
      <c r="S682" s="136"/>
      <c r="T682" s="136"/>
      <c r="U682" s="136"/>
      <c r="V682" s="136"/>
      <c r="W682" s="136"/>
      <c r="X682" s="136"/>
      <c r="Y682" s="136"/>
      <c r="Z682" s="136"/>
    </row>
    <row r="683" spans="1:26" ht="14.25" customHeight="1">
      <c r="A683" s="136"/>
      <c r="B683" s="136"/>
      <c r="C683" s="136"/>
      <c r="D683" s="136"/>
      <c r="E683" s="136"/>
      <c r="F683" s="136"/>
      <c r="G683" s="136"/>
      <c r="H683" s="136"/>
      <c r="I683" s="140"/>
      <c r="J683" s="136"/>
      <c r="K683" s="136"/>
      <c r="L683" s="136"/>
      <c r="M683" s="136"/>
      <c r="N683" s="136"/>
      <c r="O683" s="136"/>
      <c r="P683" s="136"/>
      <c r="Q683" s="136"/>
      <c r="R683" s="136"/>
      <c r="S683" s="136"/>
      <c r="T683" s="136"/>
      <c r="U683" s="136"/>
      <c r="V683" s="136"/>
      <c r="W683" s="136"/>
      <c r="X683" s="136"/>
      <c r="Y683" s="136"/>
      <c r="Z683" s="136"/>
    </row>
    <row r="684" spans="1:26" ht="14.25" customHeight="1">
      <c r="A684" s="136"/>
      <c r="B684" s="136"/>
      <c r="C684" s="136"/>
      <c r="D684" s="136"/>
      <c r="E684" s="136"/>
      <c r="F684" s="136"/>
      <c r="G684" s="136"/>
      <c r="H684" s="136"/>
      <c r="I684" s="140"/>
      <c r="J684" s="136"/>
      <c r="K684" s="136"/>
      <c r="L684" s="136"/>
      <c r="M684" s="136"/>
      <c r="N684" s="136"/>
      <c r="O684" s="136"/>
      <c r="P684" s="136"/>
      <c r="Q684" s="136"/>
      <c r="R684" s="136"/>
      <c r="S684" s="136"/>
      <c r="T684" s="136"/>
      <c r="U684" s="136"/>
      <c r="V684" s="136"/>
      <c r="W684" s="136"/>
      <c r="X684" s="136"/>
      <c r="Y684" s="136"/>
      <c r="Z684" s="136"/>
    </row>
    <row r="685" spans="1:26" ht="14.25" customHeight="1">
      <c r="A685" s="136"/>
      <c r="B685" s="136"/>
      <c r="C685" s="136"/>
      <c r="D685" s="136"/>
      <c r="E685" s="136"/>
      <c r="F685" s="136"/>
      <c r="G685" s="136"/>
      <c r="H685" s="136"/>
      <c r="I685" s="140"/>
      <c r="J685" s="136"/>
      <c r="K685" s="136"/>
      <c r="L685" s="136"/>
      <c r="M685" s="136"/>
      <c r="N685" s="136"/>
      <c r="O685" s="136"/>
      <c r="P685" s="136"/>
      <c r="Q685" s="136"/>
      <c r="R685" s="136"/>
      <c r="S685" s="136"/>
      <c r="T685" s="136"/>
      <c r="U685" s="136"/>
      <c r="V685" s="136"/>
      <c r="W685" s="136"/>
      <c r="X685" s="136"/>
      <c r="Y685" s="136"/>
      <c r="Z685" s="136"/>
    </row>
    <row r="686" spans="1:26" ht="14.25" customHeight="1">
      <c r="A686" s="136"/>
      <c r="B686" s="136"/>
      <c r="C686" s="136"/>
      <c r="D686" s="136"/>
      <c r="E686" s="136"/>
      <c r="F686" s="136"/>
      <c r="G686" s="136"/>
      <c r="H686" s="136"/>
      <c r="I686" s="140"/>
      <c r="J686" s="136"/>
      <c r="K686" s="136"/>
      <c r="L686" s="136"/>
      <c r="M686" s="136"/>
      <c r="N686" s="136"/>
      <c r="O686" s="136"/>
      <c r="P686" s="136"/>
      <c r="Q686" s="136"/>
      <c r="R686" s="136"/>
      <c r="S686" s="136"/>
      <c r="T686" s="136"/>
      <c r="U686" s="136"/>
      <c r="V686" s="136"/>
      <c r="W686" s="136"/>
      <c r="X686" s="136"/>
      <c r="Y686" s="136"/>
      <c r="Z686" s="136"/>
    </row>
    <row r="687" spans="1:26" ht="14.25" customHeight="1">
      <c r="A687" s="136"/>
      <c r="B687" s="136"/>
      <c r="C687" s="136"/>
      <c r="D687" s="136"/>
      <c r="E687" s="136"/>
      <c r="F687" s="136"/>
      <c r="G687" s="136"/>
      <c r="H687" s="136"/>
      <c r="I687" s="140"/>
      <c r="J687" s="136"/>
      <c r="K687" s="136"/>
      <c r="L687" s="136"/>
      <c r="M687" s="136"/>
      <c r="N687" s="136"/>
      <c r="O687" s="136"/>
      <c r="P687" s="136"/>
      <c r="Q687" s="136"/>
      <c r="R687" s="136"/>
      <c r="S687" s="136"/>
      <c r="T687" s="136"/>
      <c r="U687" s="136"/>
      <c r="V687" s="136"/>
      <c r="W687" s="136"/>
      <c r="X687" s="136"/>
      <c r="Y687" s="136"/>
      <c r="Z687" s="136"/>
    </row>
    <row r="688" spans="1:26" ht="14.25" customHeight="1">
      <c r="A688" s="136"/>
      <c r="B688" s="136"/>
      <c r="C688" s="136"/>
      <c r="D688" s="136"/>
      <c r="E688" s="136"/>
      <c r="F688" s="136"/>
      <c r="G688" s="136"/>
      <c r="H688" s="136"/>
      <c r="I688" s="140"/>
      <c r="J688" s="136"/>
      <c r="K688" s="136"/>
      <c r="L688" s="136"/>
      <c r="M688" s="136"/>
      <c r="N688" s="136"/>
      <c r="O688" s="136"/>
      <c r="P688" s="136"/>
      <c r="Q688" s="136"/>
      <c r="R688" s="136"/>
      <c r="S688" s="136"/>
      <c r="T688" s="136"/>
      <c r="U688" s="136"/>
      <c r="V688" s="136"/>
      <c r="W688" s="136"/>
      <c r="X688" s="136"/>
      <c r="Y688" s="136"/>
      <c r="Z688" s="136"/>
    </row>
    <row r="689" spans="1:26" ht="14.25" customHeight="1">
      <c r="A689" s="136"/>
      <c r="B689" s="136"/>
      <c r="C689" s="136"/>
      <c r="D689" s="136"/>
      <c r="E689" s="136"/>
      <c r="F689" s="136"/>
      <c r="G689" s="136"/>
      <c r="H689" s="136"/>
      <c r="I689" s="140"/>
      <c r="J689" s="136"/>
      <c r="K689" s="136"/>
      <c r="L689" s="136"/>
      <c r="M689" s="136"/>
      <c r="N689" s="136"/>
      <c r="O689" s="136"/>
      <c r="P689" s="136"/>
      <c r="Q689" s="136"/>
      <c r="R689" s="136"/>
      <c r="S689" s="136"/>
      <c r="T689" s="136"/>
      <c r="U689" s="136"/>
      <c r="V689" s="136"/>
      <c r="W689" s="136"/>
      <c r="X689" s="136"/>
      <c r="Y689" s="136"/>
      <c r="Z689" s="136"/>
    </row>
    <row r="690" spans="1:26" ht="14.25" customHeight="1">
      <c r="A690" s="136"/>
      <c r="B690" s="136"/>
      <c r="C690" s="136"/>
      <c r="D690" s="136"/>
      <c r="E690" s="136"/>
      <c r="F690" s="136"/>
      <c r="G690" s="136"/>
      <c r="H690" s="136"/>
      <c r="I690" s="140"/>
      <c r="J690" s="136"/>
      <c r="K690" s="136"/>
      <c r="L690" s="136"/>
      <c r="M690" s="136"/>
      <c r="N690" s="136"/>
      <c r="O690" s="136"/>
      <c r="P690" s="136"/>
      <c r="Q690" s="136"/>
      <c r="R690" s="136"/>
      <c r="S690" s="136"/>
      <c r="T690" s="136"/>
      <c r="U690" s="136"/>
      <c r="V690" s="136"/>
      <c r="W690" s="136"/>
      <c r="X690" s="136"/>
      <c r="Y690" s="136"/>
      <c r="Z690" s="136"/>
    </row>
    <row r="691" spans="1:26" ht="14.25" customHeight="1">
      <c r="A691" s="136"/>
      <c r="B691" s="136"/>
      <c r="C691" s="136"/>
      <c r="D691" s="136"/>
      <c r="E691" s="136"/>
      <c r="F691" s="136"/>
      <c r="G691" s="136"/>
      <c r="H691" s="136"/>
      <c r="I691" s="140"/>
      <c r="J691" s="136"/>
      <c r="K691" s="136"/>
      <c r="L691" s="136"/>
      <c r="M691" s="136"/>
      <c r="N691" s="136"/>
      <c r="O691" s="136"/>
      <c r="P691" s="136"/>
      <c r="Q691" s="136"/>
      <c r="R691" s="136"/>
      <c r="S691" s="136"/>
      <c r="T691" s="136"/>
      <c r="U691" s="136"/>
      <c r="V691" s="136"/>
      <c r="W691" s="136"/>
      <c r="X691" s="136"/>
      <c r="Y691" s="136"/>
      <c r="Z691" s="136"/>
    </row>
    <row r="692" spans="1:26" ht="14.25" customHeight="1">
      <c r="A692" s="136"/>
      <c r="B692" s="136"/>
      <c r="C692" s="136"/>
      <c r="D692" s="136"/>
      <c r="E692" s="136"/>
      <c r="F692" s="136"/>
      <c r="G692" s="136"/>
      <c r="H692" s="136"/>
      <c r="I692" s="140"/>
      <c r="J692" s="136"/>
      <c r="K692" s="136"/>
      <c r="L692" s="136"/>
      <c r="M692" s="136"/>
      <c r="N692" s="136"/>
      <c r="O692" s="136"/>
      <c r="P692" s="136"/>
      <c r="Q692" s="136"/>
      <c r="R692" s="136"/>
      <c r="S692" s="136"/>
      <c r="T692" s="136"/>
      <c r="U692" s="136"/>
      <c r="V692" s="136"/>
      <c r="W692" s="136"/>
      <c r="X692" s="136"/>
      <c r="Y692" s="136"/>
      <c r="Z692" s="136"/>
    </row>
    <row r="693" spans="1:26" ht="14.25" customHeight="1">
      <c r="A693" s="136"/>
      <c r="B693" s="136"/>
      <c r="C693" s="136"/>
      <c r="D693" s="136"/>
      <c r="E693" s="136"/>
      <c r="F693" s="136"/>
      <c r="G693" s="136"/>
      <c r="H693" s="136"/>
      <c r="I693" s="140"/>
      <c r="J693" s="136"/>
      <c r="K693" s="136"/>
      <c r="L693" s="136"/>
      <c r="M693" s="136"/>
      <c r="N693" s="136"/>
      <c r="O693" s="136"/>
      <c r="P693" s="136"/>
      <c r="Q693" s="136"/>
      <c r="R693" s="136"/>
      <c r="S693" s="136"/>
      <c r="T693" s="136"/>
      <c r="U693" s="136"/>
      <c r="V693" s="136"/>
      <c r="W693" s="136"/>
      <c r="X693" s="136"/>
      <c r="Y693" s="136"/>
      <c r="Z693" s="136"/>
    </row>
    <row r="694" spans="1:26" ht="14.25" customHeight="1">
      <c r="A694" s="136"/>
      <c r="B694" s="136"/>
      <c r="C694" s="136"/>
      <c r="D694" s="136"/>
      <c r="E694" s="136"/>
      <c r="F694" s="136"/>
      <c r="G694" s="136"/>
      <c r="H694" s="136"/>
      <c r="I694" s="140"/>
      <c r="J694" s="136"/>
      <c r="K694" s="136"/>
      <c r="L694" s="136"/>
      <c r="M694" s="136"/>
      <c r="N694" s="136"/>
      <c r="O694" s="136"/>
      <c r="P694" s="136"/>
      <c r="Q694" s="136"/>
      <c r="R694" s="136"/>
      <c r="S694" s="136"/>
      <c r="T694" s="136"/>
      <c r="U694" s="136"/>
      <c r="V694" s="136"/>
      <c r="W694" s="136"/>
      <c r="X694" s="136"/>
      <c r="Y694" s="136"/>
      <c r="Z694" s="136"/>
    </row>
    <row r="695" spans="1:26" ht="14.25" customHeight="1">
      <c r="A695" s="136"/>
      <c r="B695" s="136"/>
      <c r="C695" s="136"/>
      <c r="D695" s="136"/>
      <c r="E695" s="136"/>
      <c r="F695" s="136"/>
      <c r="G695" s="136"/>
      <c r="H695" s="136"/>
      <c r="I695" s="140"/>
      <c r="J695" s="136"/>
      <c r="K695" s="136"/>
      <c r="L695" s="136"/>
      <c r="M695" s="136"/>
      <c r="N695" s="136"/>
      <c r="O695" s="136"/>
      <c r="P695" s="136"/>
      <c r="Q695" s="136"/>
      <c r="R695" s="136"/>
      <c r="S695" s="136"/>
      <c r="T695" s="136"/>
      <c r="U695" s="136"/>
      <c r="V695" s="136"/>
      <c r="W695" s="136"/>
      <c r="X695" s="136"/>
      <c r="Y695" s="136"/>
      <c r="Z695" s="136"/>
    </row>
    <row r="696" spans="1:26" ht="14.25" customHeight="1">
      <c r="A696" s="136"/>
      <c r="B696" s="136"/>
      <c r="C696" s="136"/>
      <c r="D696" s="136"/>
      <c r="E696" s="136"/>
      <c r="F696" s="136"/>
      <c r="G696" s="136"/>
      <c r="H696" s="136"/>
      <c r="I696" s="140"/>
      <c r="J696" s="136"/>
      <c r="K696" s="136"/>
      <c r="L696" s="136"/>
      <c r="M696" s="136"/>
      <c r="N696" s="136"/>
      <c r="O696" s="136"/>
      <c r="P696" s="136"/>
      <c r="Q696" s="136"/>
      <c r="R696" s="136"/>
      <c r="S696" s="136"/>
      <c r="T696" s="136"/>
      <c r="U696" s="136"/>
      <c r="V696" s="136"/>
      <c r="W696" s="136"/>
      <c r="X696" s="136"/>
      <c r="Y696" s="136"/>
      <c r="Z696" s="136"/>
    </row>
    <row r="697" spans="1:26" ht="14.25" customHeight="1">
      <c r="A697" s="136"/>
      <c r="B697" s="136"/>
      <c r="C697" s="136"/>
      <c r="D697" s="136"/>
      <c r="E697" s="136"/>
      <c r="F697" s="136"/>
      <c r="G697" s="136"/>
      <c r="H697" s="136"/>
      <c r="I697" s="140"/>
      <c r="J697" s="136"/>
      <c r="K697" s="136"/>
      <c r="L697" s="136"/>
      <c r="M697" s="136"/>
      <c r="N697" s="136"/>
      <c r="O697" s="136"/>
      <c r="P697" s="136"/>
      <c r="Q697" s="136"/>
      <c r="R697" s="136"/>
      <c r="S697" s="136"/>
      <c r="T697" s="136"/>
      <c r="U697" s="136"/>
      <c r="V697" s="136"/>
      <c r="W697" s="136"/>
      <c r="X697" s="136"/>
      <c r="Y697" s="136"/>
      <c r="Z697" s="136"/>
    </row>
    <row r="698" spans="1:26" ht="14.25" customHeight="1">
      <c r="A698" s="136"/>
      <c r="B698" s="136"/>
      <c r="C698" s="136"/>
      <c r="D698" s="136"/>
      <c r="E698" s="136"/>
      <c r="F698" s="136"/>
      <c r="G698" s="136"/>
      <c r="H698" s="136"/>
      <c r="I698" s="140"/>
      <c r="J698" s="136"/>
      <c r="K698" s="136"/>
      <c r="L698" s="136"/>
      <c r="M698" s="136"/>
      <c r="N698" s="136"/>
      <c r="O698" s="136"/>
      <c r="P698" s="136"/>
      <c r="Q698" s="136"/>
      <c r="R698" s="136"/>
      <c r="S698" s="136"/>
      <c r="T698" s="136"/>
      <c r="U698" s="136"/>
      <c r="V698" s="136"/>
      <c r="W698" s="136"/>
      <c r="X698" s="136"/>
      <c r="Y698" s="136"/>
      <c r="Z698" s="136"/>
    </row>
    <row r="699" spans="1:26" ht="14.25" customHeight="1">
      <c r="A699" s="136"/>
      <c r="B699" s="136"/>
      <c r="C699" s="136"/>
      <c r="D699" s="136"/>
      <c r="E699" s="136"/>
      <c r="F699" s="136"/>
      <c r="G699" s="136"/>
      <c r="H699" s="136"/>
      <c r="I699" s="140"/>
      <c r="J699" s="136"/>
      <c r="K699" s="136"/>
      <c r="L699" s="136"/>
      <c r="M699" s="136"/>
      <c r="N699" s="136"/>
      <c r="O699" s="136"/>
      <c r="P699" s="136"/>
      <c r="Q699" s="136"/>
      <c r="R699" s="136"/>
      <c r="S699" s="136"/>
      <c r="T699" s="136"/>
      <c r="U699" s="136"/>
      <c r="V699" s="136"/>
      <c r="W699" s="136"/>
      <c r="X699" s="136"/>
      <c r="Y699" s="136"/>
      <c r="Z699" s="136"/>
    </row>
    <row r="700" spans="1:26" ht="14.25" customHeight="1">
      <c r="A700" s="136"/>
      <c r="B700" s="136"/>
      <c r="C700" s="136"/>
      <c r="D700" s="136"/>
      <c r="E700" s="136"/>
      <c r="F700" s="136"/>
      <c r="G700" s="136"/>
      <c r="H700" s="136"/>
      <c r="I700" s="140"/>
      <c r="J700" s="136"/>
      <c r="K700" s="136"/>
      <c r="L700" s="136"/>
      <c r="M700" s="136"/>
      <c r="N700" s="136"/>
      <c r="O700" s="136"/>
      <c r="P700" s="136"/>
      <c r="Q700" s="136"/>
      <c r="R700" s="136"/>
      <c r="S700" s="136"/>
      <c r="T700" s="136"/>
      <c r="U700" s="136"/>
      <c r="V700" s="136"/>
      <c r="W700" s="136"/>
      <c r="X700" s="136"/>
      <c r="Y700" s="136"/>
      <c r="Z700" s="136"/>
    </row>
    <row r="701" spans="1:26" ht="14.25" customHeight="1">
      <c r="A701" s="136"/>
      <c r="B701" s="136"/>
      <c r="C701" s="136"/>
      <c r="D701" s="136"/>
      <c r="E701" s="136"/>
      <c r="F701" s="136"/>
      <c r="G701" s="136"/>
      <c r="H701" s="136"/>
      <c r="I701" s="140"/>
      <c r="J701" s="136"/>
      <c r="K701" s="136"/>
      <c r="L701" s="136"/>
      <c r="M701" s="136"/>
      <c r="N701" s="136"/>
      <c r="O701" s="136"/>
      <c r="P701" s="136"/>
      <c r="Q701" s="136"/>
      <c r="R701" s="136"/>
      <c r="S701" s="136"/>
      <c r="T701" s="136"/>
      <c r="U701" s="136"/>
      <c r="V701" s="136"/>
      <c r="W701" s="136"/>
      <c r="X701" s="136"/>
      <c r="Y701" s="136"/>
      <c r="Z701" s="136"/>
    </row>
    <row r="702" spans="1:26" ht="14.25" customHeight="1">
      <c r="A702" s="136"/>
      <c r="B702" s="136"/>
      <c r="C702" s="136"/>
      <c r="D702" s="136"/>
      <c r="E702" s="136"/>
      <c r="F702" s="136"/>
      <c r="G702" s="136"/>
      <c r="H702" s="136"/>
      <c r="I702" s="140"/>
      <c r="J702" s="136"/>
      <c r="K702" s="136"/>
      <c r="L702" s="136"/>
      <c r="M702" s="136"/>
      <c r="N702" s="136"/>
      <c r="O702" s="136"/>
      <c r="P702" s="136"/>
      <c r="Q702" s="136"/>
      <c r="R702" s="136"/>
      <c r="S702" s="136"/>
      <c r="T702" s="136"/>
      <c r="U702" s="136"/>
      <c r="V702" s="136"/>
      <c r="W702" s="136"/>
      <c r="X702" s="136"/>
      <c r="Y702" s="136"/>
      <c r="Z702" s="136"/>
    </row>
    <row r="703" spans="1:26" ht="14.25" customHeight="1">
      <c r="A703" s="136"/>
      <c r="B703" s="136"/>
      <c r="C703" s="136"/>
      <c r="D703" s="136"/>
      <c r="E703" s="136"/>
      <c r="F703" s="136"/>
      <c r="G703" s="136"/>
      <c r="H703" s="136"/>
      <c r="I703" s="140"/>
      <c r="J703" s="136"/>
      <c r="K703" s="136"/>
      <c r="L703" s="136"/>
      <c r="M703" s="136"/>
      <c r="N703" s="136"/>
      <c r="O703" s="136"/>
      <c r="P703" s="136"/>
      <c r="Q703" s="136"/>
      <c r="R703" s="136"/>
      <c r="S703" s="136"/>
      <c r="T703" s="136"/>
      <c r="U703" s="136"/>
      <c r="V703" s="136"/>
      <c r="W703" s="136"/>
      <c r="X703" s="136"/>
      <c r="Y703" s="136"/>
      <c r="Z703" s="136"/>
    </row>
    <row r="704" spans="1:26" ht="14.25" customHeight="1">
      <c r="A704" s="136"/>
      <c r="B704" s="136"/>
      <c r="C704" s="136"/>
      <c r="D704" s="136"/>
      <c r="E704" s="136"/>
      <c r="F704" s="136"/>
      <c r="G704" s="136"/>
      <c r="H704" s="136"/>
      <c r="I704" s="140"/>
      <c r="J704" s="136"/>
      <c r="K704" s="136"/>
      <c r="L704" s="136"/>
      <c r="M704" s="136"/>
      <c r="N704" s="136"/>
      <c r="O704" s="136"/>
      <c r="P704" s="136"/>
      <c r="Q704" s="136"/>
      <c r="R704" s="136"/>
      <c r="S704" s="136"/>
      <c r="T704" s="136"/>
      <c r="U704" s="136"/>
      <c r="V704" s="136"/>
      <c r="W704" s="136"/>
      <c r="X704" s="136"/>
      <c r="Y704" s="136"/>
      <c r="Z704" s="136"/>
    </row>
    <row r="705" spans="1:26" ht="14.25" customHeight="1">
      <c r="A705" s="136"/>
      <c r="B705" s="136"/>
      <c r="C705" s="136"/>
      <c r="D705" s="136"/>
      <c r="E705" s="136"/>
      <c r="F705" s="136"/>
      <c r="G705" s="136"/>
      <c r="H705" s="136"/>
      <c r="I705" s="140"/>
      <c r="J705" s="136"/>
      <c r="K705" s="136"/>
      <c r="L705" s="136"/>
      <c r="M705" s="136"/>
      <c r="N705" s="136"/>
      <c r="O705" s="136"/>
      <c r="P705" s="136"/>
      <c r="Q705" s="136"/>
      <c r="R705" s="136"/>
      <c r="S705" s="136"/>
      <c r="T705" s="136"/>
      <c r="U705" s="136"/>
      <c r="V705" s="136"/>
      <c r="W705" s="136"/>
      <c r="X705" s="136"/>
      <c r="Y705" s="136"/>
      <c r="Z705" s="136"/>
    </row>
    <row r="706" spans="1:26" ht="14.25" customHeight="1">
      <c r="A706" s="136"/>
      <c r="B706" s="136"/>
      <c r="C706" s="136"/>
      <c r="D706" s="136"/>
      <c r="E706" s="136"/>
      <c r="F706" s="136"/>
      <c r="G706" s="136"/>
      <c r="H706" s="136"/>
      <c r="I706" s="140"/>
      <c r="J706" s="136"/>
      <c r="K706" s="136"/>
      <c r="L706" s="136"/>
      <c r="M706" s="136"/>
      <c r="N706" s="136"/>
      <c r="O706" s="136"/>
      <c r="P706" s="136"/>
      <c r="Q706" s="136"/>
      <c r="R706" s="136"/>
      <c r="S706" s="136"/>
      <c r="T706" s="136"/>
      <c r="U706" s="136"/>
      <c r="V706" s="136"/>
      <c r="W706" s="136"/>
      <c r="X706" s="136"/>
      <c r="Y706" s="136"/>
      <c r="Z706" s="136"/>
    </row>
    <row r="707" spans="1:26" ht="14.25" customHeight="1">
      <c r="A707" s="136"/>
      <c r="B707" s="136"/>
      <c r="C707" s="136"/>
      <c r="D707" s="136"/>
      <c r="E707" s="136"/>
      <c r="F707" s="136"/>
      <c r="G707" s="136"/>
      <c r="H707" s="136"/>
      <c r="I707" s="140"/>
      <c r="J707" s="136"/>
      <c r="K707" s="136"/>
      <c r="L707" s="136"/>
      <c r="M707" s="136"/>
      <c r="N707" s="136"/>
      <c r="O707" s="136"/>
      <c r="P707" s="136"/>
      <c r="Q707" s="136"/>
      <c r="R707" s="136"/>
      <c r="S707" s="136"/>
      <c r="T707" s="136"/>
      <c r="U707" s="136"/>
      <c r="V707" s="136"/>
      <c r="W707" s="136"/>
      <c r="X707" s="136"/>
      <c r="Y707" s="136"/>
      <c r="Z707" s="136"/>
    </row>
    <row r="708" spans="1:26" ht="14.25" customHeight="1">
      <c r="A708" s="136"/>
      <c r="B708" s="136"/>
      <c r="C708" s="136"/>
      <c r="D708" s="136"/>
      <c r="E708" s="136"/>
      <c r="F708" s="136"/>
      <c r="G708" s="136"/>
      <c r="H708" s="136"/>
      <c r="I708" s="140"/>
      <c r="J708" s="136"/>
      <c r="K708" s="136"/>
      <c r="L708" s="136"/>
      <c r="M708" s="136"/>
      <c r="N708" s="136"/>
      <c r="O708" s="136"/>
      <c r="P708" s="136"/>
      <c r="Q708" s="136"/>
      <c r="R708" s="136"/>
      <c r="S708" s="136"/>
      <c r="T708" s="136"/>
      <c r="U708" s="136"/>
      <c r="V708" s="136"/>
      <c r="W708" s="136"/>
      <c r="X708" s="136"/>
      <c r="Y708" s="136"/>
      <c r="Z708" s="136"/>
    </row>
    <row r="709" spans="1:26" ht="14.25" customHeight="1">
      <c r="A709" s="136"/>
      <c r="B709" s="136"/>
      <c r="C709" s="136"/>
      <c r="D709" s="136"/>
      <c r="E709" s="136"/>
      <c r="F709" s="136"/>
      <c r="G709" s="136"/>
      <c r="H709" s="136"/>
      <c r="I709" s="140"/>
      <c r="J709" s="136"/>
      <c r="K709" s="136"/>
      <c r="L709" s="136"/>
      <c r="M709" s="136"/>
      <c r="N709" s="136"/>
      <c r="O709" s="136"/>
      <c r="P709" s="136"/>
      <c r="Q709" s="136"/>
      <c r="R709" s="136"/>
      <c r="S709" s="136"/>
      <c r="T709" s="136"/>
      <c r="U709" s="136"/>
      <c r="V709" s="136"/>
      <c r="W709" s="136"/>
      <c r="X709" s="136"/>
      <c r="Y709" s="136"/>
      <c r="Z709" s="136"/>
    </row>
    <row r="710" spans="1:26" ht="14.25" customHeight="1">
      <c r="A710" s="136"/>
      <c r="B710" s="136"/>
      <c r="C710" s="136"/>
      <c r="D710" s="136"/>
      <c r="E710" s="136"/>
      <c r="F710" s="136"/>
      <c r="G710" s="136"/>
      <c r="H710" s="136"/>
      <c r="I710" s="140"/>
      <c r="J710" s="136"/>
      <c r="K710" s="136"/>
      <c r="L710" s="136"/>
      <c r="M710" s="136"/>
      <c r="N710" s="136"/>
      <c r="O710" s="136"/>
      <c r="P710" s="136"/>
      <c r="Q710" s="136"/>
      <c r="R710" s="136"/>
      <c r="S710" s="136"/>
      <c r="T710" s="136"/>
      <c r="U710" s="136"/>
      <c r="V710" s="136"/>
      <c r="W710" s="136"/>
      <c r="X710" s="136"/>
      <c r="Y710" s="136"/>
      <c r="Z710" s="136"/>
    </row>
    <row r="711" spans="1:26" ht="14.25" customHeight="1">
      <c r="A711" s="136"/>
      <c r="B711" s="136"/>
      <c r="C711" s="136"/>
      <c r="D711" s="136"/>
      <c r="E711" s="136"/>
      <c r="F711" s="136"/>
      <c r="G711" s="136"/>
      <c r="H711" s="136"/>
      <c r="I711" s="140"/>
      <c r="J711" s="136"/>
      <c r="K711" s="136"/>
      <c r="L711" s="136"/>
      <c r="M711" s="136"/>
      <c r="N711" s="136"/>
      <c r="O711" s="136"/>
      <c r="P711" s="136"/>
      <c r="Q711" s="136"/>
      <c r="R711" s="136"/>
      <c r="S711" s="136"/>
      <c r="T711" s="136"/>
      <c r="U711" s="136"/>
      <c r="V711" s="136"/>
      <c r="W711" s="136"/>
      <c r="X711" s="136"/>
      <c r="Y711" s="136"/>
      <c r="Z711" s="136"/>
    </row>
    <row r="712" spans="1:26" ht="14.25" customHeight="1">
      <c r="A712" s="136"/>
      <c r="B712" s="136"/>
      <c r="C712" s="136"/>
      <c r="D712" s="136"/>
      <c r="E712" s="136"/>
      <c r="F712" s="136"/>
      <c r="G712" s="136"/>
      <c r="H712" s="136"/>
      <c r="I712" s="140"/>
      <c r="J712" s="136"/>
      <c r="K712" s="136"/>
      <c r="L712" s="136"/>
      <c r="M712" s="136"/>
      <c r="N712" s="136"/>
      <c r="O712" s="136"/>
      <c r="P712" s="136"/>
      <c r="Q712" s="136"/>
      <c r="R712" s="136"/>
      <c r="S712" s="136"/>
      <c r="T712" s="136"/>
      <c r="U712" s="136"/>
      <c r="V712" s="136"/>
      <c r="W712" s="136"/>
      <c r="X712" s="136"/>
      <c r="Y712" s="136"/>
      <c r="Z712" s="136"/>
    </row>
    <row r="713" spans="1:26" ht="14.25" customHeight="1">
      <c r="A713" s="136"/>
      <c r="B713" s="136"/>
      <c r="C713" s="136"/>
      <c r="D713" s="136"/>
      <c r="E713" s="136"/>
      <c r="F713" s="136"/>
      <c r="G713" s="136"/>
      <c r="H713" s="136"/>
      <c r="I713" s="140"/>
      <c r="J713" s="136"/>
      <c r="K713" s="136"/>
      <c r="L713" s="136"/>
      <c r="M713" s="136"/>
      <c r="N713" s="136"/>
      <c r="O713" s="136"/>
      <c r="P713" s="136"/>
      <c r="Q713" s="136"/>
      <c r="R713" s="136"/>
      <c r="S713" s="136"/>
      <c r="T713" s="136"/>
      <c r="U713" s="136"/>
      <c r="V713" s="136"/>
      <c r="W713" s="136"/>
      <c r="X713" s="136"/>
      <c r="Y713" s="136"/>
      <c r="Z713" s="136"/>
    </row>
    <row r="714" spans="1:26" ht="14.25" customHeight="1">
      <c r="A714" s="136"/>
      <c r="B714" s="136"/>
      <c r="C714" s="136"/>
      <c r="D714" s="136"/>
      <c r="E714" s="136"/>
      <c r="F714" s="136"/>
      <c r="G714" s="136"/>
      <c r="H714" s="136"/>
      <c r="I714" s="140"/>
      <c r="J714" s="136"/>
      <c r="K714" s="136"/>
      <c r="L714" s="136"/>
      <c r="M714" s="136"/>
      <c r="N714" s="136"/>
      <c r="O714" s="136"/>
      <c r="P714" s="136"/>
      <c r="Q714" s="136"/>
      <c r="R714" s="136"/>
      <c r="S714" s="136"/>
      <c r="T714" s="136"/>
      <c r="U714" s="136"/>
      <c r="V714" s="136"/>
      <c r="W714" s="136"/>
      <c r="X714" s="136"/>
      <c r="Y714" s="136"/>
      <c r="Z714" s="136"/>
    </row>
    <row r="715" spans="1:26" ht="14.25" customHeight="1">
      <c r="A715" s="136"/>
      <c r="B715" s="136"/>
      <c r="C715" s="136"/>
      <c r="D715" s="136"/>
      <c r="E715" s="136"/>
      <c r="F715" s="136"/>
      <c r="G715" s="136"/>
      <c r="H715" s="136"/>
      <c r="I715" s="140"/>
      <c r="J715" s="136"/>
      <c r="K715" s="136"/>
      <c r="L715" s="136"/>
      <c r="M715" s="136"/>
      <c r="N715" s="136"/>
      <c r="O715" s="136"/>
      <c r="P715" s="136"/>
      <c r="Q715" s="136"/>
      <c r="R715" s="136"/>
      <c r="S715" s="136"/>
      <c r="T715" s="136"/>
      <c r="U715" s="136"/>
      <c r="V715" s="136"/>
      <c r="W715" s="136"/>
      <c r="X715" s="136"/>
      <c r="Y715" s="136"/>
      <c r="Z715" s="136"/>
    </row>
    <row r="716" spans="1:26" ht="14.25" customHeight="1">
      <c r="A716" s="136"/>
      <c r="B716" s="136"/>
      <c r="C716" s="136"/>
      <c r="D716" s="136"/>
      <c r="E716" s="136"/>
      <c r="F716" s="136"/>
      <c r="G716" s="136"/>
      <c r="H716" s="136"/>
      <c r="I716" s="140"/>
      <c r="J716" s="136"/>
      <c r="K716" s="136"/>
      <c r="L716" s="136"/>
      <c r="M716" s="136"/>
      <c r="N716" s="136"/>
      <c r="O716" s="136"/>
      <c r="P716" s="136"/>
      <c r="Q716" s="136"/>
      <c r="R716" s="136"/>
      <c r="S716" s="136"/>
      <c r="T716" s="136"/>
      <c r="U716" s="136"/>
      <c r="V716" s="136"/>
      <c r="W716" s="136"/>
      <c r="X716" s="136"/>
      <c r="Y716" s="136"/>
      <c r="Z716" s="136"/>
    </row>
    <row r="717" spans="1:26" ht="14.25" customHeight="1">
      <c r="A717" s="136"/>
      <c r="B717" s="136"/>
      <c r="C717" s="136"/>
      <c r="D717" s="136"/>
      <c r="E717" s="136"/>
      <c r="F717" s="136"/>
      <c r="G717" s="136"/>
      <c r="H717" s="136"/>
      <c r="I717" s="140"/>
      <c r="J717" s="136"/>
      <c r="K717" s="136"/>
      <c r="L717" s="136"/>
      <c r="M717" s="136"/>
      <c r="N717" s="136"/>
      <c r="O717" s="136"/>
      <c r="P717" s="136"/>
      <c r="Q717" s="136"/>
      <c r="R717" s="136"/>
      <c r="S717" s="136"/>
      <c r="T717" s="136"/>
      <c r="U717" s="136"/>
      <c r="V717" s="136"/>
      <c r="W717" s="136"/>
      <c r="X717" s="136"/>
      <c r="Y717" s="136"/>
      <c r="Z717" s="136"/>
    </row>
    <row r="718" spans="1:26" ht="14.25" customHeight="1">
      <c r="A718" s="136"/>
      <c r="B718" s="136"/>
      <c r="C718" s="136"/>
      <c r="D718" s="136"/>
      <c r="E718" s="136"/>
      <c r="F718" s="136"/>
      <c r="G718" s="136"/>
      <c r="H718" s="136"/>
      <c r="I718" s="140"/>
      <c r="J718" s="136"/>
      <c r="K718" s="136"/>
      <c r="L718" s="136"/>
      <c r="M718" s="136"/>
      <c r="N718" s="136"/>
      <c r="O718" s="136"/>
      <c r="P718" s="136"/>
      <c r="Q718" s="136"/>
      <c r="R718" s="136"/>
      <c r="S718" s="136"/>
      <c r="T718" s="136"/>
      <c r="U718" s="136"/>
      <c r="V718" s="136"/>
      <c r="W718" s="136"/>
      <c r="X718" s="136"/>
      <c r="Y718" s="136"/>
      <c r="Z718" s="136"/>
    </row>
    <row r="719" spans="1:26" ht="14.25" customHeight="1">
      <c r="A719" s="136"/>
      <c r="B719" s="136"/>
      <c r="C719" s="136"/>
      <c r="D719" s="136"/>
      <c r="E719" s="136"/>
      <c r="F719" s="136"/>
      <c r="G719" s="136"/>
      <c r="H719" s="136"/>
      <c r="I719" s="140"/>
      <c r="J719" s="136"/>
      <c r="K719" s="136"/>
      <c r="L719" s="136"/>
      <c r="M719" s="136"/>
      <c r="N719" s="136"/>
      <c r="O719" s="136"/>
      <c r="P719" s="136"/>
      <c r="Q719" s="136"/>
      <c r="R719" s="136"/>
      <c r="S719" s="136"/>
      <c r="T719" s="136"/>
      <c r="U719" s="136"/>
      <c r="V719" s="136"/>
      <c r="W719" s="136"/>
      <c r="X719" s="136"/>
      <c r="Y719" s="136"/>
      <c r="Z719" s="136"/>
    </row>
    <row r="720" spans="1:26" ht="14.25" customHeight="1">
      <c r="A720" s="136"/>
      <c r="B720" s="136"/>
      <c r="C720" s="136"/>
      <c r="D720" s="136"/>
      <c r="E720" s="136"/>
      <c r="F720" s="136"/>
      <c r="G720" s="136"/>
      <c r="H720" s="136"/>
      <c r="I720" s="140"/>
      <c r="J720" s="136"/>
      <c r="K720" s="136"/>
      <c r="L720" s="136"/>
      <c r="M720" s="136"/>
      <c r="N720" s="136"/>
      <c r="O720" s="136"/>
      <c r="P720" s="136"/>
      <c r="Q720" s="136"/>
      <c r="R720" s="136"/>
      <c r="S720" s="136"/>
      <c r="T720" s="136"/>
      <c r="U720" s="136"/>
      <c r="V720" s="136"/>
      <c r="W720" s="136"/>
      <c r="X720" s="136"/>
      <c r="Y720" s="136"/>
      <c r="Z720" s="136"/>
    </row>
    <row r="721" spans="1:26" ht="14.25" customHeight="1">
      <c r="A721" s="136"/>
      <c r="B721" s="136"/>
      <c r="C721" s="136"/>
      <c r="D721" s="136"/>
      <c r="E721" s="136"/>
      <c r="F721" s="136"/>
      <c r="G721" s="136"/>
      <c r="H721" s="136"/>
      <c r="I721" s="140"/>
      <c r="J721" s="136"/>
      <c r="K721" s="136"/>
      <c r="L721" s="136"/>
      <c r="M721" s="136"/>
      <c r="N721" s="136"/>
      <c r="O721" s="136"/>
      <c r="P721" s="136"/>
      <c r="Q721" s="136"/>
      <c r="R721" s="136"/>
      <c r="S721" s="136"/>
      <c r="T721" s="136"/>
      <c r="U721" s="136"/>
      <c r="V721" s="136"/>
      <c r="W721" s="136"/>
      <c r="X721" s="136"/>
      <c r="Y721" s="136"/>
      <c r="Z721" s="136"/>
    </row>
    <row r="722" spans="1:26" ht="14.25" customHeight="1">
      <c r="A722" s="136"/>
      <c r="B722" s="136"/>
      <c r="C722" s="136"/>
      <c r="D722" s="136"/>
      <c r="E722" s="136"/>
      <c r="F722" s="136"/>
      <c r="G722" s="136"/>
      <c r="H722" s="136"/>
      <c r="I722" s="140"/>
      <c r="J722" s="136"/>
      <c r="K722" s="136"/>
      <c r="L722" s="136"/>
      <c r="M722" s="136"/>
      <c r="N722" s="136"/>
      <c r="O722" s="136"/>
      <c r="P722" s="136"/>
      <c r="Q722" s="136"/>
      <c r="R722" s="136"/>
      <c r="S722" s="136"/>
      <c r="T722" s="136"/>
      <c r="U722" s="136"/>
      <c r="V722" s="136"/>
      <c r="W722" s="136"/>
      <c r="X722" s="136"/>
      <c r="Y722" s="136"/>
      <c r="Z722" s="136"/>
    </row>
    <row r="723" spans="1:26" ht="14.25" customHeight="1">
      <c r="A723" s="136"/>
      <c r="B723" s="136"/>
      <c r="C723" s="136"/>
      <c r="D723" s="136"/>
      <c r="E723" s="136"/>
      <c r="F723" s="136"/>
      <c r="G723" s="136"/>
      <c r="H723" s="136"/>
      <c r="I723" s="140"/>
      <c r="J723" s="136"/>
      <c r="K723" s="136"/>
      <c r="L723" s="136"/>
      <c r="M723" s="136"/>
      <c r="N723" s="136"/>
      <c r="O723" s="136"/>
      <c r="P723" s="136"/>
      <c r="Q723" s="136"/>
      <c r="R723" s="136"/>
      <c r="S723" s="136"/>
      <c r="T723" s="136"/>
      <c r="U723" s="136"/>
      <c r="V723" s="136"/>
      <c r="W723" s="136"/>
      <c r="X723" s="136"/>
      <c r="Y723" s="136"/>
      <c r="Z723" s="136"/>
    </row>
    <row r="724" spans="1:26" ht="14.25" customHeight="1">
      <c r="A724" s="136"/>
      <c r="B724" s="136"/>
      <c r="C724" s="136"/>
      <c r="D724" s="136"/>
      <c r="E724" s="136"/>
      <c r="F724" s="136"/>
      <c r="G724" s="136"/>
      <c r="H724" s="136"/>
      <c r="I724" s="140"/>
      <c r="J724" s="136"/>
      <c r="K724" s="136"/>
      <c r="L724" s="136"/>
      <c r="M724" s="136"/>
      <c r="N724" s="136"/>
      <c r="O724" s="136"/>
      <c r="P724" s="136"/>
      <c r="Q724" s="136"/>
      <c r="R724" s="136"/>
      <c r="S724" s="136"/>
      <c r="T724" s="136"/>
      <c r="U724" s="136"/>
      <c r="V724" s="136"/>
      <c r="W724" s="136"/>
      <c r="X724" s="136"/>
      <c r="Y724" s="136"/>
      <c r="Z724" s="136"/>
    </row>
    <row r="725" spans="1:26" ht="14.25" customHeight="1">
      <c r="A725" s="136"/>
      <c r="B725" s="136"/>
      <c r="C725" s="136"/>
      <c r="D725" s="136"/>
      <c r="E725" s="136"/>
      <c r="F725" s="136"/>
      <c r="G725" s="136"/>
      <c r="H725" s="136"/>
      <c r="I725" s="140"/>
      <c r="J725" s="136"/>
      <c r="K725" s="136"/>
      <c r="L725" s="136"/>
      <c r="M725" s="136"/>
      <c r="N725" s="136"/>
      <c r="O725" s="136"/>
      <c r="P725" s="136"/>
      <c r="Q725" s="136"/>
      <c r="R725" s="136"/>
      <c r="S725" s="136"/>
      <c r="T725" s="136"/>
      <c r="U725" s="136"/>
      <c r="V725" s="136"/>
      <c r="W725" s="136"/>
      <c r="X725" s="136"/>
      <c r="Y725" s="136"/>
      <c r="Z725" s="136"/>
    </row>
    <row r="726" spans="1:26" ht="14.25" customHeight="1">
      <c r="A726" s="136"/>
      <c r="B726" s="136"/>
      <c r="C726" s="136"/>
      <c r="D726" s="136"/>
      <c r="E726" s="136"/>
      <c r="F726" s="136"/>
      <c r="G726" s="136"/>
      <c r="H726" s="136"/>
      <c r="I726" s="140"/>
      <c r="J726" s="136"/>
      <c r="K726" s="136"/>
      <c r="L726" s="136"/>
      <c r="M726" s="136"/>
      <c r="N726" s="136"/>
      <c r="O726" s="136"/>
      <c r="P726" s="136"/>
      <c r="Q726" s="136"/>
      <c r="R726" s="136"/>
      <c r="S726" s="136"/>
      <c r="T726" s="136"/>
      <c r="U726" s="136"/>
      <c r="V726" s="136"/>
      <c r="W726" s="136"/>
      <c r="X726" s="136"/>
      <c r="Y726" s="136"/>
      <c r="Z726" s="136"/>
    </row>
    <row r="727" spans="1:26" ht="14.25" customHeight="1">
      <c r="A727" s="136"/>
      <c r="B727" s="136"/>
      <c r="C727" s="136"/>
      <c r="D727" s="136"/>
      <c r="E727" s="136"/>
      <c r="F727" s="136"/>
      <c r="G727" s="136"/>
      <c r="H727" s="136"/>
      <c r="I727" s="140"/>
      <c r="J727" s="136"/>
      <c r="K727" s="136"/>
      <c r="L727" s="136"/>
      <c r="M727" s="136"/>
      <c r="N727" s="136"/>
      <c r="O727" s="136"/>
      <c r="P727" s="136"/>
      <c r="Q727" s="136"/>
      <c r="R727" s="136"/>
      <c r="S727" s="136"/>
      <c r="T727" s="136"/>
      <c r="U727" s="136"/>
      <c r="V727" s="136"/>
      <c r="W727" s="136"/>
      <c r="X727" s="136"/>
      <c r="Y727" s="136"/>
      <c r="Z727" s="136"/>
    </row>
    <row r="728" spans="1:26" ht="14.25" customHeight="1">
      <c r="A728" s="136"/>
      <c r="B728" s="136"/>
      <c r="C728" s="136"/>
      <c r="D728" s="136"/>
      <c r="E728" s="136"/>
      <c r="F728" s="136"/>
      <c r="G728" s="136"/>
      <c r="H728" s="136"/>
      <c r="I728" s="140"/>
      <c r="J728" s="136"/>
      <c r="K728" s="136"/>
      <c r="L728" s="136"/>
      <c r="M728" s="136"/>
      <c r="N728" s="136"/>
      <c r="O728" s="136"/>
      <c r="P728" s="136"/>
      <c r="Q728" s="136"/>
      <c r="R728" s="136"/>
      <c r="S728" s="136"/>
      <c r="T728" s="136"/>
      <c r="U728" s="136"/>
      <c r="V728" s="136"/>
      <c r="W728" s="136"/>
      <c r="X728" s="136"/>
      <c r="Y728" s="136"/>
      <c r="Z728" s="136"/>
    </row>
    <row r="729" spans="1:26" ht="14.25" customHeight="1">
      <c r="A729" s="136"/>
      <c r="B729" s="136"/>
      <c r="C729" s="136"/>
      <c r="D729" s="136"/>
      <c r="E729" s="136"/>
      <c r="F729" s="136"/>
      <c r="G729" s="136"/>
      <c r="H729" s="136"/>
      <c r="I729" s="140"/>
      <c r="J729" s="136"/>
      <c r="K729" s="136"/>
      <c r="L729" s="136"/>
      <c r="M729" s="136"/>
      <c r="N729" s="136"/>
      <c r="O729" s="136"/>
      <c r="P729" s="136"/>
      <c r="Q729" s="136"/>
      <c r="R729" s="136"/>
      <c r="S729" s="136"/>
      <c r="T729" s="136"/>
      <c r="U729" s="136"/>
      <c r="V729" s="136"/>
      <c r="W729" s="136"/>
      <c r="X729" s="136"/>
      <c r="Y729" s="136"/>
      <c r="Z729" s="136"/>
    </row>
    <row r="730" spans="1:26" ht="14.25" customHeight="1">
      <c r="A730" s="136"/>
      <c r="B730" s="136"/>
      <c r="C730" s="136"/>
      <c r="D730" s="136"/>
      <c r="E730" s="136"/>
      <c r="F730" s="136"/>
      <c r="G730" s="136"/>
      <c r="H730" s="136"/>
      <c r="I730" s="140"/>
      <c r="J730" s="136"/>
      <c r="K730" s="136"/>
      <c r="L730" s="136"/>
      <c r="M730" s="136"/>
      <c r="N730" s="136"/>
      <c r="O730" s="136"/>
      <c r="P730" s="136"/>
      <c r="Q730" s="136"/>
      <c r="R730" s="136"/>
      <c r="S730" s="136"/>
      <c r="T730" s="136"/>
      <c r="U730" s="136"/>
      <c r="V730" s="136"/>
      <c r="W730" s="136"/>
      <c r="X730" s="136"/>
      <c r="Y730" s="136"/>
      <c r="Z730" s="136"/>
    </row>
    <row r="731" spans="1:26" ht="14.25" customHeight="1">
      <c r="A731" s="136"/>
      <c r="B731" s="136"/>
      <c r="C731" s="136"/>
      <c r="D731" s="136"/>
      <c r="E731" s="136"/>
      <c r="F731" s="136"/>
      <c r="G731" s="136"/>
      <c r="H731" s="136"/>
      <c r="I731" s="140"/>
      <c r="J731" s="136"/>
      <c r="K731" s="136"/>
      <c r="L731" s="136"/>
      <c r="M731" s="136"/>
      <c r="N731" s="136"/>
      <c r="O731" s="136"/>
      <c r="P731" s="136"/>
      <c r="Q731" s="136"/>
      <c r="R731" s="136"/>
      <c r="S731" s="136"/>
      <c r="T731" s="136"/>
      <c r="U731" s="136"/>
      <c r="V731" s="136"/>
      <c r="W731" s="136"/>
      <c r="X731" s="136"/>
      <c r="Y731" s="136"/>
      <c r="Z731" s="136"/>
    </row>
    <row r="732" spans="1:26" ht="14.25" customHeight="1">
      <c r="A732" s="136"/>
      <c r="B732" s="136"/>
      <c r="C732" s="136"/>
      <c r="D732" s="136"/>
      <c r="E732" s="136"/>
      <c r="F732" s="136"/>
      <c r="G732" s="136"/>
      <c r="H732" s="136"/>
      <c r="I732" s="140"/>
      <c r="J732" s="136"/>
      <c r="K732" s="136"/>
      <c r="L732" s="136"/>
      <c r="M732" s="136"/>
      <c r="N732" s="136"/>
      <c r="O732" s="136"/>
      <c r="P732" s="136"/>
      <c r="Q732" s="136"/>
      <c r="R732" s="136"/>
      <c r="S732" s="136"/>
      <c r="T732" s="136"/>
      <c r="U732" s="136"/>
      <c r="V732" s="136"/>
      <c r="W732" s="136"/>
      <c r="X732" s="136"/>
      <c r="Y732" s="136"/>
      <c r="Z732" s="136"/>
    </row>
    <row r="733" spans="1:26" ht="14.25" customHeight="1">
      <c r="A733" s="136"/>
      <c r="B733" s="136"/>
      <c r="C733" s="136"/>
      <c r="D733" s="136"/>
      <c r="E733" s="136"/>
      <c r="F733" s="136"/>
      <c r="G733" s="136"/>
      <c r="H733" s="136"/>
      <c r="I733" s="140"/>
      <c r="J733" s="136"/>
      <c r="K733" s="136"/>
      <c r="L733" s="136"/>
      <c r="M733" s="136"/>
      <c r="N733" s="136"/>
      <c r="O733" s="136"/>
      <c r="P733" s="136"/>
      <c r="Q733" s="136"/>
      <c r="R733" s="136"/>
      <c r="S733" s="136"/>
      <c r="T733" s="136"/>
      <c r="U733" s="136"/>
      <c r="V733" s="136"/>
      <c r="W733" s="136"/>
      <c r="X733" s="136"/>
      <c r="Y733" s="136"/>
      <c r="Z733" s="136"/>
    </row>
    <row r="734" spans="1:26" ht="14.25" customHeight="1">
      <c r="A734" s="136"/>
      <c r="B734" s="136"/>
      <c r="C734" s="136"/>
      <c r="D734" s="136"/>
      <c r="E734" s="136"/>
      <c r="F734" s="136"/>
      <c r="G734" s="136"/>
      <c r="H734" s="136"/>
      <c r="I734" s="140"/>
      <c r="J734" s="136"/>
      <c r="K734" s="136"/>
      <c r="L734" s="136"/>
      <c r="M734" s="136"/>
      <c r="N734" s="136"/>
      <c r="O734" s="136"/>
      <c r="P734" s="136"/>
      <c r="Q734" s="136"/>
      <c r="R734" s="136"/>
      <c r="S734" s="136"/>
      <c r="T734" s="136"/>
      <c r="U734" s="136"/>
      <c r="V734" s="136"/>
      <c r="W734" s="136"/>
      <c r="X734" s="136"/>
      <c r="Y734" s="136"/>
      <c r="Z734" s="136"/>
    </row>
    <row r="735" spans="1:26" ht="14.25" customHeight="1">
      <c r="A735" s="136"/>
      <c r="B735" s="136"/>
      <c r="C735" s="136"/>
      <c r="D735" s="136"/>
      <c r="E735" s="136"/>
      <c r="F735" s="136"/>
      <c r="G735" s="136"/>
      <c r="H735" s="136"/>
      <c r="I735" s="140"/>
      <c r="J735" s="136"/>
      <c r="K735" s="136"/>
      <c r="L735" s="136"/>
      <c r="M735" s="136"/>
      <c r="N735" s="136"/>
      <c r="O735" s="136"/>
      <c r="P735" s="136"/>
      <c r="Q735" s="136"/>
      <c r="R735" s="136"/>
      <c r="S735" s="136"/>
      <c r="T735" s="136"/>
      <c r="U735" s="136"/>
      <c r="V735" s="136"/>
      <c r="W735" s="136"/>
      <c r="X735" s="136"/>
      <c r="Y735" s="136"/>
      <c r="Z735" s="136"/>
    </row>
    <row r="736" spans="1:26" ht="14.25" customHeight="1">
      <c r="A736" s="136"/>
      <c r="B736" s="136"/>
      <c r="C736" s="136"/>
      <c r="D736" s="136"/>
      <c r="E736" s="136"/>
      <c r="F736" s="136"/>
      <c r="G736" s="136"/>
      <c r="H736" s="136"/>
      <c r="I736" s="140"/>
      <c r="J736" s="136"/>
      <c r="K736" s="136"/>
      <c r="L736" s="136"/>
      <c r="M736" s="136"/>
      <c r="N736" s="136"/>
      <c r="O736" s="136"/>
      <c r="P736" s="136"/>
      <c r="Q736" s="136"/>
      <c r="R736" s="136"/>
      <c r="S736" s="136"/>
      <c r="T736" s="136"/>
      <c r="U736" s="136"/>
      <c r="V736" s="136"/>
      <c r="W736" s="136"/>
      <c r="X736" s="136"/>
      <c r="Y736" s="136"/>
      <c r="Z736" s="136"/>
    </row>
    <row r="737" spans="1:26" ht="14.25" customHeight="1">
      <c r="A737" s="136"/>
      <c r="B737" s="136"/>
      <c r="C737" s="136"/>
      <c r="D737" s="136"/>
      <c r="E737" s="136"/>
      <c r="F737" s="136"/>
      <c r="G737" s="136"/>
      <c r="H737" s="136"/>
      <c r="I737" s="140"/>
      <c r="J737" s="136"/>
      <c r="K737" s="136"/>
      <c r="L737" s="136"/>
      <c r="M737" s="136"/>
      <c r="N737" s="136"/>
      <c r="O737" s="136"/>
      <c r="P737" s="136"/>
      <c r="Q737" s="136"/>
      <c r="R737" s="136"/>
      <c r="S737" s="136"/>
      <c r="T737" s="136"/>
      <c r="U737" s="136"/>
      <c r="V737" s="136"/>
      <c r="W737" s="136"/>
      <c r="X737" s="136"/>
      <c r="Y737" s="136"/>
      <c r="Z737" s="136"/>
    </row>
    <row r="738" spans="1:26" ht="14.25" customHeight="1">
      <c r="A738" s="136"/>
      <c r="B738" s="136"/>
      <c r="C738" s="136"/>
      <c r="D738" s="136"/>
      <c r="E738" s="136"/>
      <c r="F738" s="136"/>
      <c r="G738" s="136"/>
      <c r="H738" s="136"/>
      <c r="I738" s="140"/>
      <c r="J738" s="136"/>
      <c r="K738" s="136"/>
      <c r="L738" s="136"/>
      <c r="M738" s="136"/>
      <c r="N738" s="136"/>
      <c r="O738" s="136"/>
      <c r="P738" s="136"/>
      <c r="Q738" s="136"/>
      <c r="R738" s="136"/>
      <c r="S738" s="136"/>
      <c r="T738" s="136"/>
      <c r="U738" s="136"/>
      <c r="V738" s="136"/>
      <c r="W738" s="136"/>
      <c r="X738" s="136"/>
      <c r="Y738" s="136"/>
      <c r="Z738" s="136"/>
    </row>
    <row r="739" spans="1:26" ht="14.25" customHeight="1">
      <c r="A739" s="136"/>
      <c r="B739" s="136"/>
      <c r="C739" s="136"/>
      <c r="D739" s="136"/>
      <c r="E739" s="136"/>
      <c r="F739" s="136"/>
      <c r="G739" s="136"/>
      <c r="H739" s="136"/>
      <c r="I739" s="140"/>
      <c r="J739" s="136"/>
      <c r="K739" s="136"/>
      <c r="L739" s="136"/>
      <c r="M739" s="136"/>
      <c r="N739" s="136"/>
      <c r="O739" s="136"/>
      <c r="P739" s="136"/>
      <c r="Q739" s="136"/>
      <c r="R739" s="136"/>
      <c r="S739" s="136"/>
      <c r="T739" s="136"/>
      <c r="U739" s="136"/>
      <c r="V739" s="136"/>
      <c r="W739" s="136"/>
      <c r="X739" s="136"/>
      <c r="Y739" s="136"/>
      <c r="Z739" s="136"/>
    </row>
    <row r="740" spans="1:26" ht="14.25" customHeight="1">
      <c r="A740" s="136"/>
      <c r="B740" s="136"/>
      <c r="C740" s="136"/>
      <c r="D740" s="136"/>
      <c r="E740" s="136"/>
      <c r="F740" s="136"/>
      <c r="G740" s="136"/>
      <c r="H740" s="136"/>
      <c r="I740" s="140"/>
      <c r="J740" s="136"/>
      <c r="K740" s="136"/>
      <c r="L740" s="136"/>
      <c r="M740" s="136"/>
      <c r="N740" s="136"/>
      <c r="O740" s="136"/>
      <c r="P740" s="136"/>
      <c r="Q740" s="136"/>
      <c r="R740" s="136"/>
      <c r="S740" s="136"/>
      <c r="T740" s="136"/>
      <c r="U740" s="136"/>
      <c r="V740" s="136"/>
      <c r="W740" s="136"/>
      <c r="X740" s="136"/>
      <c r="Y740" s="136"/>
      <c r="Z740" s="136"/>
    </row>
    <row r="741" spans="1:26" ht="14.25" customHeight="1">
      <c r="A741" s="136"/>
      <c r="B741" s="136"/>
      <c r="C741" s="136"/>
      <c r="D741" s="136"/>
      <c r="E741" s="136"/>
      <c r="F741" s="136"/>
      <c r="G741" s="136"/>
      <c r="H741" s="136"/>
      <c r="I741" s="140"/>
      <c r="J741" s="136"/>
      <c r="K741" s="136"/>
      <c r="L741" s="136"/>
      <c r="M741" s="136"/>
      <c r="N741" s="136"/>
      <c r="O741" s="136"/>
      <c r="P741" s="136"/>
      <c r="Q741" s="136"/>
      <c r="R741" s="136"/>
      <c r="S741" s="136"/>
      <c r="T741" s="136"/>
      <c r="U741" s="136"/>
      <c r="V741" s="136"/>
      <c r="W741" s="136"/>
      <c r="X741" s="136"/>
      <c r="Y741" s="136"/>
      <c r="Z741" s="136"/>
    </row>
    <row r="742" spans="1:26" ht="14.25" customHeight="1">
      <c r="A742" s="136"/>
      <c r="B742" s="136"/>
      <c r="C742" s="136"/>
      <c r="D742" s="136"/>
      <c r="E742" s="136"/>
      <c r="F742" s="136"/>
      <c r="G742" s="136"/>
      <c r="H742" s="136"/>
      <c r="I742" s="140"/>
      <c r="J742" s="136"/>
      <c r="K742" s="136"/>
      <c r="L742" s="136"/>
      <c r="M742" s="136"/>
      <c r="N742" s="136"/>
      <c r="O742" s="136"/>
      <c r="P742" s="136"/>
      <c r="Q742" s="136"/>
      <c r="R742" s="136"/>
      <c r="S742" s="136"/>
      <c r="T742" s="136"/>
      <c r="U742" s="136"/>
      <c r="V742" s="136"/>
      <c r="W742" s="136"/>
      <c r="X742" s="136"/>
      <c r="Y742" s="136"/>
      <c r="Z742" s="136"/>
    </row>
    <row r="743" spans="1:26" ht="14.25" customHeight="1">
      <c r="A743" s="136"/>
      <c r="B743" s="136"/>
      <c r="C743" s="136"/>
      <c r="D743" s="136"/>
      <c r="E743" s="136"/>
      <c r="F743" s="136"/>
      <c r="G743" s="136"/>
      <c r="H743" s="136"/>
      <c r="I743" s="140"/>
      <c r="J743" s="136"/>
      <c r="K743" s="136"/>
      <c r="L743" s="136"/>
      <c r="M743" s="136"/>
      <c r="N743" s="136"/>
      <c r="O743" s="136"/>
      <c r="P743" s="136"/>
      <c r="Q743" s="136"/>
      <c r="R743" s="136"/>
      <c r="S743" s="136"/>
      <c r="T743" s="136"/>
      <c r="U743" s="136"/>
      <c r="V743" s="136"/>
      <c r="W743" s="136"/>
      <c r="X743" s="136"/>
      <c r="Y743" s="136"/>
      <c r="Z743" s="136"/>
    </row>
    <row r="744" spans="1:26" ht="14.25" customHeight="1">
      <c r="A744" s="136"/>
      <c r="B744" s="136"/>
      <c r="C744" s="136"/>
      <c r="D744" s="136"/>
      <c r="E744" s="136"/>
      <c r="F744" s="136"/>
      <c r="G744" s="136"/>
      <c r="H744" s="136"/>
      <c r="I744" s="140"/>
      <c r="J744" s="136"/>
      <c r="K744" s="136"/>
      <c r="L744" s="136"/>
      <c r="M744" s="136"/>
      <c r="N744" s="136"/>
      <c r="O744" s="136"/>
      <c r="P744" s="136"/>
      <c r="Q744" s="136"/>
      <c r="R744" s="136"/>
      <c r="S744" s="136"/>
      <c r="T744" s="136"/>
      <c r="U744" s="136"/>
      <c r="V744" s="136"/>
      <c r="W744" s="136"/>
      <c r="X744" s="136"/>
      <c r="Y744" s="136"/>
      <c r="Z744" s="136"/>
    </row>
    <row r="745" spans="1:26" ht="14.25" customHeight="1">
      <c r="A745" s="136"/>
      <c r="B745" s="136"/>
      <c r="C745" s="136"/>
      <c r="D745" s="136"/>
      <c r="E745" s="136"/>
      <c r="F745" s="136"/>
      <c r="G745" s="136"/>
      <c r="H745" s="136"/>
      <c r="I745" s="140"/>
      <c r="J745" s="136"/>
      <c r="K745" s="136"/>
      <c r="L745" s="136"/>
      <c r="M745" s="136"/>
      <c r="N745" s="136"/>
      <c r="O745" s="136"/>
      <c r="P745" s="136"/>
      <c r="Q745" s="136"/>
      <c r="R745" s="136"/>
      <c r="S745" s="136"/>
      <c r="T745" s="136"/>
      <c r="U745" s="136"/>
      <c r="V745" s="136"/>
      <c r="W745" s="136"/>
      <c r="X745" s="136"/>
      <c r="Y745" s="136"/>
      <c r="Z745" s="136"/>
    </row>
    <row r="746" spans="1:26" ht="14.25" customHeight="1">
      <c r="A746" s="136"/>
      <c r="B746" s="136"/>
      <c r="C746" s="136"/>
      <c r="D746" s="136"/>
      <c r="E746" s="136"/>
      <c r="F746" s="136"/>
      <c r="G746" s="136"/>
      <c r="H746" s="136"/>
      <c r="I746" s="140"/>
      <c r="J746" s="136"/>
      <c r="K746" s="136"/>
      <c r="L746" s="136"/>
      <c r="M746" s="136"/>
      <c r="N746" s="136"/>
      <c r="O746" s="136"/>
      <c r="P746" s="136"/>
      <c r="Q746" s="136"/>
      <c r="R746" s="136"/>
      <c r="S746" s="136"/>
      <c r="T746" s="136"/>
      <c r="U746" s="136"/>
      <c r="V746" s="136"/>
      <c r="W746" s="136"/>
      <c r="X746" s="136"/>
      <c r="Y746" s="136"/>
      <c r="Z746" s="136"/>
    </row>
    <row r="747" spans="1:26" ht="14.25" customHeight="1">
      <c r="A747" s="136"/>
      <c r="B747" s="136"/>
      <c r="C747" s="136"/>
      <c r="D747" s="136"/>
      <c r="E747" s="136"/>
      <c r="F747" s="136"/>
      <c r="G747" s="136"/>
      <c r="H747" s="136"/>
      <c r="I747" s="140"/>
      <c r="J747" s="136"/>
      <c r="K747" s="136"/>
      <c r="L747" s="136"/>
      <c r="M747" s="136"/>
      <c r="N747" s="136"/>
      <c r="O747" s="136"/>
      <c r="P747" s="136"/>
      <c r="Q747" s="136"/>
      <c r="R747" s="136"/>
      <c r="S747" s="136"/>
      <c r="T747" s="136"/>
      <c r="U747" s="136"/>
      <c r="V747" s="136"/>
      <c r="W747" s="136"/>
      <c r="X747" s="136"/>
      <c r="Y747" s="136"/>
      <c r="Z747" s="136"/>
    </row>
    <row r="748" spans="1:26" ht="14.25" customHeight="1">
      <c r="A748" s="136"/>
      <c r="B748" s="136"/>
      <c r="C748" s="136"/>
      <c r="D748" s="136"/>
      <c r="E748" s="136"/>
      <c r="F748" s="136"/>
      <c r="G748" s="136"/>
      <c r="H748" s="136"/>
      <c r="I748" s="140"/>
      <c r="J748" s="136"/>
      <c r="K748" s="136"/>
      <c r="L748" s="136"/>
      <c r="M748" s="136"/>
      <c r="N748" s="136"/>
      <c r="O748" s="136"/>
      <c r="P748" s="136"/>
      <c r="Q748" s="136"/>
      <c r="R748" s="136"/>
      <c r="S748" s="136"/>
      <c r="T748" s="136"/>
      <c r="U748" s="136"/>
      <c r="V748" s="136"/>
      <c r="W748" s="136"/>
      <c r="X748" s="136"/>
      <c r="Y748" s="136"/>
      <c r="Z748" s="136"/>
    </row>
    <row r="749" spans="1:26" ht="14.25" customHeight="1">
      <c r="A749" s="136"/>
      <c r="B749" s="136"/>
      <c r="C749" s="136"/>
      <c r="D749" s="136"/>
      <c r="E749" s="136"/>
      <c r="F749" s="136"/>
      <c r="G749" s="136"/>
      <c r="H749" s="136"/>
      <c r="I749" s="140"/>
      <c r="J749" s="136"/>
      <c r="K749" s="136"/>
      <c r="L749" s="136"/>
      <c r="M749" s="136"/>
      <c r="N749" s="136"/>
      <c r="O749" s="136"/>
      <c r="P749" s="136"/>
      <c r="Q749" s="136"/>
      <c r="R749" s="136"/>
      <c r="S749" s="136"/>
      <c r="T749" s="136"/>
      <c r="U749" s="136"/>
      <c r="V749" s="136"/>
      <c r="W749" s="136"/>
      <c r="X749" s="136"/>
      <c r="Y749" s="136"/>
      <c r="Z749" s="136"/>
    </row>
    <row r="750" spans="1:26" ht="14.25" customHeight="1">
      <c r="A750" s="136"/>
      <c r="B750" s="136"/>
      <c r="C750" s="136"/>
      <c r="D750" s="136"/>
      <c r="E750" s="136"/>
      <c r="F750" s="136"/>
      <c r="G750" s="136"/>
      <c r="H750" s="136"/>
      <c r="I750" s="140"/>
      <c r="J750" s="136"/>
      <c r="K750" s="136"/>
      <c r="L750" s="136"/>
      <c r="M750" s="136"/>
      <c r="N750" s="136"/>
      <c r="O750" s="136"/>
      <c r="P750" s="136"/>
      <c r="Q750" s="136"/>
      <c r="R750" s="136"/>
      <c r="S750" s="136"/>
      <c r="T750" s="136"/>
      <c r="U750" s="136"/>
      <c r="V750" s="136"/>
      <c r="W750" s="136"/>
      <c r="X750" s="136"/>
      <c r="Y750" s="136"/>
      <c r="Z750" s="136"/>
    </row>
    <row r="751" spans="1:26" ht="14.25" customHeight="1">
      <c r="A751" s="136"/>
      <c r="B751" s="136"/>
      <c r="C751" s="136"/>
      <c r="D751" s="136"/>
      <c r="E751" s="136"/>
      <c r="F751" s="136"/>
      <c r="G751" s="136"/>
      <c r="H751" s="136"/>
      <c r="I751" s="140"/>
      <c r="J751" s="136"/>
      <c r="K751" s="136"/>
      <c r="L751" s="136"/>
      <c r="M751" s="136"/>
      <c r="N751" s="136"/>
      <c r="O751" s="136"/>
      <c r="P751" s="136"/>
      <c r="Q751" s="136"/>
      <c r="R751" s="136"/>
      <c r="S751" s="136"/>
      <c r="T751" s="136"/>
      <c r="U751" s="136"/>
      <c r="V751" s="136"/>
      <c r="W751" s="136"/>
      <c r="X751" s="136"/>
      <c r="Y751" s="136"/>
      <c r="Z751" s="136"/>
    </row>
    <row r="752" spans="1:26" ht="14.25" customHeight="1">
      <c r="A752" s="136"/>
      <c r="B752" s="136"/>
      <c r="C752" s="136"/>
      <c r="D752" s="136"/>
      <c r="E752" s="136"/>
      <c r="F752" s="136"/>
      <c r="G752" s="136"/>
      <c r="H752" s="136"/>
      <c r="I752" s="140"/>
      <c r="J752" s="136"/>
      <c r="K752" s="136"/>
      <c r="L752" s="136"/>
      <c r="M752" s="136"/>
      <c r="N752" s="136"/>
      <c r="O752" s="136"/>
      <c r="P752" s="136"/>
      <c r="Q752" s="136"/>
      <c r="R752" s="136"/>
      <c r="S752" s="136"/>
      <c r="T752" s="136"/>
      <c r="U752" s="136"/>
      <c r="V752" s="136"/>
      <c r="W752" s="136"/>
      <c r="X752" s="136"/>
      <c r="Y752" s="136"/>
      <c r="Z752" s="136"/>
    </row>
    <row r="753" spans="1:26" ht="14.25" customHeight="1">
      <c r="A753" s="136"/>
      <c r="B753" s="136"/>
      <c r="C753" s="136"/>
      <c r="D753" s="136"/>
      <c r="E753" s="136"/>
      <c r="F753" s="136"/>
      <c r="G753" s="136"/>
      <c r="H753" s="136"/>
      <c r="I753" s="140"/>
      <c r="J753" s="136"/>
      <c r="K753" s="136"/>
      <c r="L753" s="136"/>
      <c r="M753" s="136"/>
      <c r="N753" s="136"/>
      <c r="O753" s="136"/>
      <c r="P753" s="136"/>
      <c r="Q753" s="136"/>
      <c r="R753" s="136"/>
      <c r="S753" s="136"/>
      <c r="T753" s="136"/>
      <c r="U753" s="136"/>
      <c r="V753" s="136"/>
      <c r="W753" s="136"/>
      <c r="X753" s="136"/>
      <c r="Y753" s="136"/>
      <c r="Z753" s="136"/>
    </row>
    <row r="754" spans="1:26" ht="14.25" customHeight="1">
      <c r="A754" s="136"/>
      <c r="B754" s="136"/>
      <c r="C754" s="136"/>
      <c r="D754" s="136"/>
      <c r="E754" s="136"/>
      <c r="F754" s="136"/>
      <c r="G754" s="136"/>
      <c r="H754" s="136"/>
      <c r="I754" s="140"/>
      <c r="J754" s="136"/>
      <c r="K754" s="136"/>
      <c r="L754" s="136"/>
      <c r="M754" s="136"/>
      <c r="N754" s="136"/>
      <c r="O754" s="136"/>
      <c r="P754" s="136"/>
      <c r="Q754" s="136"/>
      <c r="R754" s="136"/>
      <c r="S754" s="136"/>
      <c r="T754" s="136"/>
      <c r="U754" s="136"/>
      <c r="V754" s="136"/>
      <c r="W754" s="136"/>
      <c r="X754" s="136"/>
      <c r="Y754" s="136"/>
      <c r="Z754" s="136"/>
    </row>
    <row r="755" spans="1:26" ht="14.25" customHeight="1">
      <c r="A755" s="136"/>
      <c r="B755" s="136"/>
      <c r="C755" s="136"/>
      <c r="D755" s="136"/>
      <c r="E755" s="136"/>
      <c r="F755" s="136"/>
      <c r="G755" s="136"/>
      <c r="H755" s="136"/>
      <c r="I755" s="140"/>
      <c r="J755" s="136"/>
      <c r="K755" s="136"/>
      <c r="L755" s="136"/>
      <c r="M755" s="136"/>
      <c r="N755" s="136"/>
      <c r="O755" s="136"/>
      <c r="P755" s="136"/>
      <c r="Q755" s="136"/>
      <c r="R755" s="136"/>
      <c r="S755" s="136"/>
      <c r="T755" s="136"/>
      <c r="U755" s="136"/>
      <c r="V755" s="136"/>
      <c r="W755" s="136"/>
      <c r="X755" s="136"/>
      <c r="Y755" s="136"/>
      <c r="Z755" s="136"/>
    </row>
    <row r="756" spans="1:26" ht="14.25" customHeight="1">
      <c r="A756" s="136"/>
      <c r="B756" s="136"/>
      <c r="C756" s="136"/>
      <c r="D756" s="136"/>
      <c r="E756" s="136"/>
      <c r="F756" s="136"/>
      <c r="G756" s="136"/>
      <c r="H756" s="136"/>
      <c r="I756" s="140"/>
      <c r="J756" s="136"/>
      <c r="K756" s="136"/>
      <c r="L756" s="136"/>
      <c r="M756" s="136"/>
      <c r="N756" s="136"/>
      <c r="O756" s="136"/>
      <c r="P756" s="136"/>
      <c r="Q756" s="136"/>
      <c r="R756" s="136"/>
      <c r="S756" s="136"/>
      <c r="T756" s="136"/>
      <c r="U756" s="136"/>
      <c r="V756" s="136"/>
      <c r="W756" s="136"/>
      <c r="X756" s="136"/>
      <c r="Y756" s="136"/>
      <c r="Z756" s="136"/>
    </row>
    <row r="757" spans="1:26" ht="14.25" customHeight="1">
      <c r="A757" s="136"/>
      <c r="B757" s="136"/>
      <c r="C757" s="136"/>
      <c r="D757" s="136"/>
      <c r="E757" s="136"/>
      <c r="F757" s="136"/>
      <c r="G757" s="136"/>
      <c r="H757" s="136"/>
      <c r="I757" s="140"/>
      <c r="J757" s="136"/>
      <c r="K757" s="136"/>
      <c r="L757" s="136"/>
      <c r="M757" s="136"/>
      <c r="N757" s="136"/>
      <c r="O757" s="136"/>
      <c r="P757" s="136"/>
      <c r="Q757" s="136"/>
      <c r="R757" s="136"/>
      <c r="S757" s="136"/>
      <c r="T757" s="136"/>
      <c r="U757" s="136"/>
      <c r="V757" s="136"/>
      <c r="W757" s="136"/>
      <c r="X757" s="136"/>
      <c r="Y757" s="136"/>
      <c r="Z757" s="136"/>
    </row>
    <row r="758" spans="1:26" ht="14.25" customHeight="1">
      <c r="A758" s="136"/>
      <c r="B758" s="136"/>
      <c r="C758" s="136"/>
      <c r="D758" s="136"/>
      <c r="E758" s="136"/>
      <c r="F758" s="136"/>
      <c r="G758" s="136"/>
      <c r="H758" s="136"/>
      <c r="I758" s="140"/>
      <c r="J758" s="136"/>
      <c r="K758" s="136"/>
      <c r="L758" s="136"/>
      <c r="M758" s="136"/>
      <c r="N758" s="136"/>
      <c r="O758" s="136"/>
      <c r="P758" s="136"/>
      <c r="Q758" s="136"/>
      <c r="R758" s="136"/>
      <c r="S758" s="136"/>
      <c r="T758" s="136"/>
      <c r="U758" s="136"/>
      <c r="V758" s="136"/>
      <c r="W758" s="136"/>
      <c r="X758" s="136"/>
      <c r="Y758" s="136"/>
      <c r="Z758" s="136"/>
    </row>
    <row r="759" spans="1:26" ht="14.25" customHeight="1">
      <c r="A759" s="136"/>
      <c r="B759" s="136"/>
      <c r="C759" s="136"/>
      <c r="D759" s="136"/>
      <c r="E759" s="136"/>
      <c r="F759" s="136"/>
      <c r="G759" s="136"/>
      <c r="H759" s="136"/>
      <c r="I759" s="140"/>
      <c r="J759" s="136"/>
      <c r="K759" s="136"/>
      <c r="L759" s="136"/>
      <c r="M759" s="136"/>
      <c r="N759" s="136"/>
      <c r="O759" s="136"/>
      <c r="P759" s="136"/>
      <c r="Q759" s="136"/>
      <c r="R759" s="136"/>
      <c r="S759" s="136"/>
      <c r="T759" s="136"/>
      <c r="U759" s="136"/>
      <c r="V759" s="136"/>
      <c r="W759" s="136"/>
      <c r="X759" s="136"/>
      <c r="Y759" s="136"/>
      <c r="Z759" s="136"/>
    </row>
    <row r="760" spans="1:26" ht="14.25" customHeight="1">
      <c r="A760" s="136"/>
      <c r="B760" s="136"/>
      <c r="C760" s="136"/>
      <c r="D760" s="136"/>
      <c r="E760" s="136"/>
      <c r="F760" s="136"/>
      <c r="G760" s="136"/>
      <c r="H760" s="136"/>
      <c r="I760" s="140"/>
      <c r="J760" s="136"/>
      <c r="K760" s="136"/>
      <c r="L760" s="136"/>
      <c r="M760" s="136"/>
      <c r="N760" s="136"/>
      <c r="O760" s="136"/>
      <c r="P760" s="136"/>
      <c r="Q760" s="136"/>
      <c r="R760" s="136"/>
      <c r="S760" s="136"/>
      <c r="T760" s="136"/>
      <c r="U760" s="136"/>
      <c r="V760" s="136"/>
      <c r="W760" s="136"/>
      <c r="X760" s="136"/>
      <c r="Y760" s="136"/>
      <c r="Z760" s="136"/>
    </row>
    <row r="761" spans="1:26" ht="14.25" customHeight="1">
      <c r="A761" s="136"/>
      <c r="B761" s="136"/>
      <c r="C761" s="136"/>
      <c r="D761" s="136"/>
      <c r="E761" s="136"/>
      <c r="F761" s="136"/>
      <c r="G761" s="136"/>
      <c r="H761" s="136"/>
      <c r="I761" s="140"/>
      <c r="J761" s="136"/>
      <c r="K761" s="136"/>
      <c r="L761" s="136"/>
      <c r="M761" s="136"/>
      <c r="N761" s="136"/>
      <c r="O761" s="136"/>
      <c r="P761" s="136"/>
      <c r="Q761" s="136"/>
      <c r="R761" s="136"/>
      <c r="S761" s="136"/>
      <c r="T761" s="136"/>
      <c r="U761" s="136"/>
      <c r="V761" s="136"/>
      <c r="W761" s="136"/>
      <c r="X761" s="136"/>
      <c r="Y761" s="136"/>
      <c r="Z761" s="136"/>
    </row>
    <row r="762" spans="1:26" ht="14.25" customHeight="1">
      <c r="A762" s="136"/>
      <c r="B762" s="136"/>
      <c r="C762" s="136"/>
      <c r="D762" s="136"/>
      <c r="E762" s="136"/>
      <c r="F762" s="136"/>
      <c r="G762" s="136"/>
      <c r="H762" s="136"/>
      <c r="I762" s="140"/>
      <c r="J762" s="136"/>
      <c r="K762" s="136"/>
      <c r="L762" s="136"/>
      <c r="M762" s="136"/>
      <c r="N762" s="136"/>
      <c r="O762" s="136"/>
      <c r="P762" s="136"/>
      <c r="Q762" s="136"/>
      <c r="R762" s="136"/>
      <c r="S762" s="136"/>
      <c r="T762" s="136"/>
      <c r="U762" s="136"/>
      <c r="V762" s="136"/>
      <c r="W762" s="136"/>
      <c r="X762" s="136"/>
      <c r="Y762" s="136"/>
      <c r="Z762" s="136"/>
    </row>
    <row r="763" spans="1:26" ht="14.25" customHeight="1">
      <c r="A763" s="136"/>
      <c r="B763" s="136"/>
      <c r="C763" s="136"/>
      <c r="D763" s="136"/>
      <c r="E763" s="136"/>
      <c r="F763" s="136"/>
      <c r="G763" s="136"/>
      <c r="H763" s="136"/>
      <c r="I763" s="140"/>
      <c r="J763" s="136"/>
      <c r="K763" s="136"/>
      <c r="L763" s="136"/>
      <c r="M763" s="136"/>
      <c r="N763" s="136"/>
      <c r="O763" s="136"/>
      <c r="P763" s="136"/>
      <c r="Q763" s="136"/>
      <c r="R763" s="136"/>
      <c r="S763" s="136"/>
      <c r="T763" s="136"/>
      <c r="U763" s="136"/>
      <c r="V763" s="136"/>
      <c r="W763" s="136"/>
      <c r="X763" s="136"/>
      <c r="Y763" s="136"/>
      <c r="Z763" s="136"/>
    </row>
    <row r="764" spans="1:26" ht="14.25" customHeight="1">
      <c r="A764" s="136"/>
      <c r="B764" s="136"/>
      <c r="C764" s="136"/>
      <c r="D764" s="136"/>
      <c r="E764" s="136"/>
      <c r="F764" s="136"/>
      <c r="G764" s="136"/>
      <c r="H764" s="136"/>
      <c r="I764" s="140"/>
      <c r="J764" s="136"/>
      <c r="K764" s="136"/>
      <c r="L764" s="136"/>
      <c r="M764" s="136"/>
      <c r="N764" s="136"/>
      <c r="O764" s="136"/>
      <c r="P764" s="136"/>
      <c r="Q764" s="136"/>
      <c r="R764" s="136"/>
      <c r="S764" s="136"/>
      <c r="T764" s="136"/>
      <c r="U764" s="136"/>
      <c r="V764" s="136"/>
      <c r="W764" s="136"/>
      <c r="X764" s="136"/>
      <c r="Y764" s="136"/>
      <c r="Z764" s="136"/>
    </row>
    <row r="765" spans="1:26" ht="14.25" customHeight="1">
      <c r="A765" s="136"/>
      <c r="B765" s="136"/>
      <c r="C765" s="136"/>
      <c r="D765" s="136"/>
      <c r="E765" s="136"/>
      <c r="F765" s="136"/>
      <c r="G765" s="136"/>
      <c r="H765" s="136"/>
      <c r="I765" s="140"/>
      <c r="J765" s="136"/>
      <c r="K765" s="136"/>
      <c r="L765" s="136"/>
      <c r="M765" s="136"/>
      <c r="N765" s="136"/>
      <c r="O765" s="136"/>
      <c r="P765" s="136"/>
      <c r="Q765" s="136"/>
      <c r="R765" s="136"/>
      <c r="S765" s="136"/>
      <c r="T765" s="136"/>
      <c r="U765" s="136"/>
      <c r="V765" s="136"/>
      <c r="W765" s="136"/>
      <c r="X765" s="136"/>
      <c r="Y765" s="136"/>
      <c r="Z765" s="136"/>
    </row>
    <row r="766" spans="1:26" ht="14.25" customHeight="1">
      <c r="A766" s="136"/>
      <c r="B766" s="136"/>
      <c r="C766" s="136"/>
      <c r="D766" s="136"/>
      <c r="E766" s="136"/>
      <c r="F766" s="136"/>
      <c r="G766" s="136"/>
      <c r="H766" s="136"/>
      <c r="I766" s="140"/>
      <c r="J766" s="136"/>
      <c r="K766" s="136"/>
      <c r="L766" s="136"/>
      <c r="M766" s="136"/>
      <c r="N766" s="136"/>
      <c r="O766" s="136"/>
      <c r="P766" s="136"/>
      <c r="Q766" s="136"/>
      <c r="R766" s="136"/>
      <c r="S766" s="136"/>
      <c r="T766" s="136"/>
      <c r="U766" s="136"/>
      <c r="V766" s="136"/>
      <c r="W766" s="136"/>
      <c r="X766" s="136"/>
      <c r="Y766" s="136"/>
      <c r="Z766" s="136"/>
    </row>
    <row r="767" spans="1:26" ht="14.25" customHeight="1">
      <c r="A767" s="136"/>
      <c r="B767" s="136"/>
      <c r="C767" s="136"/>
      <c r="D767" s="136"/>
      <c r="E767" s="136"/>
      <c r="F767" s="136"/>
      <c r="G767" s="136"/>
      <c r="H767" s="136"/>
      <c r="I767" s="140"/>
      <c r="J767" s="136"/>
      <c r="K767" s="136"/>
      <c r="L767" s="136"/>
      <c r="M767" s="136"/>
      <c r="N767" s="136"/>
      <c r="O767" s="136"/>
      <c r="P767" s="136"/>
      <c r="Q767" s="136"/>
      <c r="R767" s="136"/>
      <c r="S767" s="136"/>
      <c r="T767" s="136"/>
      <c r="U767" s="136"/>
      <c r="V767" s="136"/>
      <c r="W767" s="136"/>
      <c r="X767" s="136"/>
      <c r="Y767" s="136"/>
      <c r="Z767" s="136"/>
    </row>
    <row r="768" spans="1:26" ht="14.25" customHeight="1">
      <c r="A768" s="136"/>
      <c r="B768" s="136"/>
      <c r="C768" s="136"/>
      <c r="D768" s="136"/>
      <c r="E768" s="136"/>
      <c r="F768" s="136"/>
      <c r="G768" s="136"/>
      <c r="H768" s="136"/>
      <c r="I768" s="140"/>
      <c r="J768" s="136"/>
      <c r="K768" s="136"/>
      <c r="L768" s="136"/>
      <c r="M768" s="136"/>
      <c r="N768" s="136"/>
      <c r="O768" s="136"/>
      <c r="P768" s="136"/>
      <c r="Q768" s="136"/>
      <c r="R768" s="136"/>
      <c r="S768" s="136"/>
      <c r="T768" s="136"/>
      <c r="U768" s="136"/>
      <c r="V768" s="136"/>
      <c r="W768" s="136"/>
      <c r="X768" s="136"/>
      <c r="Y768" s="136"/>
      <c r="Z768" s="136"/>
    </row>
    <row r="769" spans="1:26" ht="14.25" customHeight="1">
      <c r="A769" s="136"/>
      <c r="B769" s="136"/>
      <c r="C769" s="136"/>
      <c r="D769" s="136"/>
      <c r="E769" s="136"/>
      <c r="F769" s="136"/>
      <c r="G769" s="136"/>
      <c r="H769" s="136"/>
      <c r="I769" s="140"/>
      <c r="J769" s="136"/>
      <c r="K769" s="136"/>
      <c r="L769" s="136"/>
      <c r="M769" s="136"/>
      <c r="N769" s="136"/>
      <c r="O769" s="136"/>
      <c r="P769" s="136"/>
      <c r="Q769" s="136"/>
      <c r="R769" s="136"/>
      <c r="S769" s="136"/>
      <c r="T769" s="136"/>
      <c r="U769" s="136"/>
      <c r="V769" s="136"/>
      <c r="W769" s="136"/>
      <c r="X769" s="136"/>
      <c r="Y769" s="136"/>
      <c r="Z769" s="136"/>
    </row>
    <row r="770" spans="1:26" ht="14.25" customHeight="1">
      <c r="A770" s="136"/>
      <c r="B770" s="136"/>
      <c r="C770" s="136"/>
      <c r="D770" s="136"/>
      <c r="E770" s="136"/>
      <c r="F770" s="136"/>
      <c r="G770" s="136"/>
      <c r="H770" s="136"/>
      <c r="I770" s="140"/>
      <c r="J770" s="136"/>
      <c r="K770" s="136"/>
      <c r="L770" s="136"/>
      <c r="M770" s="136"/>
      <c r="N770" s="136"/>
      <c r="O770" s="136"/>
      <c r="P770" s="136"/>
      <c r="Q770" s="136"/>
      <c r="R770" s="136"/>
      <c r="S770" s="136"/>
      <c r="T770" s="136"/>
      <c r="U770" s="136"/>
      <c r="V770" s="136"/>
      <c r="W770" s="136"/>
      <c r="X770" s="136"/>
      <c r="Y770" s="136"/>
      <c r="Z770" s="136"/>
    </row>
    <row r="771" spans="1:26" ht="14.25" customHeight="1">
      <c r="A771" s="136"/>
      <c r="B771" s="136"/>
      <c r="C771" s="136"/>
      <c r="D771" s="136"/>
      <c r="E771" s="136"/>
      <c r="F771" s="136"/>
      <c r="G771" s="136"/>
      <c r="H771" s="136"/>
      <c r="I771" s="140"/>
      <c r="J771" s="136"/>
      <c r="K771" s="136"/>
      <c r="L771" s="136"/>
      <c r="M771" s="136"/>
      <c r="N771" s="136"/>
      <c r="O771" s="136"/>
      <c r="P771" s="136"/>
      <c r="Q771" s="136"/>
      <c r="R771" s="136"/>
      <c r="S771" s="136"/>
      <c r="T771" s="136"/>
      <c r="U771" s="136"/>
      <c r="V771" s="136"/>
      <c r="W771" s="136"/>
      <c r="X771" s="136"/>
      <c r="Y771" s="136"/>
      <c r="Z771" s="136"/>
    </row>
    <row r="772" spans="1:26" ht="14.25" customHeight="1">
      <c r="A772" s="136"/>
      <c r="B772" s="136"/>
      <c r="C772" s="136"/>
      <c r="D772" s="136"/>
      <c r="E772" s="136"/>
      <c r="F772" s="136"/>
      <c r="G772" s="136"/>
      <c r="H772" s="136"/>
      <c r="I772" s="140"/>
      <c r="J772" s="136"/>
      <c r="K772" s="136"/>
      <c r="L772" s="136"/>
      <c r="M772" s="136"/>
      <c r="N772" s="136"/>
      <c r="O772" s="136"/>
      <c r="P772" s="136"/>
      <c r="Q772" s="136"/>
      <c r="R772" s="136"/>
      <c r="S772" s="136"/>
      <c r="T772" s="136"/>
      <c r="U772" s="136"/>
      <c r="V772" s="136"/>
      <c r="W772" s="136"/>
      <c r="X772" s="136"/>
      <c r="Y772" s="136"/>
      <c r="Z772" s="136"/>
    </row>
    <row r="773" spans="1:26" ht="14.25" customHeight="1">
      <c r="A773" s="136"/>
      <c r="B773" s="136"/>
      <c r="C773" s="136"/>
      <c r="D773" s="136"/>
      <c r="E773" s="136"/>
      <c r="F773" s="136"/>
      <c r="G773" s="136"/>
      <c r="H773" s="136"/>
      <c r="I773" s="140"/>
      <c r="J773" s="136"/>
      <c r="K773" s="136"/>
      <c r="L773" s="136"/>
      <c r="M773" s="136"/>
      <c r="N773" s="136"/>
      <c r="O773" s="136"/>
      <c r="P773" s="136"/>
      <c r="Q773" s="136"/>
      <c r="R773" s="136"/>
      <c r="S773" s="136"/>
      <c r="T773" s="136"/>
      <c r="U773" s="136"/>
      <c r="V773" s="136"/>
      <c r="W773" s="136"/>
      <c r="X773" s="136"/>
      <c r="Y773" s="136"/>
      <c r="Z773" s="136"/>
    </row>
    <row r="774" spans="1:26" ht="14.25" customHeight="1">
      <c r="A774" s="136"/>
      <c r="B774" s="136"/>
      <c r="C774" s="136"/>
      <c r="D774" s="136"/>
      <c r="E774" s="136"/>
      <c r="F774" s="136"/>
      <c r="G774" s="136"/>
      <c r="H774" s="136"/>
      <c r="I774" s="140"/>
      <c r="J774" s="136"/>
      <c r="K774" s="136"/>
      <c r="L774" s="136"/>
      <c r="M774" s="136"/>
      <c r="N774" s="136"/>
      <c r="O774" s="136"/>
      <c r="P774" s="136"/>
      <c r="Q774" s="136"/>
      <c r="R774" s="136"/>
      <c r="S774" s="136"/>
      <c r="T774" s="136"/>
      <c r="U774" s="136"/>
      <c r="V774" s="136"/>
      <c r="W774" s="136"/>
      <c r="X774" s="136"/>
      <c r="Y774" s="136"/>
      <c r="Z774" s="136"/>
    </row>
    <row r="775" spans="1:26" ht="14.25" customHeight="1">
      <c r="A775" s="136"/>
      <c r="B775" s="136"/>
      <c r="C775" s="136"/>
      <c r="D775" s="136"/>
      <c r="E775" s="136"/>
      <c r="F775" s="136"/>
      <c r="G775" s="136"/>
      <c r="H775" s="136"/>
      <c r="I775" s="140"/>
      <c r="J775" s="136"/>
      <c r="K775" s="136"/>
      <c r="L775" s="136"/>
      <c r="M775" s="136"/>
      <c r="N775" s="136"/>
      <c r="O775" s="136"/>
      <c r="P775" s="136"/>
      <c r="Q775" s="136"/>
      <c r="R775" s="136"/>
      <c r="S775" s="136"/>
      <c r="T775" s="136"/>
      <c r="U775" s="136"/>
      <c r="V775" s="136"/>
      <c r="W775" s="136"/>
      <c r="X775" s="136"/>
      <c r="Y775" s="136"/>
      <c r="Z775" s="136"/>
    </row>
    <row r="776" spans="1:26" ht="14.25" customHeight="1">
      <c r="A776" s="136"/>
      <c r="B776" s="136"/>
      <c r="C776" s="136"/>
      <c r="D776" s="136"/>
      <c r="E776" s="136"/>
      <c r="F776" s="136"/>
      <c r="G776" s="136"/>
      <c r="H776" s="136"/>
      <c r="I776" s="140"/>
      <c r="J776" s="136"/>
      <c r="K776" s="136"/>
      <c r="L776" s="136"/>
      <c r="M776" s="136"/>
      <c r="N776" s="136"/>
      <c r="O776" s="136"/>
      <c r="P776" s="136"/>
      <c r="Q776" s="136"/>
      <c r="R776" s="136"/>
      <c r="S776" s="136"/>
      <c r="T776" s="136"/>
      <c r="U776" s="136"/>
      <c r="V776" s="136"/>
      <c r="W776" s="136"/>
      <c r="X776" s="136"/>
      <c r="Y776" s="136"/>
      <c r="Z776" s="136"/>
    </row>
    <row r="777" spans="1:26" ht="14.25" customHeight="1">
      <c r="A777" s="136"/>
      <c r="B777" s="136"/>
      <c r="C777" s="136"/>
      <c r="D777" s="136"/>
      <c r="E777" s="136"/>
      <c r="F777" s="136"/>
      <c r="G777" s="136"/>
      <c r="H777" s="136"/>
      <c r="I777" s="140"/>
      <c r="J777" s="136"/>
      <c r="K777" s="136"/>
      <c r="L777" s="136"/>
      <c r="M777" s="136"/>
      <c r="N777" s="136"/>
      <c r="O777" s="136"/>
      <c r="P777" s="136"/>
      <c r="Q777" s="136"/>
      <c r="R777" s="136"/>
      <c r="S777" s="136"/>
      <c r="T777" s="136"/>
      <c r="U777" s="136"/>
      <c r="V777" s="136"/>
      <c r="W777" s="136"/>
      <c r="X777" s="136"/>
      <c r="Y777" s="136"/>
      <c r="Z777" s="136"/>
    </row>
    <row r="778" spans="1:26" ht="14.25" customHeight="1">
      <c r="A778" s="136"/>
      <c r="B778" s="136"/>
      <c r="C778" s="136"/>
      <c r="D778" s="136"/>
      <c r="E778" s="136"/>
      <c r="F778" s="136"/>
      <c r="G778" s="136"/>
      <c r="H778" s="136"/>
      <c r="I778" s="140"/>
      <c r="J778" s="136"/>
      <c r="K778" s="136"/>
      <c r="L778" s="136"/>
      <c r="M778" s="136"/>
      <c r="N778" s="136"/>
      <c r="O778" s="136"/>
      <c r="P778" s="136"/>
      <c r="Q778" s="136"/>
      <c r="R778" s="136"/>
      <c r="S778" s="136"/>
      <c r="T778" s="136"/>
      <c r="U778" s="136"/>
      <c r="V778" s="136"/>
      <c r="W778" s="136"/>
      <c r="X778" s="136"/>
      <c r="Y778" s="136"/>
      <c r="Z778" s="136"/>
    </row>
    <row r="779" spans="1:26" ht="14.25" customHeight="1">
      <c r="A779" s="136"/>
      <c r="B779" s="136"/>
      <c r="C779" s="136"/>
      <c r="D779" s="136"/>
      <c r="E779" s="136"/>
      <c r="F779" s="136"/>
      <c r="G779" s="136"/>
      <c r="H779" s="136"/>
      <c r="I779" s="140"/>
      <c r="J779" s="136"/>
      <c r="K779" s="136"/>
      <c r="L779" s="136"/>
      <c r="M779" s="136"/>
      <c r="N779" s="136"/>
      <c r="O779" s="136"/>
      <c r="P779" s="136"/>
      <c r="Q779" s="136"/>
      <c r="R779" s="136"/>
      <c r="S779" s="136"/>
      <c r="T779" s="136"/>
      <c r="U779" s="136"/>
      <c r="V779" s="136"/>
      <c r="W779" s="136"/>
      <c r="X779" s="136"/>
      <c r="Y779" s="136"/>
      <c r="Z779" s="136"/>
    </row>
    <row r="780" spans="1:26" ht="14.25" customHeight="1">
      <c r="A780" s="136"/>
      <c r="B780" s="136"/>
      <c r="C780" s="136"/>
      <c r="D780" s="136"/>
      <c r="E780" s="136"/>
      <c r="F780" s="136"/>
      <c r="G780" s="136"/>
      <c r="H780" s="136"/>
      <c r="I780" s="140"/>
      <c r="J780" s="136"/>
      <c r="K780" s="136"/>
      <c r="L780" s="136"/>
      <c r="M780" s="136"/>
      <c r="N780" s="136"/>
      <c r="O780" s="136"/>
      <c r="P780" s="136"/>
      <c r="Q780" s="136"/>
      <c r="R780" s="136"/>
      <c r="S780" s="136"/>
      <c r="T780" s="136"/>
      <c r="U780" s="136"/>
      <c r="V780" s="136"/>
      <c r="W780" s="136"/>
      <c r="X780" s="136"/>
      <c r="Y780" s="136"/>
      <c r="Z780" s="136"/>
    </row>
    <row r="781" spans="1:26" ht="14.25" customHeight="1">
      <c r="A781" s="136"/>
      <c r="B781" s="136"/>
      <c r="C781" s="136"/>
      <c r="D781" s="136"/>
      <c r="E781" s="136"/>
      <c r="F781" s="136"/>
      <c r="G781" s="136"/>
      <c r="H781" s="136"/>
      <c r="I781" s="140"/>
      <c r="J781" s="136"/>
      <c r="K781" s="136"/>
      <c r="L781" s="136"/>
      <c r="M781" s="136"/>
      <c r="N781" s="136"/>
      <c r="O781" s="136"/>
      <c r="P781" s="136"/>
      <c r="Q781" s="136"/>
      <c r="R781" s="136"/>
      <c r="S781" s="136"/>
      <c r="T781" s="136"/>
      <c r="U781" s="136"/>
      <c r="V781" s="136"/>
      <c r="W781" s="136"/>
      <c r="X781" s="136"/>
      <c r="Y781" s="136"/>
      <c r="Z781" s="136"/>
    </row>
    <row r="782" spans="1:26" ht="14.25" customHeight="1">
      <c r="A782" s="136"/>
      <c r="B782" s="136"/>
      <c r="C782" s="136"/>
      <c r="D782" s="136"/>
      <c r="E782" s="136"/>
      <c r="F782" s="136"/>
      <c r="G782" s="136"/>
      <c r="H782" s="136"/>
      <c r="I782" s="140"/>
      <c r="J782" s="136"/>
      <c r="K782" s="136"/>
      <c r="L782" s="136"/>
      <c r="M782" s="136"/>
      <c r="N782" s="136"/>
      <c r="O782" s="136"/>
      <c r="P782" s="136"/>
      <c r="Q782" s="136"/>
      <c r="R782" s="136"/>
      <c r="S782" s="136"/>
      <c r="T782" s="136"/>
      <c r="U782" s="136"/>
      <c r="V782" s="136"/>
      <c r="W782" s="136"/>
      <c r="X782" s="136"/>
      <c r="Y782" s="136"/>
      <c r="Z782" s="136"/>
    </row>
    <row r="783" spans="1:26" ht="14.25" customHeight="1">
      <c r="A783" s="136"/>
      <c r="B783" s="136"/>
      <c r="C783" s="136"/>
      <c r="D783" s="136"/>
      <c r="E783" s="136"/>
      <c r="F783" s="136"/>
      <c r="G783" s="136"/>
      <c r="H783" s="136"/>
      <c r="I783" s="140"/>
      <c r="J783" s="136"/>
      <c r="K783" s="136"/>
      <c r="L783" s="136"/>
      <c r="M783" s="136"/>
      <c r="N783" s="136"/>
      <c r="O783" s="136"/>
      <c r="P783" s="136"/>
      <c r="Q783" s="136"/>
      <c r="R783" s="136"/>
      <c r="S783" s="136"/>
      <c r="T783" s="136"/>
      <c r="U783" s="136"/>
      <c r="V783" s="136"/>
      <c r="W783" s="136"/>
      <c r="X783" s="136"/>
      <c r="Y783" s="136"/>
      <c r="Z783" s="136"/>
    </row>
    <row r="784" spans="1:26" ht="14.25" customHeight="1">
      <c r="A784" s="136"/>
      <c r="B784" s="136"/>
      <c r="C784" s="136"/>
      <c r="D784" s="136"/>
      <c r="E784" s="136"/>
      <c r="F784" s="136"/>
      <c r="G784" s="136"/>
      <c r="H784" s="136"/>
      <c r="I784" s="140"/>
      <c r="J784" s="136"/>
      <c r="K784" s="136"/>
      <c r="L784" s="136"/>
      <c r="M784" s="136"/>
      <c r="N784" s="136"/>
      <c r="O784" s="136"/>
      <c r="P784" s="136"/>
      <c r="Q784" s="136"/>
      <c r="R784" s="136"/>
      <c r="S784" s="136"/>
      <c r="T784" s="136"/>
      <c r="U784" s="136"/>
      <c r="V784" s="136"/>
      <c r="W784" s="136"/>
      <c r="X784" s="136"/>
      <c r="Y784" s="136"/>
      <c r="Z784" s="136"/>
    </row>
    <row r="785" spans="1:26" ht="14.25" customHeight="1">
      <c r="A785" s="136"/>
      <c r="B785" s="136"/>
      <c r="C785" s="136"/>
      <c r="D785" s="136"/>
      <c r="E785" s="136"/>
      <c r="F785" s="136"/>
      <c r="G785" s="136"/>
      <c r="H785" s="136"/>
      <c r="I785" s="140"/>
      <c r="J785" s="136"/>
      <c r="K785" s="136"/>
      <c r="L785" s="136"/>
      <c r="M785" s="136"/>
      <c r="N785" s="136"/>
      <c r="O785" s="136"/>
      <c r="P785" s="136"/>
      <c r="Q785" s="136"/>
      <c r="R785" s="136"/>
      <c r="S785" s="136"/>
      <c r="T785" s="136"/>
      <c r="U785" s="136"/>
      <c r="V785" s="136"/>
      <c r="W785" s="136"/>
      <c r="X785" s="136"/>
      <c r="Y785" s="136"/>
      <c r="Z785" s="136"/>
    </row>
    <row r="786" spans="1:26" ht="14.25" customHeight="1">
      <c r="A786" s="136"/>
      <c r="B786" s="136"/>
      <c r="C786" s="136"/>
      <c r="D786" s="136"/>
      <c r="E786" s="136"/>
      <c r="F786" s="136"/>
      <c r="G786" s="136"/>
      <c r="H786" s="136"/>
      <c r="I786" s="140"/>
      <c r="J786" s="136"/>
      <c r="K786" s="136"/>
      <c r="L786" s="136"/>
      <c r="M786" s="136"/>
      <c r="N786" s="136"/>
      <c r="O786" s="136"/>
      <c r="P786" s="136"/>
      <c r="Q786" s="136"/>
      <c r="R786" s="136"/>
      <c r="S786" s="136"/>
      <c r="T786" s="136"/>
      <c r="U786" s="136"/>
      <c r="V786" s="136"/>
      <c r="W786" s="136"/>
      <c r="X786" s="136"/>
      <c r="Y786" s="136"/>
      <c r="Z786" s="136"/>
    </row>
    <row r="787" spans="1:26" ht="14.25" customHeight="1">
      <c r="A787" s="136"/>
      <c r="B787" s="136"/>
      <c r="C787" s="136"/>
      <c r="D787" s="136"/>
      <c r="E787" s="136"/>
      <c r="F787" s="136"/>
      <c r="G787" s="136"/>
      <c r="H787" s="136"/>
      <c r="I787" s="140"/>
      <c r="J787" s="136"/>
      <c r="K787" s="136"/>
      <c r="L787" s="136"/>
      <c r="M787" s="136"/>
      <c r="N787" s="136"/>
      <c r="O787" s="136"/>
      <c r="P787" s="136"/>
      <c r="Q787" s="136"/>
      <c r="R787" s="136"/>
      <c r="S787" s="136"/>
      <c r="T787" s="136"/>
      <c r="U787" s="136"/>
      <c r="V787" s="136"/>
      <c r="W787" s="136"/>
      <c r="X787" s="136"/>
      <c r="Y787" s="136"/>
      <c r="Z787" s="136"/>
    </row>
    <row r="788" spans="1:26" ht="14.25" customHeight="1">
      <c r="A788" s="136"/>
      <c r="B788" s="136"/>
      <c r="C788" s="136"/>
      <c r="D788" s="136"/>
      <c r="E788" s="136"/>
      <c r="F788" s="136"/>
      <c r="G788" s="136"/>
      <c r="H788" s="136"/>
      <c r="I788" s="140"/>
      <c r="J788" s="136"/>
      <c r="K788" s="136"/>
      <c r="L788" s="136"/>
      <c r="M788" s="136"/>
      <c r="N788" s="136"/>
      <c r="O788" s="136"/>
      <c r="P788" s="136"/>
      <c r="Q788" s="136"/>
      <c r="R788" s="136"/>
      <c r="S788" s="136"/>
      <c r="T788" s="136"/>
      <c r="U788" s="136"/>
      <c r="V788" s="136"/>
      <c r="W788" s="136"/>
      <c r="X788" s="136"/>
      <c r="Y788" s="136"/>
      <c r="Z788" s="136"/>
    </row>
    <row r="789" spans="1:26" ht="14.25" customHeight="1">
      <c r="A789" s="136"/>
      <c r="B789" s="136"/>
      <c r="C789" s="136"/>
      <c r="D789" s="136"/>
      <c r="E789" s="136"/>
      <c r="F789" s="136"/>
      <c r="G789" s="136"/>
      <c r="H789" s="136"/>
      <c r="I789" s="140"/>
      <c r="J789" s="136"/>
      <c r="K789" s="136"/>
      <c r="L789" s="136"/>
      <c r="M789" s="136"/>
      <c r="N789" s="136"/>
      <c r="O789" s="136"/>
      <c r="P789" s="136"/>
      <c r="Q789" s="136"/>
      <c r="R789" s="136"/>
      <c r="S789" s="136"/>
      <c r="T789" s="136"/>
      <c r="U789" s="136"/>
      <c r="V789" s="136"/>
      <c r="W789" s="136"/>
      <c r="X789" s="136"/>
      <c r="Y789" s="136"/>
      <c r="Z789" s="136"/>
    </row>
    <row r="790" spans="1:26" ht="14.25" customHeight="1">
      <c r="A790" s="136"/>
      <c r="B790" s="136"/>
      <c r="C790" s="136"/>
      <c r="D790" s="136"/>
      <c r="E790" s="136"/>
      <c r="F790" s="136"/>
      <c r="G790" s="136"/>
      <c r="H790" s="136"/>
      <c r="I790" s="140"/>
      <c r="J790" s="136"/>
      <c r="K790" s="136"/>
      <c r="L790" s="136"/>
      <c r="M790" s="136"/>
      <c r="N790" s="136"/>
      <c r="O790" s="136"/>
      <c r="P790" s="136"/>
      <c r="Q790" s="136"/>
      <c r="R790" s="136"/>
      <c r="S790" s="136"/>
      <c r="T790" s="136"/>
      <c r="U790" s="136"/>
      <c r="V790" s="136"/>
      <c r="W790" s="136"/>
      <c r="X790" s="136"/>
      <c r="Y790" s="136"/>
      <c r="Z790" s="136"/>
    </row>
    <row r="791" spans="1:26" ht="14.25" customHeight="1">
      <c r="A791" s="136"/>
      <c r="B791" s="136"/>
      <c r="C791" s="136"/>
      <c r="D791" s="136"/>
      <c r="E791" s="136"/>
      <c r="F791" s="136"/>
      <c r="G791" s="136"/>
      <c r="H791" s="136"/>
      <c r="I791" s="140"/>
      <c r="J791" s="136"/>
      <c r="K791" s="136"/>
      <c r="L791" s="136"/>
      <c r="M791" s="136"/>
      <c r="N791" s="136"/>
      <c r="O791" s="136"/>
      <c r="P791" s="136"/>
      <c r="Q791" s="136"/>
      <c r="R791" s="136"/>
      <c r="S791" s="136"/>
      <c r="T791" s="136"/>
      <c r="U791" s="136"/>
      <c r="V791" s="136"/>
      <c r="W791" s="136"/>
      <c r="X791" s="136"/>
      <c r="Y791" s="136"/>
      <c r="Z791" s="136"/>
    </row>
    <row r="792" spans="1:26" ht="14.25" customHeight="1">
      <c r="A792" s="136"/>
      <c r="B792" s="136"/>
      <c r="C792" s="136"/>
      <c r="D792" s="136"/>
      <c r="E792" s="136"/>
      <c r="F792" s="136"/>
      <c r="G792" s="136"/>
      <c r="H792" s="136"/>
      <c r="I792" s="140"/>
      <c r="J792" s="136"/>
      <c r="K792" s="136"/>
      <c r="L792" s="136"/>
      <c r="M792" s="136"/>
      <c r="N792" s="136"/>
      <c r="O792" s="136"/>
      <c r="P792" s="136"/>
      <c r="Q792" s="136"/>
      <c r="R792" s="136"/>
      <c r="S792" s="136"/>
      <c r="T792" s="136"/>
      <c r="U792" s="136"/>
      <c r="V792" s="136"/>
      <c r="W792" s="136"/>
      <c r="X792" s="136"/>
      <c r="Y792" s="136"/>
      <c r="Z792" s="136"/>
    </row>
    <row r="793" spans="1:26" ht="14.25" customHeight="1">
      <c r="A793" s="136"/>
      <c r="B793" s="136"/>
      <c r="C793" s="136"/>
      <c r="D793" s="136"/>
      <c r="E793" s="136"/>
      <c r="F793" s="136"/>
      <c r="G793" s="136"/>
      <c r="H793" s="136"/>
      <c r="I793" s="140"/>
      <c r="J793" s="136"/>
      <c r="K793" s="136"/>
      <c r="L793" s="136"/>
      <c r="M793" s="136"/>
      <c r="N793" s="136"/>
      <c r="O793" s="136"/>
      <c r="P793" s="136"/>
      <c r="Q793" s="136"/>
      <c r="R793" s="136"/>
      <c r="S793" s="136"/>
      <c r="T793" s="136"/>
      <c r="U793" s="136"/>
      <c r="V793" s="136"/>
      <c r="W793" s="136"/>
      <c r="X793" s="136"/>
      <c r="Y793" s="136"/>
      <c r="Z793" s="136"/>
    </row>
    <row r="794" spans="1:26" ht="14.25" customHeight="1">
      <c r="A794" s="136"/>
      <c r="B794" s="136"/>
      <c r="C794" s="136"/>
      <c r="D794" s="136"/>
      <c r="E794" s="136"/>
      <c r="F794" s="136"/>
      <c r="G794" s="136"/>
      <c r="H794" s="136"/>
      <c r="I794" s="140"/>
      <c r="J794" s="136"/>
      <c r="K794" s="136"/>
      <c r="L794" s="136"/>
      <c r="M794" s="136"/>
      <c r="N794" s="136"/>
      <c r="O794" s="136"/>
      <c r="P794" s="136"/>
      <c r="Q794" s="136"/>
      <c r="R794" s="136"/>
      <c r="S794" s="136"/>
      <c r="T794" s="136"/>
      <c r="U794" s="136"/>
      <c r="V794" s="136"/>
      <c r="W794" s="136"/>
      <c r="X794" s="136"/>
      <c r="Y794" s="136"/>
      <c r="Z794" s="136"/>
    </row>
    <row r="795" spans="1:26" ht="14.25" customHeight="1">
      <c r="A795" s="136"/>
      <c r="B795" s="136"/>
      <c r="C795" s="136"/>
      <c r="D795" s="136"/>
      <c r="E795" s="136"/>
      <c r="F795" s="136"/>
      <c r="G795" s="136"/>
      <c r="H795" s="136"/>
      <c r="I795" s="140"/>
      <c r="J795" s="136"/>
      <c r="K795" s="136"/>
      <c r="L795" s="136"/>
      <c r="M795" s="136"/>
      <c r="N795" s="136"/>
      <c r="O795" s="136"/>
      <c r="P795" s="136"/>
      <c r="Q795" s="136"/>
      <c r="R795" s="136"/>
      <c r="S795" s="136"/>
      <c r="T795" s="136"/>
      <c r="U795" s="136"/>
      <c r="V795" s="136"/>
      <c r="W795" s="136"/>
      <c r="X795" s="136"/>
      <c r="Y795" s="136"/>
      <c r="Z795" s="136"/>
    </row>
    <row r="796" spans="1:26" ht="14.25" customHeight="1">
      <c r="A796" s="136"/>
      <c r="B796" s="136"/>
      <c r="C796" s="136"/>
      <c r="D796" s="136"/>
      <c r="E796" s="136"/>
      <c r="F796" s="136"/>
      <c r="G796" s="136"/>
      <c r="H796" s="136"/>
      <c r="I796" s="140"/>
      <c r="J796" s="136"/>
      <c r="K796" s="136"/>
      <c r="L796" s="136"/>
      <c r="M796" s="136"/>
      <c r="N796" s="136"/>
      <c r="O796" s="136"/>
      <c r="P796" s="136"/>
      <c r="Q796" s="136"/>
      <c r="R796" s="136"/>
      <c r="S796" s="136"/>
      <c r="T796" s="136"/>
      <c r="U796" s="136"/>
      <c r="V796" s="136"/>
      <c r="W796" s="136"/>
      <c r="X796" s="136"/>
      <c r="Y796" s="136"/>
      <c r="Z796" s="136"/>
    </row>
    <row r="797" spans="1:26" ht="14.25" customHeight="1">
      <c r="A797" s="136"/>
      <c r="B797" s="136"/>
      <c r="C797" s="136"/>
      <c r="D797" s="136"/>
      <c r="E797" s="136"/>
      <c r="F797" s="136"/>
      <c r="G797" s="136"/>
      <c r="H797" s="136"/>
      <c r="I797" s="140"/>
      <c r="J797" s="136"/>
      <c r="K797" s="136"/>
      <c r="L797" s="136"/>
      <c r="M797" s="136"/>
      <c r="N797" s="136"/>
      <c r="O797" s="136"/>
      <c r="P797" s="136"/>
      <c r="Q797" s="136"/>
      <c r="R797" s="136"/>
      <c r="S797" s="136"/>
      <c r="T797" s="136"/>
      <c r="U797" s="136"/>
      <c r="V797" s="136"/>
      <c r="W797" s="136"/>
      <c r="X797" s="136"/>
      <c r="Y797" s="136"/>
      <c r="Z797" s="136"/>
    </row>
    <row r="798" spans="1:26" ht="14.25" customHeight="1">
      <c r="A798" s="136"/>
      <c r="B798" s="136"/>
      <c r="C798" s="136"/>
      <c r="D798" s="136"/>
      <c r="E798" s="136"/>
      <c r="F798" s="136"/>
      <c r="G798" s="136"/>
      <c r="H798" s="136"/>
      <c r="I798" s="140"/>
      <c r="J798" s="136"/>
      <c r="K798" s="136"/>
      <c r="L798" s="136"/>
      <c r="M798" s="136"/>
      <c r="N798" s="136"/>
      <c r="O798" s="136"/>
      <c r="P798" s="136"/>
      <c r="Q798" s="136"/>
      <c r="R798" s="136"/>
      <c r="S798" s="136"/>
      <c r="T798" s="136"/>
      <c r="U798" s="136"/>
      <c r="V798" s="136"/>
      <c r="W798" s="136"/>
      <c r="X798" s="136"/>
      <c r="Y798" s="136"/>
      <c r="Z798" s="136"/>
    </row>
    <row r="799" spans="1:26" ht="14.25" customHeight="1">
      <c r="A799" s="136"/>
      <c r="B799" s="136"/>
      <c r="C799" s="136"/>
      <c r="D799" s="136"/>
      <c r="E799" s="136"/>
      <c r="F799" s="136"/>
      <c r="G799" s="136"/>
      <c r="H799" s="136"/>
      <c r="I799" s="140"/>
      <c r="J799" s="136"/>
      <c r="K799" s="136"/>
      <c r="L799" s="136"/>
      <c r="M799" s="136"/>
      <c r="N799" s="136"/>
      <c r="O799" s="136"/>
      <c r="P799" s="136"/>
      <c r="Q799" s="136"/>
      <c r="R799" s="136"/>
      <c r="S799" s="136"/>
      <c r="T799" s="136"/>
      <c r="U799" s="136"/>
      <c r="V799" s="136"/>
      <c r="W799" s="136"/>
      <c r="X799" s="136"/>
      <c r="Y799" s="136"/>
      <c r="Z799" s="136"/>
    </row>
    <row r="800" spans="1:26" ht="14.25" customHeight="1">
      <c r="A800" s="136"/>
      <c r="B800" s="136"/>
      <c r="C800" s="136"/>
      <c r="D800" s="136"/>
      <c r="E800" s="136"/>
      <c r="F800" s="136"/>
      <c r="G800" s="136"/>
      <c r="H800" s="136"/>
      <c r="I800" s="140"/>
      <c r="J800" s="136"/>
      <c r="K800" s="136"/>
      <c r="L800" s="136"/>
      <c r="M800" s="136"/>
      <c r="N800" s="136"/>
      <c r="O800" s="136"/>
      <c r="P800" s="136"/>
      <c r="Q800" s="136"/>
      <c r="R800" s="136"/>
      <c r="S800" s="136"/>
      <c r="T800" s="136"/>
      <c r="U800" s="136"/>
      <c r="V800" s="136"/>
      <c r="W800" s="136"/>
      <c r="X800" s="136"/>
      <c r="Y800" s="136"/>
      <c r="Z800" s="136"/>
    </row>
    <row r="801" spans="1:26" ht="14.25" customHeight="1">
      <c r="A801" s="136"/>
      <c r="B801" s="136"/>
      <c r="C801" s="136"/>
      <c r="D801" s="136"/>
      <c r="E801" s="136"/>
      <c r="F801" s="136"/>
      <c r="G801" s="136"/>
      <c r="H801" s="136"/>
      <c r="I801" s="140"/>
      <c r="J801" s="136"/>
      <c r="K801" s="136"/>
      <c r="L801" s="136"/>
      <c r="M801" s="136"/>
      <c r="N801" s="136"/>
      <c r="O801" s="136"/>
      <c r="P801" s="136"/>
      <c r="Q801" s="136"/>
      <c r="R801" s="136"/>
      <c r="S801" s="136"/>
      <c r="T801" s="136"/>
      <c r="U801" s="136"/>
      <c r="V801" s="136"/>
      <c r="W801" s="136"/>
      <c r="X801" s="136"/>
      <c r="Y801" s="136"/>
      <c r="Z801" s="136"/>
    </row>
    <row r="802" spans="1:26" ht="14.25" customHeight="1">
      <c r="A802" s="136"/>
      <c r="B802" s="136"/>
      <c r="C802" s="136"/>
      <c r="D802" s="136"/>
      <c r="E802" s="136"/>
      <c r="F802" s="136"/>
      <c r="G802" s="136"/>
      <c r="H802" s="136"/>
      <c r="I802" s="140"/>
      <c r="J802" s="136"/>
      <c r="K802" s="136"/>
      <c r="L802" s="136"/>
      <c r="M802" s="136"/>
      <c r="N802" s="136"/>
      <c r="O802" s="136"/>
      <c r="P802" s="136"/>
      <c r="Q802" s="136"/>
      <c r="R802" s="136"/>
      <c r="S802" s="136"/>
      <c r="T802" s="136"/>
      <c r="U802" s="136"/>
      <c r="V802" s="136"/>
      <c r="W802" s="136"/>
      <c r="X802" s="136"/>
      <c r="Y802" s="136"/>
      <c r="Z802" s="136"/>
    </row>
    <row r="803" spans="1:26" ht="14.25" customHeight="1">
      <c r="A803" s="136"/>
      <c r="B803" s="136"/>
      <c r="C803" s="136"/>
      <c r="D803" s="136"/>
      <c r="E803" s="136"/>
      <c r="F803" s="136"/>
      <c r="G803" s="136"/>
      <c r="H803" s="136"/>
      <c r="I803" s="140"/>
      <c r="J803" s="136"/>
      <c r="K803" s="136"/>
      <c r="L803" s="136"/>
      <c r="M803" s="136"/>
      <c r="N803" s="136"/>
      <c r="O803" s="136"/>
      <c r="P803" s="136"/>
      <c r="Q803" s="136"/>
      <c r="R803" s="136"/>
      <c r="S803" s="136"/>
      <c r="T803" s="136"/>
      <c r="U803" s="136"/>
      <c r="V803" s="136"/>
      <c r="W803" s="136"/>
      <c r="X803" s="136"/>
      <c r="Y803" s="136"/>
      <c r="Z803" s="136"/>
    </row>
    <row r="804" spans="1:26" ht="14.25" customHeight="1">
      <c r="A804" s="136"/>
      <c r="B804" s="136"/>
      <c r="C804" s="136"/>
      <c r="D804" s="136"/>
      <c r="E804" s="136"/>
      <c r="F804" s="136"/>
      <c r="G804" s="136"/>
      <c r="H804" s="136"/>
      <c r="I804" s="140"/>
      <c r="J804" s="136"/>
      <c r="K804" s="136"/>
      <c r="L804" s="136"/>
      <c r="M804" s="136"/>
      <c r="N804" s="136"/>
      <c r="O804" s="136"/>
      <c r="P804" s="136"/>
      <c r="Q804" s="136"/>
      <c r="R804" s="136"/>
      <c r="S804" s="136"/>
      <c r="T804" s="136"/>
      <c r="U804" s="136"/>
      <c r="V804" s="136"/>
      <c r="W804" s="136"/>
      <c r="X804" s="136"/>
      <c r="Y804" s="136"/>
      <c r="Z804" s="136"/>
    </row>
    <row r="805" spans="1:26" ht="14.25" customHeight="1">
      <c r="A805" s="136"/>
      <c r="B805" s="136"/>
      <c r="C805" s="136"/>
      <c r="D805" s="136"/>
      <c r="E805" s="136"/>
      <c r="F805" s="136"/>
      <c r="G805" s="136"/>
      <c r="H805" s="136"/>
      <c r="I805" s="140"/>
      <c r="J805" s="136"/>
      <c r="K805" s="136"/>
      <c r="L805" s="136"/>
      <c r="M805" s="136"/>
      <c r="N805" s="136"/>
      <c r="O805" s="136"/>
      <c r="P805" s="136"/>
      <c r="Q805" s="136"/>
      <c r="R805" s="136"/>
      <c r="S805" s="136"/>
      <c r="T805" s="136"/>
      <c r="U805" s="136"/>
      <c r="V805" s="136"/>
      <c r="W805" s="136"/>
      <c r="X805" s="136"/>
      <c r="Y805" s="136"/>
      <c r="Z805" s="136"/>
    </row>
    <row r="806" spans="1:26" ht="14.25" customHeight="1">
      <c r="A806" s="136"/>
      <c r="B806" s="136"/>
      <c r="C806" s="136"/>
      <c r="D806" s="136"/>
      <c r="E806" s="136"/>
      <c r="F806" s="136"/>
      <c r="G806" s="136"/>
      <c r="H806" s="136"/>
      <c r="I806" s="140"/>
      <c r="J806" s="136"/>
      <c r="K806" s="136"/>
      <c r="L806" s="136"/>
      <c r="M806" s="136"/>
      <c r="N806" s="136"/>
      <c r="O806" s="136"/>
      <c r="P806" s="136"/>
      <c r="Q806" s="136"/>
      <c r="R806" s="136"/>
      <c r="S806" s="136"/>
      <c r="T806" s="136"/>
      <c r="U806" s="136"/>
      <c r="V806" s="136"/>
      <c r="W806" s="136"/>
      <c r="X806" s="136"/>
      <c r="Y806" s="136"/>
      <c r="Z806" s="136"/>
    </row>
    <row r="807" spans="1:26" ht="14.25" customHeight="1">
      <c r="A807" s="136"/>
      <c r="B807" s="136"/>
      <c r="C807" s="136"/>
      <c r="D807" s="136"/>
      <c r="E807" s="136"/>
      <c r="F807" s="136"/>
      <c r="G807" s="136"/>
      <c r="H807" s="136"/>
      <c r="I807" s="140"/>
      <c r="J807" s="136"/>
      <c r="K807" s="136"/>
      <c r="L807" s="136"/>
      <c r="M807" s="136"/>
      <c r="N807" s="136"/>
      <c r="O807" s="136"/>
      <c r="P807" s="136"/>
      <c r="Q807" s="136"/>
      <c r="R807" s="136"/>
      <c r="S807" s="136"/>
      <c r="T807" s="136"/>
      <c r="U807" s="136"/>
      <c r="V807" s="136"/>
      <c r="W807" s="136"/>
      <c r="X807" s="136"/>
      <c r="Y807" s="136"/>
      <c r="Z807" s="136"/>
    </row>
    <row r="808" spans="1:26" ht="14.25" customHeight="1">
      <c r="A808" s="136"/>
      <c r="B808" s="136"/>
      <c r="C808" s="136"/>
      <c r="D808" s="136"/>
      <c r="E808" s="136"/>
      <c r="F808" s="136"/>
      <c r="G808" s="136"/>
      <c r="H808" s="136"/>
      <c r="I808" s="140"/>
      <c r="J808" s="136"/>
      <c r="K808" s="136"/>
      <c r="L808" s="136"/>
      <c r="M808" s="136"/>
      <c r="N808" s="136"/>
      <c r="O808" s="136"/>
      <c r="P808" s="136"/>
      <c r="Q808" s="136"/>
      <c r="R808" s="136"/>
      <c r="S808" s="136"/>
      <c r="T808" s="136"/>
      <c r="U808" s="136"/>
      <c r="V808" s="136"/>
      <c r="W808" s="136"/>
      <c r="X808" s="136"/>
      <c r="Y808" s="136"/>
      <c r="Z808" s="136"/>
    </row>
    <row r="809" spans="1:26" ht="14.25" customHeight="1">
      <c r="A809" s="136"/>
      <c r="B809" s="136"/>
      <c r="C809" s="136"/>
      <c r="D809" s="136"/>
      <c r="E809" s="136"/>
      <c r="F809" s="136"/>
      <c r="G809" s="136"/>
      <c r="H809" s="136"/>
      <c r="I809" s="140"/>
      <c r="J809" s="136"/>
      <c r="K809" s="136"/>
      <c r="L809" s="136"/>
      <c r="M809" s="136"/>
      <c r="N809" s="136"/>
      <c r="O809" s="136"/>
      <c r="P809" s="136"/>
      <c r="Q809" s="136"/>
      <c r="R809" s="136"/>
      <c r="S809" s="136"/>
      <c r="T809" s="136"/>
      <c r="U809" s="136"/>
      <c r="V809" s="136"/>
      <c r="W809" s="136"/>
      <c r="X809" s="136"/>
      <c r="Y809" s="136"/>
      <c r="Z809" s="136"/>
    </row>
    <row r="810" spans="1:26" ht="14.25" customHeight="1">
      <c r="A810" s="136"/>
      <c r="B810" s="136"/>
      <c r="C810" s="136"/>
      <c r="D810" s="136"/>
      <c r="E810" s="136"/>
      <c r="F810" s="136"/>
      <c r="G810" s="136"/>
      <c r="H810" s="136"/>
      <c r="I810" s="140"/>
      <c r="J810" s="136"/>
      <c r="K810" s="136"/>
      <c r="L810" s="136"/>
      <c r="M810" s="136"/>
      <c r="N810" s="136"/>
      <c r="O810" s="136"/>
      <c r="P810" s="136"/>
      <c r="Q810" s="136"/>
      <c r="R810" s="136"/>
      <c r="S810" s="136"/>
      <c r="T810" s="136"/>
      <c r="U810" s="136"/>
      <c r="V810" s="136"/>
      <c r="W810" s="136"/>
      <c r="X810" s="136"/>
      <c r="Y810" s="136"/>
      <c r="Z810" s="136"/>
    </row>
    <row r="811" spans="1:26" ht="14.25" customHeight="1">
      <c r="A811" s="136"/>
      <c r="B811" s="136"/>
      <c r="C811" s="136"/>
      <c r="D811" s="136"/>
      <c r="E811" s="136"/>
      <c r="F811" s="136"/>
      <c r="G811" s="136"/>
      <c r="H811" s="136"/>
      <c r="I811" s="140"/>
      <c r="J811" s="136"/>
      <c r="K811" s="136"/>
      <c r="L811" s="136"/>
      <c r="M811" s="136"/>
      <c r="N811" s="136"/>
      <c r="O811" s="136"/>
      <c r="P811" s="136"/>
      <c r="Q811" s="136"/>
      <c r="R811" s="136"/>
      <c r="S811" s="136"/>
      <c r="T811" s="136"/>
      <c r="U811" s="136"/>
      <c r="V811" s="136"/>
      <c r="W811" s="136"/>
      <c r="X811" s="136"/>
      <c r="Y811" s="136"/>
      <c r="Z811" s="136"/>
    </row>
    <row r="812" spans="1:26" ht="14.25" customHeight="1">
      <c r="A812" s="136"/>
      <c r="B812" s="136"/>
      <c r="C812" s="136"/>
      <c r="D812" s="136"/>
      <c r="E812" s="136"/>
      <c r="F812" s="136"/>
      <c r="G812" s="136"/>
      <c r="H812" s="136"/>
      <c r="I812" s="140"/>
      <c r="J812" s="136"/>
      <c r="K812" s="136"/>
      <c r="L812" s="136"/>
      <c r="M812" s="136"/>
      <c r="N812" s="136"/>
      <c r="O812" s="136"/>
      <c r="P812" s="136"/>
      <c r="Q812" s="136"/>
      <c r="R812" s="136"/>
      <c r="S812" s="136"/>
      <c r="T812" s="136"/>
      <c r="U812" s="136"/>
      <c r="V812" s="136"/>
      <c r="W812" s="136"/>
      <c r="X812" s="136"/>
      <c r="Y812" s="136"/>
      <c r="Z812" s="136"/>
    </row>
    <row r="813" spans="1:26" ht="14.25" customHeight="1">
      <c r="A813" s="136"/>
      <c r="B813" s="136"/>
      <c r="C813" s="136"/>
      <c r="D813" s="136"/>
      <c r="E813" s="136"/>
      <c r="F813" s="136"/>
      <c r="G813" s="136"/>
      <c r="H813" s="136"/>
      <c r="I813" s="140"/>
      <c r="J813" s="136"/>
      <c r="K813" s="136"/>
      <c r="L813" s="136"/>
      <c r="M813" s="136"/>
      <c r="N813" s="136"/>
      <c r="O813" s="136"/>
      <c r="P813" s="136"/>
      <c r="Q813" s="136"/>
      <c r="R813" s="136"/>
      <c r="S813" s="136"/>
      <c r="T813" s="136"/>
      <c r="U813" s="136"/>
      <c r="V813" s="136"/>
      <c r="W813" s="136"/>
      <c r="X813" s="136"/>
      <c r="Y813" s="136"/>
      <c r="Z813" s="136"/>
    </row>
    <row r="814" spans="1:26" ht="14.25" customHeight="1">
      <c r="A814" s="136"/>
      <c r="B814" s="136"/>
      <c r="C814" s="136"/>
      <c r="D814" s="136"/>
      <c r="E814" s="136"/>
      <c r="F814" s="136"/>
      <c r="G814" s="136"/>
      <c r="H814" s="136"/>
      <c r="I814" s="140"/>
      <c r="J814" s="136"/>
      <c r="K814" s="136"/>
      <c r="L814" s="136"/>
      <c r="M814" s="136"/>
      <c r="N814" s="136"/>
      <c r="O814" s="136"/>
      <c r="P814" s="136"/>
      <c r="Q814" s="136"/>
      <c r="R814" s="136"/>
      <c r="S814" s="136"/>
      <c r="T814" s="136"/>
      <c r="U814" s="136"/>
      <c r="V814" s="136"/>
      <c r="W814" s="136"/>
      <c r="X814" s="136"/>
      <c r="Y814" s="136"/>
      <c r="Z814" s="136"/>
    </row>
    <row r="815" spans="1:26" ht="14.25" customHeight="1">
      <c r="A815" s="136"/>
      <c r="B815" s="136"/>
      <c r="C815" s="136"/>
      <c r="D815" s="136"/>
      <c r="E815" s="136"/>
      <c r="F815" s="136"/>
      <c r="G815" s="136"/>
      <c r="H815" s="136"/>
      <c r="I815" s="140"/>
      <c r="J815" s="136"/>
      <c r="K815" s="136"/>
      <c r="L815" s="136"/>
      <c r="M815" s="136"/>
      <c r="N815" s="136"/>
      <c r="O815" s="136"/>
      <c r="P815" s="136"/>
      <c r="Q815" s="136"/>
      <c r="R815" s="136"/>
      <c r="S815" s="136"/>
      <c r="T815" s="136"/>
      <c r="U815" s="136"/>
      <c r="V815" s="136"/>
      <c r="W815" s="136"/>
      <c r="X815" s="136"/>
      <c r="Y815" s="136"/>
      <c r="Z815" s="136"/>
    </row>
    <row r="816" spans="1:26" ht="14.25" customHeight="1">
      <c r="A816" s="136"/>
      <c r="B816" s="136"/>
      <c r="C816" s="136"/>
      <c r="D816" s="136"/>
      <c r="E816" s="136"/>
      <c r="F816" s="136"/>
      <c r="G816" s="136"/>
      <c r="H816" s="136"/>
      <c r="I816" s="140"/>
      <c r="J816" s="136"/>
      <c r="K816" s="136"/>
      <c r="L816" s="136"/>
      <c r="M816" s="136"/>
      <c r="N816" s="136"/>
      <c r="O816" s="136"/>
      <c r="P816" s="136"/>
      <c r="Q816" s="136"/>
      <c r="R816" s="136"/>
      <c r="S816" s="136"/>
      <c r="T816" s="136"/>
      <c r="U816" s="136"/>
      <c r="V816" s="136"/>
      <c r="W816" s="136"/>
      <c r="X816" s="136"/>
      <c r="Y816" s="136"/>
      <c r="Z816" s="136"/>
    </row>
    <row r="817" spans="1:26" ht="14.25" customHeight="1">
      <c r="A817" s="136"/>
      <c r="B817" s="136"/>
      <c r="C817" s="136"/>
      <c r="D817" s="136"/>
      <c r="E817" s="136"/>
      <c r="F817" s="136"/>
      <c r="G817" s="136"/>
      <c r="H817" s="136"/>
      <c r="I817" s="140"/>
      <c r="J817" s="136"/>
      <c r="K817" s="136"/>
      <c r="L817" s="136"/>
      <c r="M817" s="136"/>
      <c r="N817" s="136"/>
      <c r="O817" s="136"/>
      <c r="P817" s="136"/>
      <c r="Q817" s="136"/>
      <c r="R817" s="136"/>
      <c r="S817" s="136"/>
      <c r="T817" s="136"/>
      <c r="U817" s="136"/>
      <c r="V817" s="136"/>
      <c r="W817" s="136"/>
      <c r="X817" s="136"/>
      <c r="Y817" s="136"/>
      <c r="Z817" s="136"/>
    </row>
    <row r="818" spans="1:26" ht="14.25" customHeight="1">
      <c r="A818" s="136"/>
      <c r="B818" s="136"/>
      <c r="C818" s="136"/>
      <c r="D818" s="136"/>
      <c r="E818" s="136"/>
      <c r="F818" s="136"/>
      <c r="G818" s="136"/>
      <c r="H818" s="136"/>
      <c r="I818" s="140"/>
      <c r="J818" s="136"/>
      <c r="K818" s="136"/>
      <c r="L818" s="136"/>
      <c r="M818" s="136"/>
      <c r="N818" s="136"/>
      <c r="O818" s="136"/>
      <c r="P818" s="136"/>
      <c r="Q818" s="136"/>
      <c r="R818" s="136"/>
      <c r="S818" s="136"/>
      <c r="T818" s="136"/>
      <c r="U818" s="136"/>
      <c r="V818" s="136"/>
      <c r="W818" s="136"/>
      <c r="X818" s="136"/>
      <c r="Y818" s="136"/>
      <c r="Z818" s="136"/>
    </row>
    <row r="819" spans="1:26" ht="14.25" customHeight="1">
      <c r="A819" s="136"/>
      <c r="B819" s="136"/>
      <c r="C819" s="136"/>
      <c r="D819" s="136"/>
      <c r="E819" s="136"/>
      <c r="F819" s="136"/>
      <c r="G819" s="136"/>
      <c r="H819" s="136"/>
      <c r="I819" s="140"/>
      <c r="J819" s="136"/>
      <c r="K819" s="136"/>
      <c r="L819" s="136"/>
      <c r="M819" s="136"/>
      <c r="N819" s="136"/>
      <c r="O819" s="136"/>
      <c r="P819" s="136"/>
      <c r="Q819" s="136"/>
      <c r="R819" s="136"/>
      <c r="S819" s="136"/>
      <c r="T819" s="136"/>
      <c r="U819" s="136"/>
      <c r="V819" s="136"/>
      <c r="W819" s="136"/>
      <c r="X819" s="136"/>
      <c r="Y819" s="136"/>
      <c r="Z819" s="136"/>
    </row>
    <row r="820" spans="1:26" ht="14.25" customHeight="1">
      <c r="A820" s="136"/>
      <c r="B820" s="136"/>
      <c r="C820" s="136"/>
      <c r="D820" s="136"/>
      <c r="E820" s="136"/>
      <c r="F820" s="136"/>
      <c r="G820" s="136"/>
      <c r="H820" s="136"/>
      <c r="I820" s="140"/>
      <c r="J820" s="136"/>
      <c r="K820" s="136"/>
      <c r="L820" s="136"/>
      <c r="M820" s="136"/>
      <c r="N820" s="136"/>
      <c r="O820" s="136"/>
      <c r="P820" s="136"/>
      <c r="Q820" s="136"/>
      <c r="R820" s="136"/>
      <c r="S820" s="136"/>
      <c r="T820" s="136"/>
      <c r="U820" s="136"/>
      <c r="V820" s="136"/>
      <c r="W820" s="136"/>
      <c r="X820" s="136"/>
      <c r="Y820" s="136"/>
      <c r="Z820" s="136"/>
    </row>
    <row r="821" spans="1:26" ht="14.25" customHeight="1">
      <c r="A821" s="136"/>
      <c r="B821" s="136"/>
      <c r="C821" s="136"/>
      <c r="D821" s="136"/>
      <c r="E821" s="136"/>
      <c r="F821" s="136"/>
      <c r="G821" s="136"/>
      <c r="H821" s="136"/>
      <c r="I821" s="140"/>
      <c r="J821" s="136"/>
      <c r="K821" s="136"/>
      <c r="L821" s="136"/>
      <c r="M821" s="136"/>
      <c r="N821" s="136"/>
      <c r="O821" s="136"/>
      <c r="P821" s="136"/>
      <c r="Q821" s="136"/>
      <c r="R821" s="136"/>
      <c r="S821" s="136"/>
      <c r="T821" s="136"/>
      <c r="U821" s="136"/>
      <c r="V821" s="136"/>
      <c r="W821" s="136"/>
      <c r="X821" s="136"/>
      <c r="Y821" s="136"/>
      <c r="Z821" s="136"/>
    </row>
    <row r="822" spans="1:26" ht="14.25" customHeight="1">
      <c r="A822" s="136"/>
      <c r="B822" s="136"/>
      <c r="C822" s="136"/>
      <c r="D822" s="136"/>
      <c r="E822" s="136"/>
      <c r="F822" s="136"/>
      <c r="G822" s="136"/>
      <c r="H822" s="136"/>
      <c r="I822" s="140"/>
      <c r="J822" s="136"/>
      <c r="K822" s="136"/>
      <c r="L822" s="136"/>
      <c r="M822" s="136"/>
      <c r="N822" s="136"/>
      <c r="O822" s="136"/>
      <c r="P822" s="136"/>
      <c r="Q822" s="136"/>
      <c r="R822" s="136"/>
      <c r="S822" s="136"/>
      <c r="T822" s="136"/>
      <c r="U822" s="136"/>
      <c r="V822" s="136"/>
      <c r="W822" s="136"/>
      <c r="X822" s="136"/>
      <c r="Y822" s="136"/>
      <c r="Z822" s="136"/>
    </row>
    <row r="823" spans="1:26" ht="14.25" customHeight="1">
      <c r="A823" s="136"/>
      <c r="B823" s="136"/>
      <c r="C823" s="136"/>
      <c r="D823" s="136"/>
      <c r="E823" s="136"/>
      <c r="F823" s="136"/>
      <c r="G823" s="136"/>
      <c r="H823" s="136"/>
      <c r="I823" s="140"/>
      <c r="J823" s="136"/>
      <c r="K823" s="136"/>
      <c r="L823" s="136"/>
      <c r="M823" s="136"/>
      <c r="N823" s="136"/>
      <c r="O823" s="136"/>
      <c r="P823" s="136"/>
      <c r="Q823" s="136"/>
      <c r="R823" s="136"/>
      <c r="S823" s="136"/>
      <c r="T823" s="136"/>
      <c r="U823" s="136"/>
      <c r="V823" s="136"/>
      <c r="W823" s="136"/>
      <c r="X823" s="136"/>
      <c r="Y823" s="136"/>
      <c r="Z823" s="136"/>
    </row>
    <row r="824" spans="1:26" ht="14.25" customHeight="1">
      <c r="A824" s="136"/>
      <c r="B824" s="136"/>
      <c r="C824" s="136"/>
      <c r="D824" s="136"/>
      <c r="E824" s="136"/>
      <c r="F824" s="136"/>
      <c r="G824" s="136"/>
      <c r="H824" s="136"/>
      <c r="I824" s="140"/>
      <c r="J824" s="136"/>
      <c r="K824" s="136"/>
      <c r="L824" s="136"/>
      <c r="M824" s="136"/>
      <c r="N824" s="136"/>
      <c r="O824" s="136"/>
      <c r="P824" s="136"/>
      <c r="Q824" s="136"/>
      <c r="R824" s="136"/>
      <c r="S824" s="136"/>
      <c r="T824" s="136"/>
      <c r="U824" s="136"/>
      <c r="V824" s="136"/>
      <c r="W824" s="136"/>
      <c r="X824" s="136"/>
      <c r="Y824" s="136"/>
      <c r="Z824" s="136"/>
    </row>
    <row r="825" spans="1:26" ht="14.25" customHeight="1">
      <c r="A825" s="136"/>
      <c r="B825" s="136"/>
      <c r="C825" s="136"/>
      <c r="D825" s="136"/>
      <c r="E825" s="136"/>
      <c r="F825" s="136"/>
      <c r="G825" s="136"/>
      <c r="H825" s="136"/>
      <c r="I825" s="140"/>
      <c r="J825" s="136"/>
      <c r="K825" s="136"/>
      <c r="L825" s="136"/>
      <c r="M825" s="136"/>
      <c r="N825" s="136"/>
      <c r="O825" s="136"/>
      <c r="P825" s="136"/>
      <c r="Q825" s="136"/>
      <c r="R825" s="136"/>
      <c r="S825" s="136"/>
      <c r="T825" s="136"/>
      <c r="U825" s="136"/>
      <c r="V825" s="136"/>
      <c r="W825" s="136"/>
      <c r="X825" s="136"/>
      <c r="Y825" s="136"/>
      <c r="Z825" s="136"/>
    </row>
    <row r="826" spans="1:26" ht="14.25" customHeight="1">
      <c r="A826" s="136"/>
      <c r="B826" s="136"/>
      <c r="C826" s="136"/>
      <c r="D826" s="136"/>
      <c r="E826" s="136"/>
      <c r="F826" s="136"/>
      <c r="G826" s="136"/>
      <c r="H826" s="136"/>
      <c r="I826" s="140"/>
      <c r="J826" s="136"/>
      <c r="K826" s="136"/>
      <c r="L826" s="136"/>
      <c r="M826" s="136"/>
      <c r="N826" s="136"/>
      <c r="O826" s="136"/>
      <c r="P826" s="136"/>
      <c r="Q826" s="136"/>
      <c r="R826" s="136"/>
      <c r="S826" s="136"/>
      <c r="T826" s="136"/>
      <c r="U826" s="136"/>
      <c r="V826" s="136"/>
      <c r="W826" s="136"/>
      <c r="X826" s="136"/>
      <c r="Y826" s="136"/>
      <c r="Z826" s="136"/>
    </row>
    <row r="827" spans="1:26" ht="14.25" customHeight="1">
      <c r="A827" s="136"/>
      <c r="B827" s="136"/>
      <c r="C827" s="136"/>
      <c r="D827" s="136"/>
      <c r="E827" s="136"/>
      <c r="F827" s="136"/>
      <c r="G827" s="136"/>
      <c r="H827" s="136"/>
      <c r="I827" s="140"/>
      <c r="J827" s="136"/>
      <c r="K827" s="136"/>
      <c r="L827" s="136"/>
      <c r="M827" s="136"/>
      <c r="N827" s="136"/>
      <c r="O827" s="136"/>
      <c r="P827" s="136"/>
      <c r="Q827" s="136"/>
      <c r="R827" s="136"/>
      <c r="S827" s="136"/>
      <c r="T827" s="136"/>
      <c r="U827" s="136"/>
      <c r="V827" s="136"/>
      <c r="W827" s="136"/>
      <c r="X827" s="136"/>
      <c r="Y827" s="136"/>
      <c r="Z827" s="136"/>
    </row>
    <row r="828" spans="1:26" ht="14.25" customHeight="1">
      <c r="A828" s="136"/>
      <c r="B828" s="136"/>
      <c r="C828" s="136"/>
      <c r="D828" s="136"/>
      <c r="E828" s="136"/>
      <c r="F828" s="136"/>
      <c r="G828" s="136"/>
      <c r="H828" s="136"/>
      <c r="I828" s="140"/>
      <c r="J828" s="136"/>
      <c r="K828" s="136"/>
      <c r="L828" s="136"/>
      <c r="M828" s="136"/>
      <c r="N828" s="136"/>
      <c r="O828" s="136"/>
      <c r="P828" s="136"/>
      <c r="Q828" s="136"/>
      <c r="R828" s="136"/>
      <c r="S828" s="136"/>
      <c r="T828" s="136"/>
      <c r="U828" s="136"/>
      <c r="V828" s="136"/>
      <c r="W828" s="136"/>
      <c r="X828" s="136"/>
      <c r="Y828" s="136"/>
      <c r="Z828" s="136"/>
    </row>
    <row r="829" spans="1:26" ht="14.25" customHeight="1">
      <c r="A829" s="136"/>
      <c r="B829" s="136"/>
      <c r="C829" s="136"/>
      <c r="D829" s="136"/>
      <c r="E829" s="136"/>
      <c r="F829" s="136"/>
      <c r="G829" s="136"/>
      <c r="H829" s="136"/>
      <c r="I829" s="140"/>
      <c r="J829" s="136"/>
      <c r="K829" s="136"/>
      <c r="L829" s="136"/>
      <c r="M829" s="136"/>
      <c r="N829" s="136"/>
      <c r="O829" s="136"/>
      <c r="P829" s="136"/>
      <c r="Q829" s="136"/>
      <c r="R829" s="136"/>
      <c r="S829" s="136"/>
      <c r="T829" s="136"/>
      <c r="U829" s="136"/>
      <c r="V829" s="136"/>
      <c r="W829" s="136"/>
      <c r="X829" s="136"/>
      <c r="Y829" s="136"/>
      <c r="Z829" s="136"/>
    </row>
    <row r="830" spans="1:26" ht="14.25" customHeight="1">
      <c r="A830" s="136"/>
      <c r="B830" s="136"/>
      <c r="C830" s="136"/>
      <c r="D830" s="136"/>
      <c r="E830" s="136"/>
      <c r="F830" s="136"/>
      <c r="G830" s="136"/>
      <c r="H830" s="136"/>
      <c r="I830" s="140"/>
      <c r="J830" s="136"/>
      <c r="K830" s="136"/>
      <c r="L830" s="136"/>
      <c r="M830" s="136"/>
      <c r="N830" s="136"/>
      <c r="O830" s="136"/>
      <c r="P830" s="136"/>
      <c r="Q830" s="136"/>
      <c r="R830" s="136"/>
      <c r="S830" s="136"/>
      <c r="T830" s="136"/>
      <c r="U830" s="136"/>
      <c r="V830" s="136"/>
      <c r="W830" s="136"/>
      <c r="X830" s="136"/>
      <c r="Y830" s="136"/>
      <c r="Z830" s="136"/>
    </row>
    <row r="831" spans="1:26" ht="14.25" customHeight="1">
      <c r="A831" s="136"/>
      <c r="B831" s="136"/>
      <c r="C831" s="136"/>
      <c r="D831" s="136"/>
      <c r="E831" s="136"/>
      <c r="F831" s="136"/>
      <c r="G831" s="136"/>
      <c r="H831" s="136"/>
      <c r="I831" s="140"/>
      <c r="J831" s="136"/>
      <c r="K831" s="136"/>
      <c r="L831" s="136"/>
      <c r="M831" s="136"/>
      <c r="N831" s="136"/>
      <c r="O831" s="136"/>
      <c r="P831" s="136"/>
      <c r="Q831" s="136"/>
      <c r="R831" s="136"/>
      <c r="S831" s="136"/>
      <c r="T831" s="136"/>
      <c r="U831" s="136"/>
      <c r="V831" s="136"/>
      <c r="W831" s="136"/>
      <c r="X831" s="136"/>
      <c r="Y831" s="136"/>
      <c r="Z831" s="136"/>
    </row>
    <row r="832" spans="1:26" ht="14.25" customHeight="1">
      <c r="A832" s="136"/>
      <c r="B832" s="136"/>
      <c r="C832" s="136"/>
      <c r="D832" s="136"/>
      <c r="E832" s="136"/>
      <c r="F832" s="136"/>
      <c r="G832" s="136"/>
      <c r="H832" s="136"/>
      <c r="I832" s="140"/>
      <c r="J832" s="136"/>
      <c r="K832" s="136"/>
      <c r="L832" s="136"/>
      <c r="M832" s="136"/>
      <c r="N832" s="136"/>
      <c r="O832" s="136"/>
      <c r="P832" s="136"/>
      <c r="Q832" s="136"/>
      <c r="R832" s="136"/>
      <c r="S832" s="136"/>
      <c r="T832" s="136"/>
      <c r="U832" s="136"/>
      <c r="V832" s="136"/>
      <c r="W832" s="136"/>
      <c r="X832" s="136"/>
      <c r="Y832" s="136"/>
      <c r="Z832" s="136"/>
    </row>
    <row r="833" spans="1:26" ht="14.25" customHeight="1">
      <c r="A833" s="136"/>
      <c r="B833" s="136"/>
      <c r="C833" s="136"/>
      <c r="D833" s="136"/>
      <c r="E833" s="136"/>
      <c r="F833" s="136"/>
      <c r="G833" s="136"/>
      <c r="H833" s="136"/>
      <c r="I833" s="140"/>
      <c r="J833" s="136"/>
      <c r="K833" s="136"/>
      <c r="L833" s="136"/>
      <c r="M833" s="136"/>
      <c r="N833" s="136"/>
      <c r="O833" s="136"/>
      <c r="P833" s="136"/>
      <c r="Q833" s="136"/>
      <c r="R833" s="136"/>
      <c r="S833" s="136"/>
      <c r="T833" s="136"/>
      <c r="U833" s="136"/>
      <c r="V833" s="136"/>
      <c r="W833" s="136"/>
      <c r="X833" s="136"/>
      <c r="Y833" s="136"/>
      <c r="Z833" s="136"/>
    </row>
    <row r="834" spans="1:26" ht="14.25" customHeight="1">
      <c r="A834" s="136"/>
      <c r="B834" s="136"/>
      <c r="C834" s="136"/>
      <c r="D834" s="136"/>
      <c r="E834" s="136"/>
      <c r="F834" s="136"/>
      <c r="G834" s="136"/>
      <c r="H834" s="136"/>
      <c r="I834" s="140"/>
      <c r="J834" s="136"/>
      <c r="K834" s="136"/>
      <c r="L834" s="136"/>
      <c r="M834" s="136"/>
      <c r="N834" s="136"/>
      <c r="O834" s="136"/>
      <c r="P834" s="136"/>
      <c r="Q834" s="136"/>
      <c r="R834" s="136"/>
      <c r="S834" s="136"/>
      <c r="T834" s="136"/>
      <c r="U834" s="136"/>
      <c r="V834" s="136"/>
      <c r="W834" s="136"/>
      <c r="X834" s="136"/>
      <c r="Y834" s="136"/>
      <c r="Z834" s="136"/>
    </row>
    <row r="835" spans="1:26" ht="14.25" customHeight="1">
      <c r="A835" s="136"/>
      <c r="B835" s="136"/>
      <c r="C835" s="136"/>
      <c r="D835" s="136"/>
      <c r="E835" s="136"/>
      <c r="F835" s="136"/>
      <c r="G835" s="136"/>
      <c r="H835" s="136"/>
      <c r="I835" s="140"/>
      <c r="J835" s="136"/>
      <c r="K835" s="136"/>
      <c r="L835" s="136"/>
      <c r="M835" s="136"/>
      <c r="N835" s="136"/>
      <c r="O835" s="136"/>
      <c r="P835" s="136"/>
      <c r="Q835" s="136"/>
      <c r="R835" s="136"/>
      <c r="S835" s="136"/>
      <c r="T835" s="136"/>
      <c r="U835" s="136"/>
      <c r="V835" s="136"/>
      <c r="W835" s="136"/>
      <c r="X835" s="136"/>
      <c r="Y835" s="136"/>
      <c r="Z835" s="136"/>
    </row>
    <row r="836" spans="1:26" ht="14.25" customHeight="1">
      <c r="A836" s="136"/>
      <c r="B836" s="136"/>
      <c r="C836" s="136"/>
      <c r="D836" s="136"/>
      <c r="E836" s="136"/>
      <c r="F836" s="136"/>
      <c r="G836" s="136"/>
      <c r="H836" s="136"/>
      <c r="I836" s="140"/>
      <c r="J836" s="136"/>
      <c r="K836" s="136"/>
      <c r="L836" s="136"/>
      <c r="M836" s="136"/>
      <c r="N836" s="136"/>
      <c r="O836" s="136"/>
      <c r="P836" s="136"/>
      <c r="Q836" s="136"/>
      <c r="R836" s="136"/>
      <c r="S836" s="136"/>
      <c r="T836" s="136"/>
      <c r="U836" s="136"/>
      <c r="V836" s="136"/>
      <c r="W836" s="136"/>
      <c r="X836" s="136"/>
      <c r="Y836" s="136"/>
      <c r="Z836" s="136"/>
    </row>
    <row r="837" spans="1:26" ht="14.25" customHeight="1">
      <c r="A837" s="136"/>
      <c r="B837" s="136"/>
      <c r="C837" s="136"/>
      <c r="D837" s="136"/>
      <c r="E837" s="136"/>
      <c r="F837" s="136"/>
      <c r="G837" s="136"/>
      <c r="H837" s="136"/>
      <c r="I837" s="140"/>
      <c r="J837" s="136"/>
      <c r="K837" s="136"/>
      <c r="L837" s="136"/>
      <c r="M837" s="136"/>
      <c r="N837" s="136"/>
      <c r="O837" s="136"/>
      <c r="P837" s="136"/>
      <c r="Q837" s="136"/>
      <c r="R837" s="136"/>
      <c r="S837" s="136"/>
      <c r="T837" s="136"/>
      <c r="U837" s="136"/>
      <c r="V837" s="136"/>
      <c r="W837" s="136"/>
      <c r="X837" s="136"/>
      <c r="Y837" s="136"/>
      <c r="Z837" s="136"/>
    </row>
    <row r="838" spans="1:26" ht="14.25" customHeight="1">
      <c r="A838" s="136"/>
      <c r="B838" s="136"/>
      <c r="C838" s="136"/>
      <c r="D838" s="136"/>
      <c r="E838" s="136"/>
      <c r="F838" s="136"/>
      <c r="G838" s="136"/>
      <c r="H838" s="136"/>
      <c r="I838" s="140"/>
      <c r="J838" s="136"/>
      <c r="K838" s="136"/>
      <c r="L838" s="136"/>
      <c r="M838" s="136"/>
      <c r="N838" s="136"/>
      <c r="O838" s="136"/>
      <c r="P838" s="136"/>
      <c r="Q838" s="136"/>
      <c r="R838" s="136"/>
      <c r="S838" s="136"/>
      <c r="T838" s="136"/>
      <c r="U838" s="136"/>
      <c r="V838" s="136"/>
      <c r="W838" s="136"/>
      <c r="X838" s="136"/>
      <c r="Y838" s="136"/>
      <c r="Z838" s="136"/>
    </row>
    <row r="839" spans="1:26" ht="14.25" customHeight="1">
      <c r="A839" s="136"/>
      <c r="B839" s="136"/>
      <c r="C839" s="136"/>
      <c r="D839" s="136"/>
      <c r="E839" s="136"/>
      <c r="F839" s="136"/>
      <c r="G839" s="136"/>
      <c r="H839" s="136"/>
      <c r="I839" s="140"/>
      <c r="J839" s="136"/>
      <c r="K839" s="136"/>
      <c r="L839" s="136"/>
      <c r="M839" s="136"/>
      <c r="N839" s="136"/>
      <c r="O839" s="136"/>
      <c r="P839" s="136"/>
      <c r="Q839" s="136"/>
      <c r="R839" s="136"/>
      <c r="S839" s="136"/>
      <c r="T839" s="136"/>
      <c r="U839" s="136"/>
      <c r="V839" s="136"/>
      <c r="W839" s="136"/>
      <c r="X839" s="136"/>
      <c r="Y839" s="136"/>
      <c r="Z839" s="136"/>
    </row>
    <row r="840" spans="1:26" ht="14.25" customHeight="1">
      <c r="A840" s="136"/>
      <c r="B840" s="136"/>
      <c r="C840" s="136"/>
      <c r="D840" s="136"/>
      <c r="E840" s="136"/>
      <c r="F840" s="136"/>
      <c r="G840" s="136"/>
      <c r="H840" s="136"/>
      <c r="I840" s="140"/>
      <c r="J840" s="136"/>
      <c r="K840" s="136"/>
      <c r="L840" s="136"/>
      <c r="M840" s="136"/>
      <c r="N840" s="136"/>
      <c r="O840" s="136"/>
      <c r="P840" s="136"/>
      <c r="Q840" s="136"/>
      <c r="R840" s="136"/>
      <c r="S840" s="136"/>
      <c r="T840" s="136"/>
      <c r="U840" s="136"/>
      <c r="V840" s="136"/>
      <c r="W840" s="136"/>
      <c r="X840" s="136"/>
      <c r="Y840" s="136"/>
      <c r="Z840" s="136"/>
    </row>
    <row r="841" spans="1:26" ht="14.25" customHeight="1">
      <c r="A841" s="136"/>
      <c r="B841" s="136"/>
      <c r="C841" s="136"/>
      <c r="D841" s="136"/>
      <c r="E841" s="136"/>
      <c r="F841" s="136"/>
      <c r="G841" s="136"/>
      <c r="H841" s="136"/>
      <c r="I841" s="140"/>
      <c r="J841" s="136"/>
      <c r="K841" s="136"/>
      <c r="L841" s="136"/>
      <c r="M841" s="136"/>
      <c r="N841" s="136"/>
      <c r="O841" s="136"/>
      <c r="P841" s="136"/>
      <c r="Q841" s="136"/>
      <c r="R841" s="136"/>
      <c r="S841" s="136"/>
      <c r="T841" s="136"/>
      <c r="U841" s="136"/>
      <c r="V841" s="136"/>
      <c r="W841" s="136"/>
      <c r="X841" s="136"/>
      <c r="Y841" s="136"/>
      <c r="Z841" s="136"/>
    </row>
    <row r="842" spans="1:26" ht="14.25" customHeight="1">
      <c r="A842" s="136"/>
      <c r="B842" s="136"/>
      <c r="C842" s="136"/>
      <c r="D842" s="136"/>
      <c r="E842" s="136"/>
      <c r="F842" s="136"/>
      <c r="G842" s="136"/>
      <c r="H842" s="136"/>
      <c r="I842" s="140"/>
      <c r="J842" s="136"/>
      <c r="K842" s="136"/>
      <c r="L842" s="136"/>
      <c r="M842" s="136"/>
      <c r="N842" s="136"/>
      <c r="O842" s="136"/>
      <c r="P842" s="136"/>
      <c r="Q842" s="136"/>
      <c r="R842" s="136"/>
      <c r="S842" s="136"/>
      <c r="T842" s="136"/>
      <c r="U842" s="136"/>
      <c r="V842" s="136"/>
      <c r="W842" s="136"/>
      <c r="X842" s="136"/>
      <c r="Y842" s="136"/>
      <c r="Z842" s="136"/>
    </row>
    <row r="843" spans="1:26" ht="14.25" customHeight="1">
      <c r="A843" s="136"/>
      <c r="B843" s="136"/>
      <c r="C843" s="136"/>
      <c r="D843" s="136"/>
      <c r="E843" s="136"/>
      <c r="F843" s="136"/>
      <c r="G843" s="136"/>
      <c r="H843" s="136"/>
      <c r="I843" s="140"/>
      <c r="J843" s="136"/>
      <c r="K843" s="136"/>
      <c r="L843" s="136"/>
      <c r="M843" s="136"/>
      <c r="N843" s="136"/>
      <c r="O843" s="136"/>
      <c r="P843" s="136"/>
      <c r="Q843" s="136"/>
      <c r="R843" s="136"/>
      <c r="S843" s="136"/>
      <c r="T843" s="136"/>
      <c r="U843" s="136"/>
      <c r="V843" s="136"/>
      <c r="W843" s="136"/>
      <c r="X843" s="136"/>
      <c r="Y843" s="136"/>
      <c r="Z843" s="136"/>
    </row>
    <row r="844" spans="1:26" ht="14.25" customHeight="1">
      <c r="A844" s="136"/>
      <c r="B844" s="136"/>
      <c r="C844" s="136"/>
      <c r="D844" s="136"/>
      <c r="E844" s="136"/>
      <c r="F844" s="136"/>
      <c r="G844" s="136"/>
      <c r="H844" s="136"/>
      <c r="I844" s="140"/>
      <c r="J844" s="136"/>
      <c r="K844" s="136"/>
      <c r="L844" s="136"/>
      <c r="M844" s="136"/>
      <c r="N844" s="136"/>
      <c r="O844" s="136"/>
      <c r="P844" s="136"/>
      <c r="Q844" s="136"/>
      <c r="R844" s="136"/>
      <c r="S844" s="136"/>
      <c r="T844" s="136"/>
      <c r="U844" s="136"/>
      <c r="V844" s="136"/>
      <c r="W844" s="136"/>
      <c r="X844" s="136"/>
      <c r="Y844" s="136"/>
      <c r="Z844" s="136"/>
    </row>
    <row r="845" spans="1:26" ht="14.25" customHeight="1">
      <c r="A845" s="136"/>
      <c r="B845" s="136"/>
      <c r="C845" s="136"/>
      <c r="D845" s="136"/>
      <c r="E845" s="136"/>
      <c r="F845" s="136"/>
      <c r="G845" s="136"/>
      <c r="H845" s="136"/>
      <c r="I845" s="140"/>
      <c r="J845" s="136"/>
      <c r="K845" s="136"/>
      <c r="L845" s="136"/>
      <c r="M845" s="136"/>
      <c r="N845" s="136"/>
      <c r="O845" s="136"/>
      <c r="P845" s="136"/>
      <c r="Q845" s="136"/>
      <c r="R845" s="136"/>
      <c r="S845" s="136"/>
      <c r="T845" s="136"/>
      <c r="U845" s="136"/>
      <c r="V845" s="136"/>
      <c r="W845" s="136"/>
      <c r="X845" s="136"/>
      <c r="Y845" s="136"/>
      <c r="Z845" s="136"/>
    </row>
    <row r="846" spans="1:26" ht="14.25" customHeight="1">
      <c r="A846" s="136"/>
      <c r="B846" s="136"/>
      <c r="C846" s="136"/>
      <c r="D846" s="136"/>
      <c r="E846" s="136"/>
      <c r="F846" s="136"/>
      <c r="G846" s="136"/>
      <c r="H846" s="136"/>
      <c r="I846" s="140"/>
      <c r="J846" s="136"/>
      <c r="K846" s="136"/>
      <c r="L846" s="136"/>
      <c r="M846" s="136"/>
      <c r="N846" s="136"/>
      <c r="O846" s="136"/>
      <c r="P846" s="136"/>
      <c r="Q846" s="136"/>
      <c r="R846" s="136"/>
      <c r="S846" s="136"/>
      <c r="T846" s="136"/>
      <c r="U846" s="136"/>
      <c r="V846" s="136"/>
      <c r="W846" s="136"/>
      <c r="X846" s="136"/>
      <c r="Y846" s="136"/>
      <c r="Z846" s="136"/>
    </row>
    <row r="847" spans="1:26" ht="14.25" customHeight="1">
      <c r="A847" s="136"/>
      <c r="B847" s="136"/>
      <c r="C847" s="136"/>
      <c r="D847" s="136"/>
      <c r="E847" s="136"/>
      <c r="F847" s="136"/>
      <c r="G847" s="136"/>
      <c r="H847" s="136"/>
      <c r="I847" s="140"/>
      <c r="J847" s="136"/>
      <c r="K847" s="136"/>
      <c r="L847" s="136"/>
      <c r="M847" s="136"/>
      <c r="N847" s="136"/>
      <c r="O847" s="136"/>
      <c r="P847" s="136"/>
      <c r="Q847" s="136"/>
      <c r="R847" s="136"/>
      <c r="S847" s="136"/>
      <c r="T847" s="136"/>
      <c r="U847" s="136"/>
      <c r="V847" s="136"/>
      <c r="W847" s="136"/>
      <c r="X847" s="136"/>
      <c r="Y847" s="136"/>
      <c r="Z847" s="136"/>
    </row>
    <row r="848" spans="1:26" ht="14.25" customHeight="1">
      <c r="A848" s="136"/>
      <c r="B848" s="136"/>
      <c r="C848" s="136"/>
      <c r="D848" s="136"/>
      <c r="E848" s="136"/>
      <c r="F848" s="136"/>
      <c r="G848" s="136"/>
      <c r="H848" s="136"/>
      <c r="I848" s="140"/>
      <c r="J848" s="136"/>
      <c r="K848" s="136"/>
      <c r="L848" s="136"/>
      <c r="M848" s="136"/>
      <c r="N848" s="136"/>
      <c r="O848" s="136"/>
      <c r="P848" s="136"/>
      <c r="Q848" s="136"/>
      <c r="R848" s="136"/>
      <c r="S848" s="136"/>
      <c r="T848" s="136"/>
      <c r="U848" s="136"/>
      <c r="V848" s="136"/>
      <c r="W848" s="136"/>
      <c r="X848" s="136"/>
      <c r="Y848" s="136"/>
      <c r="Z848" s="136"/>
    </row>
    <row r="849" spans="1:26" ht="14.25" customHeight="1">
      <c r="A849" s="136"/>
      <c r="B849" s="136"/>
      <c r="C849" s="136"/>
      <c r="D849" s="136"/>
      <c r="E849" s="136"/>
      <c r="F849" s="136"/>
      <c r="G849" s="136"/>
      <c r="H849" s="136"/>
      <c r="I849" s="140"/>
      <c r="J849" s="136"/>
      <c r="K849" s="136"/>
      <c r="L849" s="136"/>
      <c r="M849" s="136"/>
      <c r="N849" s="136"/>
      <c r="O849" s="136"/>
      <c r="P849" s="136"/>
      <c r="Q849" s="136"/>
      <c r="R849" s="136"/>
      <c r="S849" s="136"/>
      <c r="T849" s="136"/>
      <c r="U849" s="136"/>
      <c r="V849" s="136"/>
      <c r="W849" s="136"/>
      <c r="X849" s="136"/>
      <c r="Y849" s="136"/>
      <c r="Z849" s="136"/>
    </row>
    <row r="850" spans="1:26" ht="14.25" customHeight="1">
      <c r="A850" s="136"/>
      <c r="B850" s="136"/>
      <c r="C850" s="136"/>
      <c r="D850" s="136"/>
      <c r="E850" s="136"/>
      <c r="F850" s="136"/>
      <c r="G850" s="136"/>
      <c r="H850" s="136"/>
      <c r="I850" s="140"/>
      <c r="J850" s="136"/>
      <c r="K850" s="136"/>
      <c r="L850" s="136"/>
      <c r="M850" s="136"/>
      <c r="N850" s="136"/>
      <c r="O850" s="136"/>
      <c r="P850" s="136"/>
      <c r="Q850" s="136"/>
      <c r="R850" s="136"/>
      <c r="S850" s="136"/>
      <c r="T850" s="136"/>
      <c r="U850" s="136"/>
      <c r="V850" s="136"/>
      <c r="W850" s="136"/>
      <c r="X850" s="136"/>
      <c r="Y850" s="136"/>
      <c r="Z850" s="136"/>
    </row>
    <row r="851" spans="1:26" ht="14.25" customHeight="1">
      <c r="A851" s="136"/>
      <c r="B851" s="136"/>
      <c r="C851" s="136"/>
      <c r="D851" s="136"/>
      <c r="E851" s="136"/>
      <c r="F851" s="136"/>
      <c r="G851" s="136"/>
      <c r="H851" s="136"/>
      <c r="I851" s="140"/>
      <c r="J851" s="136"/>
      <c r="K851" s="136"/>
      <c r="L851" s="136"/>
      <c r="M851" s="136"/>
      <c r="N851" s="136"/>
      <c r="O851" s="136"/>
      <c r="P851" s="136"/>
      <c r="Q851" s="136"/>
      <c r="R851" s="136"/>
      <c r="S851" s="136"/>
      <c r="T851" s="136"/>
      <c r="U851" s="136"/>
      <c r="V851" s="136"/>
      <c r="W851" s="136"/>
      <c r="X851" s="136"/>
      <c r="Y851" s="136"/>
      <c r="Z851" s="136"/>
    </row>
    <row r="852" spans="1:26" ht="14.25" customHeight="1">
      <c r="A852" s="136"/>
      <c r="B852" s="136"/>
      <c r="C852" s="136"/>
      <c r="D852" s="136"/>
      <c r="E852" s="136"/>
      <c r="F852" s="136"/>
      <c r="G852" s="136"/>
      <c r="H852" s="136"/>
      <c r="I852" s="140"/>
      <c r="J852" s="136"/>
      <c r="K852" s="136"/>
      <c r="L852" s="136"/>
      <c r="M852" s="136"/>
      <c r="N852" s="136"/>
      <c r="O852" s="136"/>
      <c r="P852" s="136"/>
      <c r="Q852" s="136"/>
      <c r="R852" s="136"/>
      <c r="S852" s="136"/>
      <c r="T852" s="136"/>
      <c r="U852" s="136"/>
      <c r="V852" s="136"/>
      <c r="W852" s="136"/>
      <c r="X852" s="136"/>
      <c r="Y852" s="136"/>
      <c r="Z852" s="136"/>
    </row>
    <row r="853" spans="1:26" ht="14.25" customHeight="1">
      <c r="A853" s="136"/>
      <c r="B853" s="136"/>
      <c r="C853" s="136"/>
      <c r="D853" s="136"/>
      <c r="E853" s="136"/>
      <c r="F853" s="136"/>
      <c r="G853" s="136"/>
      <c r="H853" s="136"/>
      <c r="I853" s="140"/>
      <c r="J853" s="136"/>
      <c r="K853" s="136"/>
      <c r="L853" s="136"/>
      <c r="M853" s="136"/>
      <c r="N853" s="136"/>
      <c r="O853" s="136"/>
      <c r="P853" s="136"/>
      <c r="Q853" s="136"/>
      <c r="R853" s="136"/>
      <c r="S853" s="136"/>
      <c r="T853" s="136"/>
      <c r="U853" s="136"/>
      <c r="V853" s="136"/>
      <c r="W853" s="136"/>
      <c r="X853" s="136"/>
      <c r="Y853" s="136"/>
      <c r="Z853" s="136"/>
    </row>
    <row r="854" spans="1:26" ht="14.25" customHeight="1">
      <c r="A854" s="136"/>
      <c r="B854" s="136"/>
      <c r="C854" s="136"/>
      <c r="D854" s="136"/>
      <c r="E854" s="136"/>
      <c r="F854" s="136"/>
      <c r="G854" s="136"/>
      <c r="H854" s="136"/>
      <c r="I854" s="140"/>
      <c r="J854" s="136"/>
      <c r="K854" s="136"/>
      <c r="L854" s="136"/>
      <c r="M854" s="136"/>
      <c r="N854" s="136"/>
      <c r="O854" s="136"/>
      <c r="P854" s="136"/>
      <c r="Q854" s="136"/>
      <c r="R854" s="136"/>
      <c r="S854" s="136"/>
      <c r="T854" s="136"/>
      <c r="U854" s="136"/>
      <c r="V854" s="136"/>
      <c r="W854" s="136"/>
      <c r="X854" s="136"/>
      <c r="Y854" s="136"/>
      <c r="Z854" s="136"/>
    </row>
    <row r="855" spans="1:26" ht="14.25" customHeight="1">
      <c r="A855" s="136"/>
      <c r="B855" s="136"/>
      <c r="C855" s="136"/>
      <c r="D855" s="136"/>
      <c r="E855" s="136"/>
      <c r="F855" s="136"/>
      <c r="G855" s="136"/>
      <c r="H855" s="136"/>
      <c r="I855" s="140"/>
      <c r="J855" s="136"/>
      <c r="K855" s="136"/>
      <c r="L855" s="136"/>
      <c r="M855" s="136"/>
      <c r="N855" s="136"/>
      <c r="O855" s="136"/>
      <c r="P855" s="136"/>
      <c r="Q855" s="136"/>
      <c r="R855" s="136"/>
      <c r="S855" s="136"/>
      <c r="T855" s="136"/>
      <c r="U855" s="136"/>
      <c r="V855" s="136"/>
      <c r="W855" s="136"/>
      <c r="X855" s="136"/>
      <c r="Y855" s="136"/>
      <c r="Z855" s="136"/>
    </row>
    <row r="856" spans="1:26" ht="14.25" customHeight="1">
      <c r="A856" s="136"/>
      <c r="B856" s="136"/>
      <c r="C856" s="136"/>
      <c r="D856" s="136"/>
      <c r="E856" s="136"/>
      <c r="F856" s="136"/>
      <c r="G856" s="136"/>
      <c r="H856" s="136"/>
      <c r="I856" s="140"/>
      <c r="J856" s="136"/>
      <c r="K856" s="136"/>
      <c r="L856" s="136"/>
      <c r="M856" s="136"/>
      <c r="N856" s="136"/>
      <c r="O856" s="136"/>
      <c r="P856" s="136"/>
      <c r="Q856" s="136"/>
      <c r="R856" s="136"/>
      <c r="S856" s="136"/>
      <c r="T856" s="136"/>
      <c r="U856" s="136"/>
      <c r="V856" s="136"/>
      <c r="W856" s="136"/>
      <c r="X856" s="136"/>
      <c r="Y856" s="136"/>
      <c r="Z856" s="136"/>
    </row>
    <row r="857" spans="1:26" ht="14.25" customHeight="1">
      <c r="A857" s="136"/>
      <c r="B857" s="136"/>
      <c r="C857" s="136"/>
      <c r="D857" s="136"/>
      <c r="E857" s="136"/>
      <c r="F857" s="136"/>
      <c r="G857" s="136"/>
      <c r="H857" s="136"/>
      <c r="I857" s="140"/>
      <c r="J857" s="136"/>
      <c r="K857" s="136"/>
      <c r="L857" s="136"/>
      <c r="M857" s="136"/>
      <c r="N857" s="136"/>
      <c r="O857" s="136"/>
      <c r="P857" s="136"/>
      <c r="Q857" s="136"/>
      <c r="R857" s="136"/>
      <c r="S857" s="136"/>
      <c r="T857" s="136"/>
      <c r="U857" s="136"/>
      <c r="V857" s="136"/>
      <c r="W857" s="136"/>
      <c r="X857" s="136"/>
      <c r="Y857" s="136"/>
      <c r="Z857" s="136"/>
    </row>
    <row r="858" spans="1:26" ht="14.25" customHeight="1">
      <c r="A858" s="136"/>
      <c r="B858" s="136"/>
      <c r="C858" s="136"/>
      <c r="D858" s="136"/>
      <c r="E858" s="136"/>
      <c r="F858" s="136"/>
      <c r="G858" s="136"/>
      <c r="H858" s="136"/>
      <c r="I858" s="140"/>
      <c r="J858" s="136"/>
      <c r="K858" s="136"/>
      <c r="L858" s="136"/>
      <c r="M858" s="136"/>
      <c r="N858" s="136"/>
      <c r="O858" s="136"/>
      <c r="P858" s="136"/>
      <c r="Q858" s="136"/>
      <c r="R858" s="136"/>
      <c r="S858" s="136"/>
      <c r="T858" s="136"/>
      <c r="U858" s="136"/>
      <c r="V858" s="136"/>
      <c r="W858" s="136"/>
      <c r="X858" s="136"/>
      <c r="Y858" s="136"/>
      <c r="Z858" s="136"/>
    </row>
    <row r="859" spans="1:26" ht="14.25" customHeight="1">
      <c r="A859" s="136"/>
      <c r="B859" s="136"/>
      <c r="C859" s="136"/>
      <c r="D859" s="136"/>
      <c r="E859" s="136"/>
      <c r="F859" s="136"/>
      <c r="G859" s="136"/>
      <c r="H859" s="136"/>
      <c r="I859" s="140"/>
      <c r="J859" s="136"/>
      <c r="K859" s="136"/>
      <c r="L859" s="136"/>
      <c r="M859" s="136"/>
      <c r="N859" s="136"/>
      <c r="O859" s="136"/>
      <c r="P859" s="136"/>
      <c r="Q859" s="136"/>
      <c r="R859" s="136"/>
      <c r="S859" s="136"/>
      <c r="T859" s="136"/>
      <c r="U859" s="136"/>
      <c r="V859" s="136"/>
      <c r="W859" s="136"/>
      <c r="X859" s="136"/>
      <c r="Y859" s="136"/>
      <c r="Z859" s="136"/>
    </row>
    <row r="860" spans="1:26" ht="14.25" customHeight="1">
      <c r="A860" s="136"/>
      <c r="B860" s="136"/>
      <c r="C860" s="136"/>
      <c r="D860" s="136"/>
      <c r="E860" s="136"/>
      <c r="F860" s="136"/>
      <c r="G860" s="136"/>
      <c r="H860" s="136"/>
      <c r="I860" s="140"/>
      <c r="J860" s="136"/>
      <c r="K860" s="136"/>
      <c r="L860" s="136"/>
      <c r="M860" s="136"/>
      <c r="N860" s="136"/>
      <c r="O860" s="136"/>
      <c r="P860" s="136"/>
      <c r="Q860" s="136"/>
      <c r="R860" s="136"/>
      <c r="S860" s="136"/>
      <c r="T860" s="136"/>
      <c r="U860" s="136"/>
      <c r="V860" s="136"/>
      <c r="W860" s="136"/>
      <c r="X860" s="136"/>
      <c r="Y860" s="136"/>
      <c r="Z860" s="136"/>
    </row>
    <row r="861" spans="1:26" ht="14.25" customHeight="1">
      <c r="A861" s="136"/>
      <c r="B861" s="136"/>
      <c r="C861" s="136"/>
      <c r="D861" s="136"/>
      <c r="E861" s="136"/>
      <c r="F861" s="136"/>
      <c r="G861" s="136"/>
      <c r="H861" s="136"/>
      <c r="I861" s="140"/>
      <c r="J861" s="136"/>
      <c r="K861" s="136"/>
      <c r="L861" s="136"/>
      <c r="M861" s="136"/>
      <c r="N861" s="136"/>
      <c r="O861" s="136"/>
      <c r="P861" s="136"/>
      <c r="Q861" s="136"/>
      <c r="R861" s="136"/>
      <c r="S861" s="136"/>
      <c r="T861" s="136"/>
      <c r="U861" s="136"/>
      <c r="V861" s="136"/>
      <c r="W861" s="136"/>
      <c r="X861" s="136"/>
      <c r="Y861" s="136"/>
      <c r="Z861" s="136"/>
    </row>
    <row r="862" spans="1:26" ht="14.25" customHeight="1">
      <c r="A862" s="136"/>
      <c r="B862" s="136"/>
      <c r="C862" s="136"/>
      <c r="D862" s="136"/>
      <c r="E862" s="136"/>
      <c r="F862" s="136"/>
      <c r="G862" s="136"/>
      <c r="H862" s="136"/>
      <c r="I862" s="140"/>
      <c r="J862" s="136"/>
      <c r="K862" s="136"/>
      <c r="L862" s="136"/>
      <c r="M862" s="136"/>
      <c r="N862" s="136"/>
      <c r="O862" s="136"/>
      <c r="P862" s="136"/>
      <c r="Q862" s="136"/>
      <c r="R862" s="136"/>
      <c r="S862" s="136"/>
      <c r="T862" s="136"/>
      <c r="U862" s="136"/>
      <c r="V862" s="136"/>
      <c r="W862" s="136"/>
      <c r="X862" s="136"/>
      <c r="Y862" s="136"/>
      <c r="Z862" s="136"/>
    </row>
    <row r="863" spans="1:26" ht="14.25" customHeight="1">
      <c r="A863" s="136"/>
      <c r="B863" s="136"/>
      <c r="C863" s="136"/>
      <c r="D863" s="136"/>
      <c r="E863" s="136"/>
      <c r="F863" s="136"/>
      <c r="G863" s="136"/>
      <c r="H863" s="136"/>
      <c r="I863" s="140"/>
      <c r="J863" s="136"/>
      <c r="K863" s="136"/>
      <c r="L863" s="136"/>
      <c r="M863" s="136"/>
      <c r="N863" s="136"/>
      <c r="O863" s="136"/>
      <c r="P863" s="136"/>
      <c r="Q863" s="136"/>
      <c r="R863" s="136"/>
      <c r="S863" s="136"/>
      <c r="T863" s="136"/>
      <c r="U863" s="136"/>
      <c r="V863" s="136"/>
      <c r="W863" s="136"/>
      <c r="X863" s="136"/>
      <c r="Y863" s="136"/>
      <c r="Z863" s="136"/>
    </row>
    <row r="864" spans="1:26" ht="14.25" customHeight="1">
      <c r="A864" s="136"/>
      <c r="B864" s="136"/>
      <c r="C864" s="136"/>
      <c r="D864" s="136"/>
      <c r="E864" s="136"/>
      <c r="F864" s="136"/>
      <c r="G864" s="136"/>
      <c r="H864" s="136"/>
      <c r="I864" s="140"/>
      <c r="J864" s="136"/>
      <c r="K864" s="136"/>
      <c r="L864" s="136"/>
      <c r="M864" s="136"/>
      <c r="N864" s="136"/>
      <c r="O864" s="136"/>
      <c r="P864" s="136"/>
      <c r="Q864" s="136"/>
      <c r="R864" s="136"/>
      <c r="S864" s="136"/>
      <c r="T864" s="136"/>
      <c r="U864" s="136"/>
      <c r="V864" s="136"/>
      <c r="W864" s="136"/>
      <c r="X864" s="136"/>
      <c r="Y864" s="136"/>
      <c r="Z864" s="136"/>
    </row>
    <row r="865" spans="1:26" ht="14.25" customHeight="1">
      <c r="A865" s="136"/>
      <c r="B865" s="136"/>
      <c r="C865" s="136"/>
      <c r="D865" s="136"/>
      <c r="E865" s="136"/>
      <c r="F865" s="136"/>
      <c r="G865" s="136"/>
      <c r="H865" s="136"/>
      <c r="I865" s="140"/>
      <c r="J865" s="136"/>
      <c r="K865" s="136"/>
      <c r="L865" s="136"/>
      <c r="M865" s="136"/>
      <c r="N865" s="136"/>
      <c r="O865" s="136"/>
      <c r="P865" s="136"/>
      <c r="Q865" s="136"/>
      <c r="R865" s="136"/>
      <c r="S865" s="136"/>
      <c r="T865" s="136"/>
      <c r="U865" s="136"/>
      <c r="V865" s="136"/>
      <c r="W865" s="136"/>
      <c r="X865" s="136"/>
      <c r="Y865" s="136"/>
      <c r="Z865" s="136"/>
    </row>
    <row r="866" spans="1:26" ht="14.25" customHeight="1">
      <c r="A866" s="136"/>
      <c r="B866" s="136"/>
      <c r="C866" s="136"/>
      <c r="D866" s="136"/>
      <c r="E866" s="136"/>
      <c r="F866" s="136"/>
      <c r="G866" s="136"/>
      <c r="H866" s="136"/>
      <c r="I866" s="140"/>
      <c r="J866" s="136"/>
      <c r="K866" s="136"/>
      <c r="L866" s="136"/>
      <c r="M866" s="136"/>
      <c r="N866" s="136"/>
      <c r="O866" s="136"/>
      <c r="P866" s="136"/>
      <c r="Q866" s="136"/>
      <c r="R866" s="136"/>
      <c r="S866" s="136"/>
      <c r="T866" s="136"/>
      <c r="U866" s="136"/>
      <c r="V866" s="136"/>
      <c r="W866" s="136"/>
      <c r="X866" s="136"/>
      <c r="Y866" s="136"/>
      <c r="Z866" s="136"/>
    </row>
    <row r="867" spans="1:26" ht="14.25" customHeight="1">
      <c r="A867" s="136"/>
      <c r="B867" s="136"/>
      <c r="C867" s="136"/>
      <c r="D867" s="136"/>
      <c r="E867" s="136"/>
      <c r="F867" s="136"/>
      <c r="G867" s="136"/>
      <c r="H867" s="136"/>
      <c r="I867" s="140"/>
      <c r="J867" s="136"/>
      <c r="K867" s="136"/>
      <c r="L867" s="136"/>
      <c r="M867" s="136"/>
      <c r="N867" s="136"/>
      <c r="O867" s="136"/>
      <c r="P867" s="136"/>
      <c r="Q867" s="136"/>
      <c r="R867" s="136"/>
      <c r="S867" s="136"/>
      <c r="T867" s="136"/>
      <c r="U867" s="136"/>
      <c r="V867" s="136"/>
      <c r="W867" s="136"/>
      <c r="X867" s="136"/>
      <c r="Y867" s="136"/>
      <c r="Z867" s="136"/>
    </row>
    <row r="868" spans="1:26" ht="14.25" customHeight="1">
      <c r="A868" s="136"/>
      <c r="B868" s="136"/>
      <c r="C868" s="136"/>
      <c r="D868" s="136"/>
      <c r="E868" s="136"/>
      <c r="F868" s="136"/>
      <c r="G868" s="136"/>
      <c r="H868" s="136"/>
      <c r="I868" s="140"/>
      <c r="J868" s="136"/>
      <c r="K868" s="136"/>
      <c r="L868" s="136"/>
      <c r="M868" s="136"/>
      <c r="N868" s="136"/>
      <c r="O868" s="136"/>
      <c r="P868" s="136"/>
      <c r="Q868" s="136"/>
      <c r="R868" s="136"/>
      <c r="S868" s="136"/>
      <c r="T868" s="136"/>
      <c r="U868" s="136"/>
      <c r="V868" s="136"/>
      <c r="W868" s="136"/>
      <c r="X868" s="136"/>
      <c r="Y868" s="136"/>
      <c r="Z868" s="136"/>
    </row>
    <row r="869" spans="1:26" ht="14.25" customHeight="1">
      <c r="A869" s="136"/>
      <c r="B869" s="136"/>
      <c r="C869" s="136"/>
      <c r="D869" s="136"/>
      <c r="E869" s="136"/>
      <c r="F869" s="136"/>
      <c r="G869" s="136"/>
      <c r="H869" s="136"/>
      <c r="I869" s="140"/>
      <c r="J869" s="136"/>
      <c r="K869" s="136"/>
      <c r="L869" s="136"/>
      <c r="M869" s="136"/>
      <c r="N869" s="136"/>
      <c r="O869" s="136"/>
      <c r="P869" s="136"/>
      <c r="Q869" s="136"/>
      <c r="R869" s="136"/>
      <c r="S869" s="136"/>
      <c r="T869" s="136"/>
      <c r="U869" s="136"/>
      <c r="V869" s="136"/>
      <c r="W869" s="136"/>
      <c r="X869" s="136"/>
      <c r="Y869" s="136"/>
      <c r="Z869" s="136"/>
    </row>
    <row r="870" spans="1:26" ht="14.25" customHeight="1">
      <c r="A870" s="136"/>
      <c r="B870" s="136"/>
      <c r="C870" s="136"/>
      <c r="D870" s="136"/>
      <c r="E870" s="136"/>
      <c r="F870" s="136"/>
      <c r="G870" s="136"/>
      <c r="H870" s="136"/>
      <c r="I870" s="140"/>
      <c r="J870" s="136"/>
      <c r="K870" s="136"/>
      <c r="L870" s="136"/>
      <c r="M870" s="136"/>
      <c r="N870" s="136"/>
      <c r="O870" s="136"/>
      <c r="P870" s="136"/>
      <c r="Q870" s="136"/>
      <c r="R870" s="136"/>
      <c r="S870" s="136"/>
      <c r="T870" s="136"/>
      <c r="U870" s="136"/>
      <c r="V870" s="136"/>
      <c r="W870" s="136"/>
      <c r="X870" s="136"/>
      <c r="Y870" s="136"/>
      <c r="Z870" s="136"/>
    </row>
    <row r="871" spans="1:26" ht="14.25" customHeight="1">
      <c r="A871" s="136"/>
      <c r="B871" s="136"/>
      <c r="C871" s="136"/>
      <c r="D871" s="136"/>
      <c r="E871" s="136"/>
      <c r="F871" s="136"/>
      <c r="G871" s="136"/>
      <c r="H871" s="136"/>
      <c r="I871" s="140"/>
      <c r="J871" s="136"/>
      <c r="K871" s="136"/>
      <c r="L871" s="136"/>
      <c r="M871" s="136"/>
      <c r="N871" s="136"/>
      <c r="O871" s="136"/>
      <c r="P871" s="136"/>
      <c r="Q871" s="136"/>
      <c r="R871" s="136"/>
      <c r="S871" s="136"/>
      <c r="T871" s="136"/>
      <c r="U871" s="136"/>
      <c r="V871" s="136"/>
      <c r="W871" s="136"/>
      <c r="X871" s="136"/>
      <c r="Y871" s="136"/>
      <c r="Z871" s="136"/>
    </row>
    <row r="872" spans="1:26" ht="14.25" customHeight="1">
      <c r="A872" s="136"/>
      <c r="B872" s="136"/>
      <c r="C872" s="136"/>
      <c r="D872" s="136"/>
      <c r="E872" s="136"/>
      <c r="F872" s="136"/>
      <c r="G872" s="136"/>
      <c r="H872" s="136"/>
      <c r="I872" s="140"/>
      <c r="J872" s="136"/>
      <c r="K872" s="136"/>
      <c r="L872" s="136"/>
      <c r="M872" s="136"/>
      <c r="N872" s="136"/>
      <c r="O872" s="136"/>
      <c r="P872" s="136"/>
      <c r="Q872" s="136"/>
      <c r="R872" s="136"/>
      <c r="S872" s="136"/>
      <c r="T872" s="136"/>
      <c r="U872" s="136"/>
      <c r="V872" s="136"/>
      <c r="W872" s="136"/>
      <c r="X872" s="136"/>
      <c r="Y872" s="136"/>
      <c r="Z872" s="136"/>
    </row>
    <row r="873" spans="1:26" ht="14.25" customHeight="1">
      <c r="A873" s="136"/>
      <c r="B873" s="136"/>
      <c r="C873" s="136"/>
      <c r="D873" s="136"/>
      <c r="E873" s="136"/>
      <c r="F873" s="136"/>
      <c r="G873" s="136"/>
      <c r="H873" s="136"/>
      <c r="I873" s="140"/>
      <c r="J873" s="136"/>
      <c r="K873" s="136"/>
      <c r="L873" s="136"/>
      <c r="M873" s="136"/>
      <c r="N873" s="136"/>
      <c r="O873" s="136"/>
      <c r="P873" s="136"/>
      <c r="Q873" s="136"/>
      <c r="R873" s="136"/>
      <c r="S873" s="136"/>
      <c r="T873" s="136"/>
      <c r="U873" s="136"/>
      <c r="V873" s="136"/>
      <c r="W873" s="136"/>
      <c r="X873" s="136"/>
      <c r="Y873" s="136"/>
      <c r="Z873" s="136"/>
    </row>
    <row r="874" spans="1:26" ht="14.25" customHeight="1">
      <c r="A874" s="136"/>
      <c r="B874" s="136"/>
      <c r="C874" s="136"/>
      <c r="D874" s="136"/>
      <c r="E874" s="136"/>
      <c r="F874" s="136"/>
      <c r="G874" s="136"/>
      <c r="H874" s="136"/>
      <c r="I874" s="140"/>
      <c r="J874" s="136"/>
      <c r="K874" s="136"/>
      <c r="L874" s="136"/>
      <c r="M874" s="136"/>
      <c r="N874" s="136"/>
      <c r="O874" s="136"/>
      <c r="P874" s="136"/>
      <c r="Q874" s="136"/>
      <c r="R874" s="136"/>
      <c r="S874" s="136"/>
      <c r="T874" s="136"/>
      <c r="U874" s="136"/>
      <c r="V874" s="136"/>
      <c r="W874" s="136"/>
      <c r="X874" s="136"/>
      <c r="Y874" s="136"/>
      <c r="Z874" s="136"/>
    </row>
    <row r="875" spans="1:26" ht="14.25" customHeight="1">
      <c r="A875" s="136"/>
      <c r="B875" s="136"/>
      <c r="C875" s="136"/>
      <c r="D875" s="136"/>
      <c r="E875" s="136"/>
      <c r="F875" s="136"/>
      <c r="G875" s="136"/>
      <c r="H875" s="136"/>
      <c r="I875" s="140"/>
      <c r="J875" s="136"/>
      <c r="K875" s="136"/>
      <c r="L875" s="136"/>
      <c r="M875" s="136"/>
      <c r="N875" s="136"/>
      <c r="O875" s="136"/>
      <c r="P875" s="136"/>
      <c r="Q875" s="136"/>
      <c r="R875" s="136"/>
      <c r="S875" s="136"/>
      <c r="T875" s="136"/>
      <c r="U875" s="136"/>
      <c r="V875" s="136"/>
      <c r="W875" s="136"/>
      <c r="X875" s="136"/>
      <c r="Y875" s="136"/>
      <c r="Z875" s="136"/>
    </row>
    <row r="876" spans="1:26" ht="14.25" customHeight="1">
      <c r="A876" s="136"/>
      <c r="B876" s="136"/>
      <c r="C876" s="136"/>
      <c r="D876" s="136"/>
      <c r="E876" s="136"/>
      <c r="F876" s="136"/>
      <c r="G876" s="136"/>
      <c r="H876" s="136"/>
      <c r="I876" s="140"/>
      <c r="J876" s="136"/>
      <c r="K876" s="136"/>
      <c r="L876" s="136"/>
      <c r="M876" s="136"/>
      <c r="N876" s="136"/>
      <c r="O876" s="136"/>
      <c r="P876" s="136"/>
      <c r="Q876" s="136"/>
      <c r="R876" s="136"/>
      <c r="S876" s="136"/>
      <c r="T876" s="136"/>
      <c r="U876" s="136"/>
      <c r="V876" s="136"/>
      <c r="W876" s="136"/>
      <c r="X876" s="136"/>
      <c r="Y876" s="136"/>
      <c r="Z876" s="136"/>
    </row>
    <row r="877" spans="1:26" ht="14.25" customHeight="1">
      <c r="A877" s="136"/>
      <c r="B877" s="136"/>
      <c r="C877" s="136"/>
      <c r="D877" s="136"/>
      <c r="E877" s="136"/>
      <c r="F877" s="136"/>
      <c r="G877" s="136"/>
      <c r="H877" s="136"/>
      <c r="I877" s="140"/>
      <c r="J877" s="136"/>
      <c r="K877" s="136"/>
      <c r="L877" s="136"/>
      <c r="M877" s="136"/>
      <c r="N877" s="136"/>
      <c r="O877" s="136"/>
      <c r="P877" s="136"/>
      <c r="Q877" s="136"/>
      <c r="R877" s="136"/>
      <c r="S877" s="136"/>
      <c r="T877" s="136"/>
      <c r="U877" s="136"/>
      <c r="V877" s="136"/>
      <c r="W877" s="136"/>
      <c r="X877" s="136"/>
      <c r="Y877" s="136"/>
      <c r="Z877" s="136"/>
    </row>
    <row r="878" spans="1:26" ht="14.25" customHeight="1">
      <c r="A878" s="136"/>
      <c r="B878" s="136"/>
      <c r="C878" s="136"/>
      <c r="D878" s="136"/>
      <c r="E878" s="136"/>
      <c r="F878" s="136"/>
      <c r="G878" s="136"/>
      <c r="H878" s="136"/>
      <c r="I878" s="140"/>
      <c r="J878" s="136"/>
      <c r="K878" s="136"/>
      <c r="L878" s="136"/>
      <c r="M878" s="136"/>
      <c r="N878" s="136"/>
      <c r="O878" s="136"/>
      <c r="P878" s="136"/>
      <c r="Q878" s="136"/>
      <c r="R878" s="136"/>
      <c r="S878" s="136"/>
      <c r="T878" s="136"/>
      <c r="U878" s="136"/>
      <c r="V878" s="136"/>
      <c r="W878" s="136"/>
      <c r="X878" s="136"/>
      <c r="Y878" s="136"/>
      <c r="Z878" s="136"/>
    </row>
    <row r="879" spans="1:26" ht="14.25" customHeight="1">
      <c r="A879" s="136"/>
      <c r="B879" s="136"/>
      <c r="C879" s="136"/>
      <c r="D879" s="136"/>
      <c r="E879" s="136"/>
      <c r="F879" s="136"/>
      <c r="G879" s="136"/>
      <c r="H879" s="136"/>
      <c r="I879" s="140"/>
      <c r="J879" s="136"/>
      <c r="K879" s="136"/>
      <c r="L879" s="136"/>
      <c r="M879" s="136"/>
      <c r="N879" s="136"/>
      <c r="O879" s="136"/>
      <c r="P879" s="136"/>
      <c r="Q879" s="136"/>
      <c r="R879" s="136"/>
      <c r="S879" s="136"/>
      <c r="T879" s="136"/>
      <c r="U879" s="136"/>
      <c r="V879" s="136"/>
      <c r="W879" s="136"/>
      <c r="X879" s="136"/>
      <c r="Y879" s="136"/>
      <c r="Z879" s="136"/>
    </row>
    <row r="880" spans="1:26" ht="14.25" customHeight="1">
      <c r="A880" s="136"/>
      <c r="B880" s="136"/>
      <c r="C880" s="136"/>
      <c r="D880" s="136"/>
      <c r="E880" s="136"/>
      <c r="F880" s="136"/>
      <c r="G880" s="136"/>
      <c r="H880" s="136"/>
      <c r="I880" s="140"/>
      <c r="J880" s="136"/>
      <c r="K880" s="136"/>
      <c r="L880" s="136"/>
      <c r="M880" s="136"/>
      <c r="N880" s="136"/>
      <c r="O880" s="136"/>
      <c r="P880" s="136"/>
      <c r="Q880" s="136"/>
      <c r="R880" s="136"/>
      <c r="S880" s="136"/>
      <c r="T880" s="136"/>
      <c r="U880" s="136"/>
      <c r="V880" s="136"/>
      <c r="W880" s="136"/>
      <c r="X880" s="136"/>
      <c r="Y880" s="136"/>
      <c r="Z880" s="136"/>
    </row>
    <row r="881" spans="1:26" ht="14.25" customHeight="1">
      <c r="A881" s="136"/>
      <c r="B881" s="136"/>
      <c r="C881" s="136"/>
      <c r="D881" s="136"/>
      <c r="E881" s="136"/>
      <c r="F881" s="136"/>
      <c r="G881" s="136"/>
      <c r="H881" s="136"/>
      <c r="I881" s="140"/>
      <c r="J881" s="136"/>
      <c r="K881" s="136"/>
      <c r="L881" s="136"/>
      <c r="M881" s="136"/>
      <c r="N881" s="136"/>
      <c r="O881" s="136"/>
      <c r="P881" s="136"/>
      <c r="Q881" s="136"/>
      <c r="R881" s="136"/>
      <c r="S881" s="136"/>
      <c r="T881" s="136"/>
      <c r="U881" s="136"/>
      <c r="V881" s="136"/>
      <c r="W881" s="136"/>
      <c r="X881" s="136"/>
      <c r="Y881" s="136"/>
      <c r="Z881" s="136"/>
    </row>
    <row r="882" spans="1:26" ht="14.25" customHeight="1">
      <c r="A882" s="136"/>
      <c r="B882" s="136"/>
      <c r="C882" s="136"/>
      <c r="D882" s="136"/>
      <c r="E882" s="136"/>
      <c r="F882" s="136"/>
      <c r="G882" s="136"/>
      <c r="H882" s="136"/>
      <c r="I882" s="140"/>
      <c r="J882" s="136"/>
      <c r="K882" s="136"/>
      <c r="L882" s="136"/>
      <c r="M882" s="136"/>
      <c r="N882" s="136"/>
      <c r="O882" s="136"/>
      <c r="P882" s="136"/>
      <c r="Q882" s="136"/>
      <c r="R882" s="136"/>
      <c r="S882" s="136"/>
      <c r="T882" s="136"/>
      <c r="U882" s="136"/>
      <c r="V882" s="136"/>
      <c r="W882" s="136"/>
      <c r="X882" s="136"/>
      <c r="Y882" s="136"/>
      <c r="Z882" s="136"/>
    </row>
    <row r="883" spans="1:26" ht="14.25" customHeight="1">
      <c r="A883" s="136"/>
      <c r="B883" s="136"/>
      <c r="C883" s="136"/>
      <c r="D883" s="136"/>
      <c r="E883" s="136"/>
      <c r="F883" s="136"/>
      <c r="G883" s="136"/>
      <c r="H883" s="136"/>
      <c r="I883" s="140"/>
      <c r="J883" s="136"/>
      <c r="K883" s="136"/>
      <c r="L883" s="136"/>
      <c r="M883" s="136"/>
      <c r="N883" s="136"/>
      <c r="O883" s="136"/>
      <c r="P883" s="136"/>
      <c r="Q883" s="136"/>
      <c r="R883" s="136"/>
      <c r="S883" s="136"/>
      <c r="T883" s="136"/>
      <c r="U883" s="136"/>
      <c r="V883" s="136"/>
      <c r="W883" s="136"/>
      <c r="X883" s="136"/>
      <c r="Y883" s="136"/>
      <c r="Z883" s="136"/>
    </row>
    <row r="884" spans="1:26" ht="14.25" customHeight="1">
      <c r="A884" s="136"/>
      <c r="B884" s="136"/>
      <c r="C884" s="136"/>
      <c r="D884" s="136"/>
      <c r="E884" s="136"/>
      <c r="F884" s="136"/>
      <c r="G884" s="136"/>
      <c r="H884" s="136"/>
      <c r="I884" s="140"/>
      <c r="J884" s="136"/>
      <c r="K884" s="136"/>
      <c r="L884" s="136"/>
      <c r="M884" s="136"/>
      <c r="N884" s="136"/>
      <c r="O884" s="136"/>
      <c r="P884" s="136"/>
      <c r="Q884" s="136"/>
      <c r="R884" s="136"/>
      <c r="S884" s="136"/>
      <c r="T884" s="136"/>
      <c r="U884" s="136"/>
      <c r="V884" s="136"/>
      <c r="W884" s="136"/>
      <c r="X884" s="136"/>
      <c r="Y884" s="136"/>
      <c r="Z884" s="136"/>
    </row>
    <row r="885" spans="1:26" ht="14.25" customHeight="1">
      <c r="A885" s="136"/>
      <c r="B885" s="136"/>
      <c r="C885" s="136"/>
      <c r="D885" s="136"/>
      <c r="E885" s="136"/>
      <c r="F885" s="136"/>
      <c r="G885" s="136"/>
      <c r="H885" s="136"/>
      <c r="I885" s="140"/>
      <c r="J885" s="136"/>
      <c r="K885" s="136"/>
      <c r="L885" s="136"/>
      <c r="M885" s="136"/>
      <c r="N885" s="136"/>
      <c r="O885" s="136"/>
      <c r="P885" s="136"/>
      <c r="Q885" s="136"/>
      <c r="R885" s="136"/>
      <c r="S885" s="136"/>
      <c r="T885" s="136"/>
      <c r="U885" s="136"/>
      <c r="V885" s="136"/>
      <c r="W885" s="136"/>
      <c r="X885" s="136"/>
      <c r="Y885" s="136"/>
      <c r="Z885" s="136"/>
    </row>
    <row r="886" spans="1:26" ht="14.25" customHeight="1">
      <c r="A886" s="136"/>
      <c r="B886" s="136"/>
      <c r="C886" s="136"/>
      <c r="D886" s="136"/>
      <c r="E886" s="136"/>
      <c r="F886" s="136"/>
      <c r="G886" s="136"/>
      <c r="H886" s="136"/>
      <c r="I886" s="140"/>
      <c r="J886" s="136"/>
      <c r="K886" s="136"/>
      <c r="L886" s="136"/>
      <c r="M886" s="136"/>
      <c r="N886" s="136"/>
      <c r="O886" s="136"/>
      <c r="P886" s="136"/>
      <c r="Q886" s="136"/>
      <c r="R886" s="136"/>
      <c r="S886" s="136"/>
      <c r="T886" s="136"/>
      <c r="U886" s="136"/>
      <c r="V886" s="136"/>
      <c r="W886" s="136"/>
      <c r="X886" s="136"/>
      <c r="Y886" s="136"/>
      <c r="Z886" s="136"/>
    </row>
    <row r="887" spans="1:26" ht="14.25" customHeight="1">
      <c r="A887" s="136"/>
      <c r="B887" s="136"/>
      <c r="C887" s="136"/>
      <c r="D887" s="136"/>
      <c r="E887" s="136"/>
      <c r="F887" s="136"/>
      <c r="G887" s="136"/>
      <c r="H887" s="136"/>
      <c r="I887" s="140"/>
      <c r="J887" s="136"/>
      <c r="K887" s="136"/>
      <c r="L887" s="136"/>
      <c r="M887" s="136"/>
      <c r="N887" s="136"/>
      <c r="O887" s="136"/>
      <c r="P887" s="136"/>
      <c r="Q887" s="136"/>
      <c r="R887" s="136"/>
      <c r="S887" s="136"/>
      <c r="T887" s="136"/>
      <c r="U887" s="136"/>
      <c r="V887" s="136"/>
      <c r="W887" s="136"/>
      <c r="X887" s="136"/>
      <c r="Y887" s="136"/>
      <c r="Z887" s="136"/>
    </row>
    <row r="888" spans="1:26" ht="14.25" customHeight="1">
      <c r="A888" s="136"/>
      <c r="B888" s="136"/>
      <c r="C888" s="136"/>
      <c r="D888" s="136"/>
      <c r="E888" s="136"/>
      <c r="F888" s="136"/>
      <c r="G888" s="136"/>
      <c r="H888" s="136"/>
      <c r="I888" s="140"/>
      <c r="J888" s="136"/>
      <c r="K888" s="136"/>
      <c r="L888" s="136"/>
      <c r="M888" s="136"/>
      <c r="N888" s="136"/>
      <c r="O888" s="136"/>
      <c r="P888" s="136"/>
      <c r="Q888" s="136"/>
      <c r="R888" s="136"/>
      <c r="S888" s="136"/>
      <c r="T888" s="136"/>
      <c r="U888" s="136"/>
      <c r="V888" s="136"/>
      <c r="W888" s="136"/>
      <c r="X888" s="136"/>
      <c r="Y888" s="136"/>
      <c r="Z888" s="136"/>
    </row>
    <row r="889" spans="1:26" ht="14.25" customHeight="1">
      <c r="A889" s="136"/>
      <c r="B889" s="136"/>
      <c r="C889" s="136"/>
      <c r="D889" s="136"/>
      <c r="E889" s="136"/>
      <c r="F889" s="136"/>
      <c r="G889" s="136"/>
      <c r="H889" s="136"/>
      <c r="I889" s="140"/>
      <c r="J889" s="136"/>
      <c r="K889" s="136"/>
      <c r="L889" s="136"/>
      <c r="M889" s="136"/>
      <c r="N889" s="136"/>
      <c r="O889" s="136"/>
      <c r="P889" s="136"/>
      <c r="Q889" s="136"/>
      <c r="R889" s="136"/>
      <c r="S889" s="136"/>
      <c r="T889" s="136"/>
      <c r="U889" s="136"/>
      <c r="V889" s="136"/>
      <c r="W889" s="136"/>
      <c r="X889" s="136"/>
      <c r="Y889" s="136"/>
      <c r="Z889" s="136"/>
    </row>
    <row r="890" spans="1:26" ht="14.25" customHeight="1">
      <c r="A890" s="136"/>
      <c r="B890" s="136"/>
      <c r="C890" s="136"/>
      <c r="D890" s="136"/>
      <c r="E890" s="136"/>
      <c r="F890" s="136"/>
      <c r="G890" s="136"/>
      <c r="H890" s="136"/>
      <c r="I890" s="140"/>
      <c r="J890" s="136"/>
      <c r="K890" s="136"/>
      <c r="L890" s="136"/>
      <c r="M890" s="136"/>
      <c r="N890" s="136"/>
      <c r="O890" s="136"/>
      <c r="P890" s="136"/>
      <c r="Q890" s="136"/>
      <c r="R890" s="136"/>
      <c r="S890" s="136"/>
      <c r="T890" s="136"/>
      <c r="U890" s="136"/>
      <c r="V890" s="136"/>
      <c r="W890" s="136"/>
      <c r="X890" s="136"/>
      <c r="Y890" s="136"/>
      <c r="Z890" s="136"/>
    </row>
    <row r="891" spans="1:26" ht="14.25" customHeight="1">
      <c r="A891" s="136"/>
      <c r="B891" s="136"/>
      <c r="C891" s="136"/>
      <c r="D891" s="136"/>
      <c r="E891" s="136"/>
      <c r="F891" s="136"/>
      <c r="G891" s="136"/>
      <c r="H891" s="136"/>
      <c r="I891" s="140"/>
      <c r="J891" s="136"/>
      <c r="K891" s="136"/>
      <c r="L891" s="136"/>
      <c r="M891" s="136"/>
      <c r="N891" s="136"/>
      <c r="O891" s="136"/>
      <c r="P891" s="136"/>
      <c r="Q891" s="136"/>
      <c r="R891" s="136"/>
      <c r="S891" s="136"/>
      <c r="T891" s="136"/>
      <c r="U891" s="136"/>
      <c r="V891" s="136"/>
      <c r="W891" s="136"/>
      <c r="X891" s="136"/>
      <c r="Y891" s="136"/>
      <c r="Z891" s="136"/>
    </row>
    <row r="892" spans="1:26" ht="14.25" customHeight="1">
      <c r="A892" s="136"/>
      <c r="B892" s="136"/>
      <c r="C892" s="136"/>
      <c r="D892" s="136"/>
      <c r="E892" s="136"/>
      <c r="F892" s="136"/>
      <c r="G892" s="136"/>
      <c r="H892" s="136"/>
      <c r="I892" s="140"/>
      <c r="J892" s="136"/>
      <c r="K892" s="136"/>
      <c r="L892" s="136"/>
      <c r="M892" s="136"/>
      <c r="N892" s="136"/>
      <c r="O892" s="136"/>
      <c r="P892" s="136"/>
      <c r="Q892" s="136"/>
      <c r="R892" s="136"/>
      <c r="S892" s="136"/>
      <c r="T892" s="136"/>
      <c r="U892" s="136"/>
      <c r="V892" s="136"/>
      <c r="W892" s="136"/>
      <c r="X892" s="136"/>
      <c r="Y892" s="136"/>
      <c r="Z892" s="136"/>
    </row>
    <row r="893" spans="1:26" ht="14.25" customHeight="1">
      <c r="A893" s="136"/>
      <c r="B893" s="136"/>
      <c r="C893" s="136"/>
      <c r="D893" s="136"/>
      <c r="E893" s="136"/>
      <c r="F893" s="136"/>
      <c r="G893" s="136"/>
      <c r="H893" s="136"/>
      <c r="I893" s="140"/>
      <c r="J893" s="136"/>
      <c r="K893" s="136"/>
      <c r="L893" s="136"/>
      <c r="M893" s="136"/>
      <c r="N893" s="136"/>
      <c r="O893" s="136"/>
      <c r="P893" s="136"/>
      <c r="Q893" s="136"/>
      <c r="R893" s="136"/>
      <c r="S893" s="136"/>
      <c r="T893" s="136"/>
      <c r="U893" s="136"/>
      <c r="V893" s="136"/>
      <c r="W893" s="136"/>
      <c r="X893" s="136"/>
      <c r="Y893" s="136"/>
      <c r="Z893" s="136"/>
    </row>
    <row r="894" spans="1:26" ht="14.25" customHeight="1">
      <c r="A894" s="136"/>
      <c r="B894" s="136"/>
      <c r="C894" s="136"/>
      <c r="D894" s="136"/>
      <c r="E894" s="136"/>
      <c r="F894" s="136"/>
      <c r="G894" s="136"/>
      <c r="H894" s="136"/>
      <c r="I894" s="140"/>
      <c r="J894" s="136"/>
      <c r="K894" s="136"/>
      <c r="L894" s="136"/>
      <c r="M894" s="136"/>
      <c r="N894" s="136"/>
      <c r="O894" s="136"/>
      <c r="P894" s="136"/>
      <c r="Q894" s="136"/>
      <c r="R894" s="136"/>
      <c r="S894" s="136"/>
      <c r="T894" s="136"/>
      <c r="U894" s="136"/>
      <c r="V894" s="136"/>
      <c r="W894" s="136"/>
      <c r="X894" s="136"/>
      <c r="Y894" s="136"/>
      <c r="Z894" s="136"/>
    </row>
    <row r="895" spans="1:26" ht="14.25" customHeight="1">
      <c r="A895" s="136"/>
      <c r="B895" s="136"/>
      <c r="C895" s="136"/>
      <c r="D895" s="136"/>
      <c r="E895" s="136"/>
      <c r="F895" s="136"/>
      <c r="G895" s="136"/>
      <c r="H895" s="136"/>
      <c r="I895" s="140"/>
      <c r="J895" s="136"/>
      <c r="K895" s="136"/>
      <c r="L895" s="136"/>
      <c r="M895" s="136"/>
      <c r="N895" s="136"/>
      <c r="O895" s="136"/>
      <c r="P895" s="136"/>
      <c r="Q895" s="136"/>
      <c r="R895" s="136"/>
      <c r="S895" s="136"/>
      <c r="T895" s="136"/>
      <c r="U895" s="136"/>
      <c r="V895" s="136"/>
      <c r="W895" s="136"/>
      <c r="X895" s="136"/>
      <c r="Y895" s="136"/>
      <c r="Z895" s="136"/>
    </row>
    <row r="896" spans="1:26" ht="14.25" customHeight="1">
      <c r="A896" s="136"/>
      <c r="B896" s="136"/>
      <c r="C896" s="136"/>
      <c r="D896" s="136"/>
      <c r="E896" s="136"/>
      <c r="F896" s="136"/>
      <c r="G896" s="136"/>
      <c r="H896" s="136"/>
      <c r="I896" s="140"/>
      <c r="J896" s="136"/>
      <c r="K896" s="136"/>
      <c r="L896" s="136"/>
      <c r="M896" s="136"/>
      <c r="N896" s="136"/>
      <c r="O896" s="136"/>
      <c r="P896" s="136"/>
      <c r="Q896" s="136"/>
      <c r="R896" s="136"/>
      <c r="S896" s="136"/>
      <c r="T896" s="136"/>
      <c r="U896" s="136"/>
      <c r="V896" s="136"/>
      <c r="W896" s="136"/>
      <c r="X896" s="136"/>
      <c r="Y896" s="136"/>
      <c r="Z896" s="136"/>
    </row>
    <row r="897" spans="1:26" ht="14.25" customHeight="1">
      <c r="A897" s="136"/>
      <c r="B897" s="136"/>
      <c r="C897" s="136"/>
      <c r="D897" s="136"/>
      <c r="E897" s="136"/>
      <c r="F897" s="136"/>
      <c r="G897" s="136"/>
      <c r="H897" s="136"/>
      <c r="I897" s="140"/>
      <c r="J897" s="136"/>
      <c r="K897" s="136"/>
      <c r="L897" s="136"/>
      <c r="M897" s="136"/>
      <c r="N897" s="136"/>
      <c r="O897" s="136"/>
      <c r="P897" s="136"/>
      <c r="Q897" s="136"/>
      <c r="R897" s="136"/>
      <c r="S897" s="136"/>
      <c r="T897" s="136"/>
      <c r="U897" s="136"/>
      <c r="V897" s="136"/>
      <c r="W897" s="136"/>
      <c r="X897" s="136"/>
      <c r="Y897" s="136"/>
      <c r="Z897" s="136"/>
    </row>
    <row r="898" spans="1:26" ht="14.25" customHeight="1">
      <c r="A898" s="136"/>
      <c r="B898" s="136"/>
      <c r="C898" s="136"/>
      <c r="D898" s="136"/>
      <c r="E898" s="136"/>
      <c r="F898" s="136"/>
      <c r="G898" s="136"/>
      <c r="H898" s="136"/>
      <c r="I898" s="140"/>
      <c r="J898" s="136"/>
      <c r="K898" s="136"/>
      <c r="L898" s="136"/>
      <c r="M898" s="136"/>
      <c r="N898" s="136"/>
      <c r="O898" s="136"/>
      <c r="P898" s="136"/>
      <c r="Q898" s="136"/>
      <c r="R898" s="136"/>
      <c r="S898" s="136"/>
      <c r="T898" s="136"/>
      <c r="U898" s="136"/>
      <c r="V898" s="136"/>
      <c r="W898" s="136"/>
      <c r="X898" s="136"/>
      <c r="Y898" s="136"/>
      <c r="Z898" s="136"/>
    </row>
    <row r="899" spans="1:26" ht="14.25" customHeight="1">
      <c r="A899" s="136"/>
      <c r="B899" s="136"/>
      <c r="C899" s="136"/>
      <c r="D899" s="136"/>
      <c r="E899" s="136"/>
      <c r="F899" s="136"/>
      <c r="G899" s="136"/>
      <c r="H899" s="136"/>
      <c r="I899" s="140"/>
      <c r="J899" s="136"/>
      <c r="K899" s="136"/>
      <c r="L899" s="136"/>
      <c r="M899" s="136"/>
      <c r="N899" s="136"/>
      <c r="O899" s="136"/>
      <c r="P899" s="136"/>
      <c r="Q899" s="136"/>
      <c r="R899" s="136"/>
      <c r="S899" s="136"/>
      <c r="T899" s="136"/>
      <c r="U899" s="136"/>
      <c r="V899" s="136"/>
      <c r="W899" s="136"/>
      <c r="X899" s="136"/>
      <c r="Y899" s="136"/>
      <c r="Z899" s="136"/>
    </row>
    <row r="900" spans="1:26" ht="14.25" customHeight="1">
      <c r="A900" s="136"/>
      <c r="B900" s="136"/>
      <c r="C900" s="136"/>
      <c r="D900" s="136"/>
      <c r="E900" s="136"/>
      <c r="F900" s="136"/>
      <c r="G900" s="136"/>
      <c r="H900" s="136"/>
      <c r="I900" s="140"/>
      <c r="J900" s="136"/>
      <c r="K900" s="136"/>
      <c r="L900" s="136"/>
      <c r="M900" s="136"/>
      <c r="N900" s="136"/>
      <c r="O900" s="136"/>
      <c r="P900" s="136"/>
      <c r="Q900" s="136"/>
      <c r="R900" s="136"/>
      <c r="S900" s="136"/>
      <c r="T900" s="136"/>
      <c r="U900" s="136"/>
      <c r="V900" s="136"/>
      <c r="W900" s="136"/>
      <c r="X900" s="136"/>
      <c r="Y900" s="136"/>
      <c r="Z900" s="136"/>
    </row>
    <row r="901" spans="1:26" ht="14.25" customHeight="1">
      <c r="A901" s="136"/>
      <c r="B901" s="136"/>
      <c r="C901" s="136"/>
      <c r="D901" s="136"/>
      <c r="E901" s="136"/>
      <c r="F901" s="136"/>
      <c r="G901" s="136"/>
      <c r="H901" s="136"/>
      <c r="I901" s="140"/>
      <c r="J901" s="136"/>
      <c r="K901" s="136"/>
      <c r="L901" s="136"/>
      <c r="M901" s="136"/>
      <c r="N901" s="136"/>
      <c r="O901" s="136"/>
      <c r="P901" s="136"/>
      <c r="Q901" s="136"/>
      <c r="R901" s="136"/>
      <c r="S901" s="136"/>
      <c r="T901" s="136"/>
      <c r="U901" s="136"/>
      <c r="V901" s="136"/>
      <c r="W901" s="136"/>
      <c r="X901" s="136"/>
      <c r="Y901" s="136"/>
      <c r="Z901" s="136"/>
    </row>
    <row r="902" spans="1:26" ht="14.25" customHeight="1">
      <c r="A902" s="136"/>
      <c r="B902" s="136"/>
      <c r="C902" s="136"/>
      <c r="D902" s="136"/>
      <c r="E902" s="136"/>
      <c r="F902" s="136"/>
      <c r="G902" s="136"/>
      <c r="H902" s="136"/>
      <c r="I902" s="140"/>
      <c r="J902" s="136"/>
      <c r="K902" s="136"/>
      <c r="L902" s="136"/>
      <c r="M902" s="136"/>
      <c r="N902" s="136"/>
      <c r="O902" s="136"/>
      <c r="P902" s="136"/>
      <c r="Q902" s="136"/>
      <c r="R902" s="136"/>
      <c r="S902" s="136"/>
      <c r="T902" s="136"/>
      <c r="U902" s="136"/>
      <c r="V902" s="136"/>
      <c r="W902" s="136"/>
      <c r="X902" s="136"/>
      <c r="Y902" s="136"/>
      <c r="Z902" s="136"/>
    </row>
    <row r="903" spans="1:26" ht="14.25" customHeight="1">
      <c r="A903" s="136"/>
      <c r="B903" s="136"/>
      <c r="C903" s="136"/>
      <c r="D903" s="136"/>
      <c r="E903" s="136"/>
      <c r="F903" s="136"/>
      <c r="G903" s="136"/>
      <c r="H903" s="136"/>
      <c r="I903" s="140"/>
      <c r="J903" s="136"/>
      <c r="K903" s="136"/>
      <c r="L903" s="136"/>
      <c r="M903" s="136"/>
      <c r="N903" s="136"/>
      <c r="O903" s="136"/>
      <c r="P903" s="136"/>
      <c r="Q903" s="136"/>
      <c r="R903" s="136"/>
      <c r="S903" s="136"/>
      <c r="T903" s="136"/>
      <c r="U903" s="136"/>
      <c r="V903" s="136"/>
      <c r="W903" s="136"/>
      <c r="X903" s="136"/>
      <c r="Y903" s="136"/>
      <c r="Z903" s="136"/>
    </row>
    <row r="904" spans="1:26" ht="14.25" customHeight="1">
      <c r="A904" s="136"/>
      <c r="B904" s="136"/>
      <c r="C904" s="136"/>
      <c r="D904" s="136"/>
      <c r="E904" s="136"/>
      <c r="F904" s="136"/>
      <c r="G904" s="136"/>
      <c r="H904" s="136"/>
      <c r="I904" s="140"/>
      <c r="J904" s="136"/>
      <c r="K904" s="136"/>
      <c r="L904" s="136"/>
      <c r="M904" s="136"/>
      <c r="N904" s="136"/>
      <c r="O904" s="136"/>
      <c r="P904" s="136"/>
      <c r="Q904" s="136"/>
      <c r="R904" s="136"/>
      <c r="S904" s="136"/>
      <c r="T904" s="136"/>
      <c r="U904" s="136"/>
      <c r="V904" s="136"/>
      <c r="W904" s="136"/>
      <c r="X904" s="136"/>
      <c r="Y904" s="136"/>
      <c r="Z904" s="136"/>
    </row>
    <row r="905" spans="1:26" ht="14.25" customHeight="1">
      <c r="A905" s="136"/>
      <c r="B905" s="136"/>
      <c r="C905" s="136"/>
      <c r="D905" s="136"/>
      <c r="E905" s="136"/>
      <c r="F905" s="136"/>
      <c r="G905" s="136"/>
      <c r="H905" s="136"/>
      <c r="I905" s="140"/>
      <c r="J905" s="136"/>
      <c r="K905" s="136"/>
      <c r="L905" s="136"/>
      <c r="M905" s="136"/>
      <c r="N905" s="136"/>
      <c r="O905" s="136"/>
      <c r="P905" s="136"/>
      <c r="Q905" s="136"/>
      <c r="R905" s="136"/>
      <c r="S905" s="136"/>
      <c r="T905" s="136"/>
      <c r="U905" s="136"/>
      <c r="V905" s="136"/>
      <c r="W905" s="136"/>
      <c r="X905" s="136"/>
      <c r="Y905" s="136"/>
      <c r="Z905" s="136"/>
    </row>
    <row r="906" spans="1:26" ht="14.25" customHeight="1">
      <c r="A906" s="136"/>
      <c r="B906" s="136"/>
      <c r="C906" s="136"/>
      <c r="D906" s="136"/>
      <c r="E906" s="136"/>
      <c r="F906" s="136"/>
      <c r="G906" s="136"/>
      <c r="H906" s="136"/>
      <c r="I906" s="140"/>
      <c r="J906" s="136"/>
      <c r="K906" s="136"/>
      <c r="L906" s="136"/>
      <c r="M906" s="136"/>
      <c r="N906" s="136"/>
      <c r="O906" s="136"/>
      <c r="P906" s="136"/>
      <c r="Q906" s="136"/>
      <c r="R906" s="136"/>
      <c r="S906" s="136"/>
      <c r="T906" s="136"/>
      <c r="U906" s="136"/>
      <c r="V906" s="136"/>
      <c r="W906" s="136"/>
      <c r="X906" s="136"/>
      <c r="Y906" s="136"/>
      <c r="Z906" s="136"/>
    </row>
    <row r="907" spans="1:26" ht="14.25" customHeight="1">
      <c r="A907" s="136"/>
      <c r="B907" s="136"/>
      <c r="C907" s="136"/>
      <c r="D907" s="136"/>
      <c r="E907" s="136"/>
      <c r="F907" s="136"/>
      <c r="G907" s="136"/>
      <c r="H907" s="136"/>
      <c r="I907" s="140"/>
      <c r="J907" s="136"/>
      <c r="K907" s="136"/>
      <c r="L907" s="136"/>
      <c r="M907" s="136"/>
      <c r="N907" s="136"/>
      <c r="O907" s="136"/>
      <c r="P907" s="136"/>
      <c r="Q907" s="136"/>
      <c r="R907" s="136"/>
      <c r="S907" s="136"/>
      <c r="T907" s="136"/>
      <c r="U907" s="136"/>
      <c r="V907" s="136"/>
      <c r="W907" s="136"/>
      <c r="X907" s="136"/>
      <c r="Y907" s="136"/>
      <c r="Z907" s="136"/>
    </row>
    <row r="908" spans="1:26" ht="14.25" customHeight="1">
      <c r="A908" s="136"/>
      <c r="B908" s="136"/>
      <c r="C908" s="136"/>
      <c r="D908" s="136"/>
      <c r="E908" s="136"/>
      <c r="F908" s="136"/>
      <c r="G908" s="136"/>
      <c r="H908" s="136"/>
      <c r="I908" s="140"/>
      <c r="J908" s="136"/>
      <c r="K908" s="136"/>
      <c r="L908" s="136"/>
      <c r="M908" s="136"/>
      <c r="N908" s="136"/>
      <c r="O908" s="136"/>
      <c r="P908" s="136"/>
      <c r="Q908" s="136"/>
      <c r="R908" s="136"/>
      <c r="S908" s="136"/>
      <c r="T908" s="136"/>
      <c r="U908" s="136"/>
      <c r="V908" s="136"/>
      <c r="W908" s="136"/>
      <c r="X908" s="136"/>
      <c r="Y908" s="136"/>
      <c r="Z908" s="136"/>
    </row>
    <row r="909" spans="1:26" ht="14.25" customHeight="1">
      <c r="A909" s="136"/>
      <c r="B909" s="136"/>
      <c r="C909" s="136"/>
      <c r="D909" s="136"/>
      <c r="E909" s="136"/>
      <c r="F909" s="136"/>
      <c r="G909" s="136"/>
      <c r="H909" s="136"/>
      <c r="I909" s="140"/>
      <c r="J909" s="136"/>
      <c r="K909" s="136"/>
      <c r="L909" s="136"/>
      <c r="M909" s="136"/>
      <c r="N909" s="136"/>
      <c r="O909" s="136"/>
      <c r="P909" s="136"/>
      <c r="Q909" s="136"/>
      <c r="R909" s="136"/>
      <c r="S909" s="136"/>
      <c r="T909" s="136"/>
      <c r="U909" s="136"/>
      <c r="V909" s="136"/>
      <c r="W909" s="136"/>
      <c r="X909" s="136"/>
      <c r="Y909" s="136"/>
      <c r="Z909" s="136"/>
    </row>
    <row r="910" spans="1:26" ht="14.25" customHeight="1">
      <c r="A910" s="136"/>
      <c r="B910" s="136"/>
      <c r="C910" s="136"/>
      <c r="D910" s="136"/>
      <c r="E910" s="136"/>
      <c r="F910" s="136"/>
      <c r="G910" s="136"/>
      <c r="H910" s="136"/>
      <c r="I910" s="140"/>
      <c r="J910" s="136"/>
      <c r="K910" s="136"/>
      <c r="L910" s="136"/>
      <c r="M910" s="136"/>
      <c r="N910" s="136"/>
      <c r="O910" s="136"/>
      <c r="P910" s="136"/>
      <c r="Q910" s="136"/>
      <c r="R910" s="136"/>
      <c r="S910" s="136"/>
      <c r="T910" s="136"/>
      <c r="U910" s="136"/>
      <c r="V910" s="136"/>
      <c r="W910" s="136"/>
      <c r="X910" s="136"/>
      <c r="Y910" s="136"/>
      <c r="Z910" s="136"/>
    </row>
    <row r="911" spans="1:26" ht="14.25" customHeight="1">
      <c r="A911" s="136"/>
      <c r="B911" s="136"/>
      <c r="C911" s="136"/>
      <c r="D911" s="136"/>
      <c r="E911" s="136"/>
      <c r="F911" s="136"/>
      <c r="G911" s="136"/>
      <c r="H911" s="136"/>
      <c r="I911" s="140"/>
      <c r="J911" s="136"/>
      <c r="K911" s="136"/>
      <c r="L911" s="136"/>
      <c r="M911" s="136"/>
      <c r="N911" s="136"/>
      <c r="O911" s="136"/>
      <c r="P911" s="136"/>
      <c r="Q911" s="136"/>
      <c r="R911" s="136"/>
      <c r="S911" s="136"/>
      <c r="T911" s="136"/>
      <c r="U911" s="136"/>
      <c r="V911" s="136"/>
      <c r="W911" s="136"/>
      <c r="X911" s="136"/>
      <c r="Y911" s="136"/>
      <c r="Z911" s="136"/>
    </row>
    <row r="912" spans="1:26" ht="14.25" customHeight="1">
      <c r="A912" s="136"/>
      <c r="B912" s="136"/>
      <c r="C912" s="136"/>
      <c r="D912" s="136"/>
      <c r="E912" s="136"/>
      <c r="F912" s="136"/>
      <c r="G912" s="136"/>
      <c r="H912" s="136"/>
      <c r="I912" s="140"/>
      <c r="J912" s="136"/>
      <c r="K912" s="136"/>
      <c r="L912" s="136"/>
      <c r="M912" s="136"/>
      <c r="N912" s="136"/>
      <c r="O912" s="136"/>
      <c r="P912" s="136"/>
      <c r="Q912" s="136"/>
      <c r="R912" s="136"/>
      <c r="S912" s="136"/>
      <c r="T912" s="136"/>
      <c r="U912" s="136"/>
      <c r="V912" s="136"/>
      <c r="W912" s="136"/>
      <c r="X912" s="136"/>
      <c r="Y912" s="136"/>
      <c r="Z912" s="136"/>
    </row>
    <row r="913" spans="1:26" ht="14.25" customHeight="1">
      <c r="A913" s="136"/>
      <c r="B913" s="136"/>
      <c r="C913" s="136"/>
      <c r="D913" s="136"/>
      <c r="E913" s="136"/>
      <c r="F913" s="136"/>
      <c r="G913" s="136"/>
      <c r="H913" s="136"/>
      <c r="I913" s="140"/>
      <c r="J913" s="136"/>
      <c r="K913" s="136"/>
      <c r="L913" s="136"/>
      <c r="M913" s="136"/>
      <c r="N913" s="136"/>
      <c r="O913" s="136"/>
      <c r="P913" s="136"/>
      <c r="Q913" s="136"/>
      <c r="R913" s="136"/>
      <c r="S913" s="136"/>
      <c r="T913" s="136"/>
      <c r="U913" s="136"/>
      <c r="V913" s="136"/>
      <c r="W913" s="136"/>
      <c r="X913" s="136"/>
      <c r="Y913" s="136"/>
      <c r="Z913" s="136"/>
    </row>
    <row r="914" spans="1:26" ht="14.25" customHeight="1">
      <c r="A914" s="136"/>
      <c r="B914" s="136"/>
      <c r="C914" s="136"/>
      <c r="D914" s="136"/>
      <c r="E914" s="136"/>
      <c r="F914" s="136"/>
      <c r="G914" s="136"/>
      <c r="H914" s="136"/>
      <c r="I914" s="140"/>
      <c r="J914" s="136"/>
      <c r="K914" s="136"/>
      <c r="L914" s="136"/>
      <c r="M914" s="136"/>
      <c r="N914" s="136"/>
      <c r="O914" s="136"/>
      <c r="P914" s="136"/>
      <c r="Q914" s="136"/>
      <c r="R914" s="136"/>
      <c r="S914" s="136"/>
      <c r="T914" s="136"/>
      <c r="U914" s="136"/>
      <c r="V914" s="136"/>
      <c r="W914" s="136"/>
      <c r="X914" s="136"/>
      <c r="Y914" s="136"/>
      <c r="Z914" s="136"/>
    </row>
    <row r="915" spans="1:26" ht="14.25" customHeight="1">
      <c r="A915" s="136"/>
      <c r="B915" s="136"/>
      <c r="C915" s="136"/>
      <c r="D915" s="136"/>
      <c r="E915" s="136"/>
      <c r="F915" s="136"/>
      <c r="G915" s="136"/>
      <c r="H915" s="136"/>
      <c r="I915" s="140"/>
      <c r="J915" s="136"/>
      <c r="K915" s="136"/>
      <c r="L915" s="136"/>
      <c r="M915" s="136"/>
      <c r="N915" s="136"/>
      <c r="O915" s="136"/>
      <c r="P915" s="136"/>
      <c r="Q915" s="136"/>
      <c r="R915" s="136"/>
      <c r="S915" s="136"/>
      <c r="T915" s="136"/>
      <c r="U915" s="136"/>
      <c r="V915" s="136"/>
      <c r="W915" s="136"/>
      <c r="X915" s="136"/>
      <c r="Y915" s="136"/>
      <c r="Z915" s="136"/>
    </row>
    <row r="916" spans="1:26" ht="14.25" customHeight="1">
      <c r="A916" s="136"/>
      <c r="B916" s="136"/>
      <c r="C916" s="136"/>
      <c r="D916" s="136"/>
      <c r="E916" s="136"/>
      <c r="F916" s="136"/>
      <c r="G916" s="136"/>
      <c r="H916" s="136"/>
      <c r="I916" s="140"/>
      <c r="J916" s="136"/>
      <c r="K916" s="136"/>
      <c r="L916" s="136"/>
      <c r="M916" s="136"/>
      <c r="N916" s="136"/>
      <c r="O916" s="136"/>
      <c r="P916" s="136"/>
      <c r="Q916" s="136"/>
      <c r="R916" s="136"/>
      <c r="S916" s="136"/>
      <c r="T916" s="136"/>
      <c r="U916" s="136"/>
      <c r="V916" s="136"/>
      <c r="W916" s="136"/>
      <c r="X916" s="136"/>
      <c r="Y916" s="136"/>
      <c r="Z916" s="136"/>
    </row>
    <row r="917" spans="1:26" ht="14.25" customHeight="1">
      <c r="A917" s="136"/>
      <c r="B917" s="136"/>
      <c r="C917" s="136"/>
      <c r="D917" s="136"/>
      <c r="E917" s="136"/>
      <c r="F917" s="136"/>
      <c r="G917" s="136"/>
      <c r="H917" s="136"/>
      <c r="I917" s="140"/>
      <c r="J917" s="136"/>
      <c r="K917" s="136"/>
      <c r="L917" s="136"/>
      <c r="M917" s="136"/>
      <c r="N917" s="136"/>
      <c r="O917" s="136"/>
      <c r="P917" s="136"/>
      <c r="Q917" s="136"/>
      <c r="R917" s="136"/>
      <c r="S917" s="136"/>
      <c r="T917" s="136"/>
      <c r="U917" s="136"/>
      <c r="V917" s="136"/>
      <c r="W917" s="136"/>
      <c r="X917" s="136"/>
      <c r="Y917" s="136"/>
      <c r="Z917" s="136"/>
    </row>
    <row r="918" spans="1:26" ht="14.25" customHeight="1">
      <c r="A918" s="136"/>
      <c r="B918" s="136"/>
      <c r="C918" s="136"/>
      <c r="D918" s="136"/>
      <c r="E918" s="136"/>
      <c r="F918" s="136"/>
      <c r="G918" s="136"/>
      <c r="H918" s="136"/>
      <c r="I918" s="140"/>
      <c r="J918" s="136"/>
      <c r="K918" s="136"/>
      <c r="L918" s="136"/>
      <c r="M918" s="136"/>
      <c r="N918" s="136"/>
      <c r="O918" s="136"/>
      <c r="P918" s="136"/>
      <c r="Q918" s="136"/>
      <c r="R918" s="136"/>
      <c r="S918" s="136"/>
      <c r="T918" s="136"/>
      <c r="U918" s="136"/>
      <c r="V918" s="136"/>
      <c r="W918" s="136"/>
      <c r="X918" s="136"/>
      <c r="Y918" s="136"/>
      <c r="Z918" s="136"/>
    </row>
    <row r="919" spans="1:26" ht="14.25" customHeight="1">
      <c r="A919" s="136"/>
      <c r="B919" s="136"/>
      <c r="C919" s="136"/>
      <c r="D919" s="136"/>
      <c r="E919" s="136"/>
      <c r="F919" s="136"/>
      <c r="G919" s="136"/>
      <c r="H919" s="136"/>
      <c r="I919" s="140"/>
      <c r="J919" s="136"/>
      <c r="K919" s="136"/>
      <c r="L919" s="136"/>
      <c r="M919" s="136"/>
      <c r="N919" s="136"/>
      <c r="O919" s="136"/>
      <c r="P919" s="136"/>
      <c r="Q919" s="136"/>
      <c r="R919" s="136"/>
      <c r="S919" s="136"/>
      <c r="T919" s="136"/>
      <c r="U919" s="136"/>
      <c r="V919" s="136"/>
      <c r="W919" s="136"/>
      <c r="X919" s="136"/>
      <c r="Y919" s="136"/>
      <c r="Z919" s="136"/>
    </row>
    <row r="920" spans="1:26" ht="14.25" customHeight="1">
      <c r="A920" s="136"/>
      <c r="B920" s="136"/>
      <c r="C920" s="136"/>
      <c r="D920" s="136"/>
      <c r="E920" s="136"/>
      <c r="F920" s="136"/>
      <c r="G920" s="136"/>
      <c r="H920" s="136"/>
      <c r="I920" s="140"/>
      <c r="J920" s="136"/>
      <c r="K920" s="136"/>
      <c r="L920" s="136"/>
      <c r="M920" s="136"/>
      <c r="N920" s="136"/>
      <c r="O920" s="136"/>
      <c r="P920" s="136"/>
      <c r="Q920" s="136"/>
      <c r="R920" s="136"/>
      <c r="S920" s="136"/>
      <c r="T920" s="136"/>
      <c r="U920" s="136"/>
      <c r="V920" s="136"/>
      <c r="W920" s="136"/>
      <c r="X920" s="136"/>
      <c r="Y920" s="136"/>
      <c r="Z920" s="136"/>
    </row>
    <row r="921" spans="1:26" ht="14.25" customHeight="1">
      <c r="A921" s="136"/>
      <c r="B921" s="136"/>
      <c r="C921" s="136"/>
      <c r="D921" s="136"/>
      <c r="E921" s="136"/>
      <c r="F921" s="136"/>
      <c r="G921" s="136"/>
      <c r="H921" s="136"/>
      <c r="I921" s="140"/>
      <c r="J921" s="136"/>
      <c r="K921" s="136"/>
      <c r="L921" s="136"/>
      <c r="M921" s="136"/>
      <c r="N921" s="136"/>
      <c r="O921" s="136"/>
      <c r="P921" s="136"/>
      <c r="Q921" s="136"/>
      <c r="R921" s="136"/>
      <c r="S921" s="136"/>
      <c r="T921" s="136"/>
      <c r="U921" s="136"/>
      <c r="V921" s="136"/>
      <c r="W921" s="136"/>
      <c r="X921" s="136"/>
      <c r="Y921" s="136"/>
      <c r="Z921" s="136"/>
    </row>
    <row r="922" spans="1:26" ht="14.25" customHeight="1">
      <c r="A922" s="136"/>
      <c r="B922" s="136"/>
      <c r="C922" s="136"/>
      <c r="D922" s="136"/>
      <c r="E922" s="136"/>
      <c r="F922" s="136"/>
      <c r="G922" s="136"/>
      <c r="H922" s="136"/>
      <c r="I922" s="140"/>
      <c r="J922" s="136"/>
      <c r="K922" s="136"/>
      <c r="L922" s="136"/>
      <c r="M922" s="136"/>
      <c r="N922" s="136"/>
      <c r="O922" s="136"/>
      <c r="P922" s="136"/>
      <c r="Q922" s="136"/>
      <c r="R922" s="136"/>
      <c r="S922" s="136"/>
      <c r="T922" s="136"/>
      <c r="U922" s="136"/>
      <c r="V922" s="136"/>
      <c r="W922" s="136"/>
      <c r="X922" s="136"/>
      <c r="Y922" s="136"/>
      <c r="Z922" s="136"/>
    </row>
    <row r="923" spans="1:26" ht="14.25" customHeight="1">
      <c r="A923" s="136"/>
      <c r="B923" s="136"/>
      <c r="C923" s="136"/>
      <c r="D923" s="136"/>
      <c r="E923" s="136"/>
      <c r="F923" s="136"/>
      <c r="G923" s="136"/>
      <c r="H923" s="136"/>
      <c r="I923" s="140"/>
      <c r="J923" s="136"/>
      <c r="K923" s="136"/>
      <c r="L923" s="136"/>
      <c r="M923" s="136"/>
      <c r="N923" s="136"/>
      <c r="O923" s="136"/>
      <c r="P923" s="136"/>
      <c r="Q923" s="136"/>
      <c r="R923" s="136"/>
      <c r="S923" s="136"/>
      <c r="T923" s="136"/>
      <c r="U923" s="136"/>
      <c r="V923" s="136"/>
      <c r="W923" s="136"/>
      <c r="X923" s="136"/>
      <c r="Y923" s="136"/>
      <c r="Z923" s="136"/>
    </row>
    <row r="924" spans="1:26" ht="14.25" customHeight="1">
      <c r="A924" s="136"/>
      <c r="B924" s="136"/>
      <c r="C924" s="136"/>
      <c r="D924" s="136"/>
      <c r="E924" s="136"/>
      <c r="F924" s="136"/>
      <c r="G924" s="136"/>
      <c r="H924" s="136"/>
      <c r="I924" s="140"/>
      <c r="J924" s="136"/>
      <c r="K924" s="136"/>
      <c r="L924" s="136"/>
      <c r="M924" s="136"/>
      <c r="N924" s="136"/>
      <c r="O924" s="136"/>
      <c r="P924" s="136"/>
      <c r="Q924" s="136"/>
      <c r="R924" s="136"/>
      <c r="S924" s="136"/>
      <c r="T924" s="136"/>
      <c r="U924" s="136"/>
      <c r="V924" s="136"/>
      <c r="W924" s="136"/>
      <c r="X924" s="136"/>
      <c r="Y924" s="136"/>
      <c r="Z924" s="136"/>
    </row>
    <row r="925" spans="1:26" ht="14.25" customHeight="1">
      <c r="A925" s="136"/>
      <c r="B925" s="136"/>
      <c r="C925" s="136"/>
      <c r="D925" s="136"/>
      <c r="E925" s="136"/>
      <c r="F925" s="136"/>
      <c r="G925" s="136"/>
      <c r="H925" s="136"/>
      <c r="I925" s="140"/>
      <c r="J925" s="136"/>
      <c r="K925" s="136"/>
      <c r="L925" s="136"/>
      <c r="M925" s="136"/>
      <c r="N925" s="136"/>
      <c r="O925" s="136"/>
      <c r="P925" s="136"/>
      <c r="Q925" s="136"/>
      <c r="R925" s="136"/>
      <c r="S925" s="136"/>
      <c r="T925" s="136"/>
      <c r="U925" s="136"/>
      <c r="V925" s="136"/>
      <c r="W925" s="136"/>
      <c r="X925" s="136"/>
      <c r="Y925" s="136"/>
      <c r="Z925" s="136"/>
    </row>
    <row r="926" spans="1:26" ht="14.25" customHeight="1">
      <c r="A926" s="136"/>
      <c r="B926" s="136"/>
      <c r="C926" s="136"/>
      <c r="D926" s="136"/>
      <c r="E926" s="136"/>
      <c r="F926" s="136"/>
      <c r="G926" s="136"/>
      <c r="H926" s="136"/>
      <c r="I926" s="140"/>
      <c r="J926" s="136"/>
      <c r="K926" s="136"/>
      <c r="L926" s="136"/>
      <c r="M926" s="136"/>
      <c r="N926" s="136"/>
      <c r="O926" s="136"/>
      <c r="P926" s="136"/>
      <c r="Q926" s="136"/>
      <c r="R926" s="136"/>
      <c r="S926" s="136"/>
      <c r="T926" s="136"/>
      <c r="U926" s="136"/>
      <c r="V926" s="136"/>
      <c r="W926" s="136"/>
      <c r="X926" s="136"/>
      <c r="Y926" s="136"/>
      <c r="Z926" s="136"/>
    </row>
    <row r="927" spans="1:26" ht="14.25" customHeight="1">
      <c r="A927" s="136"/>
      <c r="B927" s="136"/>
      <c r="C927" s="136"/>
      <c r="D927" s="136"/>
      <c r="E927" s="136"/>
      <c r="F927" s="136"/>
      <c r="G927" s="136"/>
      <c r="H927" s="136"/>
      <c r="I927" s="140"/>
      <c r="J927" s="136"/>
      <c r="K927" s="136"/>
      <c r="L927" s="136"/>
      <c r="M927" s="136"/>
      <c r="N927" s="136"/>
      <c r="O927" s="136"/>
      <c r="P927" s="136"/>
      <c r="Q927" s="136"/>
      <c r="R927" s="136"/>
      <c r="S927" s="136"/>
      <c r="T927" s="136"/>
      <c r="U927" s="136"/>
      <c r="V927" s="136"/>
      <c r="W927" s="136"/>
      <c r="X927" s="136"/>
      <c r="Y927" s="136"/>
      <c r="Z927" s="136"/>
    </row>
    <row r="928" spans="1:26" ht="14.25" customHeight="1">
      <c r="A928" s="136"/>
      <c r="B928" s="136"/>
      <c r="C928" s="136"/>
      <c r="D928" s="136"/>
      <c r="E928" s="136"/>
      <c r="F928" s="136"/>
      <c r="G928" s="136"/>
      <c r="H928" s="136"/>
      <c r="I928" s="140"/>
      <c r="J928" s="136"/>
      <c r="K928" s="136"/>
      <c r="L928" s="136"/>
      <c r="M928" s="136"/>
      <c r="N928" s="136"/>
      <c r="O928" s="136"/>
      <c r="P928" s="136"/>
      <c r="Q928" s="136"/>
      <c r="R928" s="136"/>
      <c r="S928" s="136"/>
      <c r="T928" s="136"/>
      <c r="U928" s="136"/>
      <c r="V928" s="136"/>
      <c r="W928" s="136"/>
      <c r="X928" s="136"/>
      <c r="Y928" s="136"/>
      <c r="Z928" s="136"/>
    </row>
    <row r="929" spans="1:26" ht="14.25" customHeight="1">
      <c r="A929" s="136"/>
      <c r="B929" s="136"/>
      <c r="C929" s="136"/>
      <c r="D929" s="136"/>
      <c r="E929" s="136"/>
      <c r="F929" s="136"/>
      <c r="G929" s="136"/>
      <c r="H929" s="136"/>
      <c r="I929" s="140"/>
      <c r="J929" s="136"/>
      <c r="K929" s="136"/>
      <c r="L929" s="136"/>
      <c r="M929" s="136"/>
      <c r="N929" s="136"/>
      <c r="O929" s="136"/>
      <c r="P929" s="136"/>
      <c r="Q929" s="136"/>
      <c r="R929" s="136"/>
      <c r="S929" s="136"/>
      <c r="T929" s="136"/>
      <c r="U929" s="136"/>
      <c r="V929" s="136"/>
      <c r="W929" s="136"/>
      <c r="X929" s="136"/>
      <c r="Y929" s="136"/>
      <c r="Z929" s="136"/>
    </row>
    <row r="930" spans="1:26" ht="14.25" customHeight="1">
      <c r="A930" s="136"/>
      <c r="B930" s="136"/>
      <c r="C930" s="136"/>
      <c r="D930" s="136"/>
      <c r="E930" s="136"/>
      <c r="F930" s="136"/>
      <c r="G930" s="136"/>
      <c r="H930" s="136"/>
      <c r="I930" s="140"/>
      <c r="J930" s="136"/>
      <c r="K930" s="136"/>
      <c r="L930" s="136"/>
      <c r="M930" s="136"/>
      <c r="N930" s="136"/>
      <c r="O930" s="136"/>
      <c r="P930" s="136"/>
      <c r="Q930" s="136"/>
      <c r="R930" s="136"/>
      <c r="S930" s="136"/>
      <c r="T930" s="136"/>
      <c r="U930" s="136"/>
      <c r="V930" s="136"/>
      <c r="W930" s="136"/>
      <c r="X930" s="136"/>
      <c r="Y930" s="136"/>
      <c r="Z930" s="136"/>
    </row>
    <row r="931" spans="1:26" ht="14.25" customHeight="1">
      <c r="A931" s="136"/>
      <c r="B931" s="136"/>
      <c r="C931" s="136"/>
      <c r="D931" s="136"/>
      <c r="E931" s="136"/>
      <c r="F931" s="136"/>
      <c r="G931" s="136"/>
      <c r="H931" s="136"/>
      <c r="I931" s="140"/>
      <c r="J931" s="136"/>
      <c r="K931" s="136"/>
      <c r="L931" s="136"/>
      <c r="M931" s="136"/>
      <c r="N931" s="136"/>
      <c r="O931" s="136"/>
      <c r="P931" s="136"/>
      <c r="Q931" s="136"/>
      <c r="R931" s="136"/>
      <c r="S931" s="136"/>
      <c r="T931" s="136"/>
      <c r="U931" s="136"/>
      <c r="V931" s="136"/>
      <c r="W931" s="136"/>
      <c r="X931" s="136"/>
      <c r="Y931" s="136"/>
      <c r="Z931" s="136"/>
    </row>
    <row r="932" spans="1:26" ht="14.25" customHeight="1">
      <c r="A932" s="136"/>
      <c r="B932" s="136"/>
      <c r="C932" s="136"/>
      <c r="D932" s="136"/>
      <c r="E932" s="136"/>
      <c r="F932" s="136"/>
      <c r="G932" s="136"/>
      <c r="H932" s="136"/>
      <c r="I932" s="140"/>
      <c r="J932" s="136"/>
      <c r="K932" s="136"/>
      <c r="L932" s="136"/>
      <c r="M932" s="136"/>
      <c r="N932" s="136"/>
      <c r="O932" s="136"/>
      <c r="P932" s="136"/>
      <c r="Q932" s="136"/>
      <c r="R932" s="136"/>
      <c r="S932" s="136"/>
      <c r="T932" s="136"/>
      <c r="U932" s="136"/>
      <c r="V932" s="136"/>
      <c r="W932" s="136"/>
      <c r="X932" s="136"/>
      <c r="Y932" s="136"/>
      <c r="Z932" s="136"/>
    </row>
    <row r="933" spans="1:26" ht="14.25" customHeight="1">
      <c r="A933" s="136"/>
      <c r="B933" s="136"/>
      <c r="C933" s="136"/>
      <c r="D933" s="136"/>
      <c r="E933" s="136"/>
      <c r="F933" s="136"/>
      <c r="G933" s="136"/>
      <c r="H933" s="136"/>
      <c r="I933" s="140"/>
      <c r="J933" s="136"/>
      <c r="K933" s="136"/>
      <c r="L933" s="136"/>
      <c r="M933" s="136"/>
      <c r="N933" s="136"/>
      <c r="O933" s="136"/>
      <c r="P933" s="136"/>
      <c r="Q933" s="136"/>
      <c r="R933" s="136"/>
      <c r="S933" s="136"/>
      <c r="T933" s="136"/>
      <c r="U933" s="136"/>
      <c r="V933" s="136"/>
      <c r="W933" s="136"/>
      <c r="X933" s="136"/>
      <c r="Y933" s="136"/>
      <c r="Z933" s="136"/>
    </row>
    <row r="934" spans="1:26" ht="14.25" customHeight="1">
      <c r="A934" s="136"/>
      <c r="B934" s="136"/>
      <c r="C934" s="136"/>
      <c r="D934" s="136"/>
      <c r="E934" s="136"/>
      <c r="F934" s="136"/>
      <c r="G934" s="136"/>
      <c r="H934" s="136"/>
      <c r="I934" s="140"/>
      <c r="J934" s="136"/>
      <c r="K934" s="136"/>
      <c r="L934" s="136"/>
      <c r="M934" s="136"/>
      <c r="N934" s="136"/>
      <c r="O934" s="136"/>
      <c r="P934" s="136"/>
      <c r="Q934" s="136"/>
      <c r="R934" s="136"/>
      <c r="S934" s="136"/>
      <c r="T934" s="136"/>
      <c r="U934" s="136"/>
      <c r="V934" s="136"/>
      <c r="W934" s="136"/>
      <c r="X934" s="136"/>
      <c r="Y934" s="136"/>
      <c r="Z934" s="136"/>
    </row>
    <row r="935" spans="1:26" ht="14.25" customHeight="1">
      <c r="A935" s="136"/>
      <c r="B935" s="136"/>
      <c r="C935" s="136"/>
      <c r="D935" s="136"/>
      <c r="E935" s="136"/>
      <c r="F935" s="136"/>
      <c r="G935" s="136"/>
      <c r="H935" s="136"/>
      <c r="I935" s="140"/>
      <c r="J935" s="136"/>
      <c r="K935" s="136"/>
      <c r="L935" s="136"/>
      <c r="M935" s="136"/>
      <c r="N935" s="136"/>
      <c r="O935" s="136"/>
      <c r="P935" s="136"/>
      <c r="Q935" s="136"/>
      <c r="R935" s="136"/>
      <c r="S935" s="136"/>
      <c r="T935" s="136"/>
      <c r="U935" s="136"/>
      <c r="V935" s="136"/>
      <c r="W935" s="136"/>
      <c r="X935" s="136"/>
      <c r="Y935" s="136"/>
      <c r="Z935" s="136"/>
    </row>
    <row r="936" spans="1:26" ht="14.25" customHeight="1">
      <c r="A936" s="136"/>
      <c r="B936" s="136"/>
      <c r="C936" s="136"/>
      <c r="D936" s="136"/>
      <c r="E936" s="136"/>
      <c r="F936" s="136"/>
      <c r="G936" s="136"/>
      <c r="H936" s="136"/>
      <c r="I936" s="140"/>
      <c r="J936" s="136"/>
      <c r="K936" s="136"/>
      <c r="L936" s="136"/>
      <c r="M936" s="136"/>
      <c r="N936" s="136"/>
      <c r="O936" s="136"/>
      <c r="P936" s="136"/>
      <c r="Q936" s="136"/>
      <c r="R936" s="136"/>
      <c r="S936" s="136"/>
      <c r="T936" s="136"/>
      <c r="U936" s="136"/>
      <c r="V936" s="136"/>
      <c r="W936" s="136"/>
      <c r="X936" s="136"/>
      <c r="Y936" s="136"/>
      <c r="Z936" s="136"/>
    </row>
    <row r="937" spans="1:26" ht="14.25" customHeight="1">
      <c r="A937" s="136"/>
      <c r="B937" s="136"/>
      <c r="C937" s="136"/>
      <c r="D937" s="136"/>
      <c r="E937" s="136"/>
      <c r="F937" s="136"/>
      <c r="G937" s="136"/>
      <c r="H937" s="136"/>
      <c r="I937" s="140"/>
      <c r="J937" s="136"/>
      <c r="K937" s="136"/>
      <c r="L937" s="136"/>
      <c r="M937" s="136"/>
      <c r="N937" s="136"/>
      <c r="O937" s="136"/>
      <c r="P937" s="136"/>
      <c r="Q937" s="136"/>
      <c r="R937" s="136"/>
      <c r="S937" s="136"/>
      <c r="T937" s="136"/>
      <c r="U937" s="136"/>
      <c r="V937" s="136"/>
      <c r="W937" s="136"/>
      <c r="X937" s="136"/>
      <c r="Y937" s="136"/>
      <c r="Z937" s="136"/>
    </row>
    <row r="938" spans="1:26" ht="14.25" customHeight="1">
      <c r="A938" s="136"/>
      <c r="B938" s="136"/>
      <c r="C938" s="136"/>
      <c r="D938" s="136"/>
      <c r="E938" s="136"/>
      <c r="F938" s="136"/>
      <c r="G938" s="136"/>
      <c r="H938" s="136"/>
      <c r="I938" s="140"/>
      <c r="J938" s="136"/>
      <c r="K938" s="136"/>
      <c r="L938" s="136"/>
      <c r="M938" s="136"/>
      <c r="N938" s="136"/>
      <c r="O938" s="136"/>
      <c r="P938" s="136"/>
      <c r="Q938" s="136"/>
      <c r="R938" s="136"/>
      <c r="S938" s="136"/>
      <c r="T938" s="136"/>
      <c r="U938" s="136"/>
      <c r="V938" s="136"/>
      <c r="W938" s="136"/>
      <c r="X938" s="136"/>
      <c r="Y938" s="136"/>
      <c r="Z938" s="136"/>
    </row>
    <row r="939" spans="1:26" ht="14.25" customHeight="1">
      <c r="A939" s="136"/>
      <c r="B939" s="136"/>
      <c r="C939" s="136"/>
      <c r="D939" s="136"/>
      <c r="E939" s="136"/>
      <c r="F939" s="136"/>
      <c r="G939" s="136"/>
      <c r="H939" s="136"/>
      <c r="I939" s="140"/>
      <c r="J939" s="136"/>
      <c r="K939" s="136"/>
      <c r="L939" s="136"/>
      <c r="M939" s="136"/>
      <c r="N939" s="136"/>
      <c r="O939" s="136"/>
      <c r="P939" s="136"/>
      <c r="Q939" s="136"/>
      <c r="R939" s="136"/>
      <c r="S939" s="136"/>
      <c r="T939" s="136"/>
      <c r="U939" s="136"/>
      <c r="V939" s="136"/>
      <c r="W939" s="136"/>
      <c r="X939" s="136"/>
      <c r="Y939" s="136"/>
      <c r="Z939" s="136"/>
    </row>
    <row r="940" spans="1:26" ht="14.25" customHeight="1">
      <c r="A940" s="136"/>
      <c r="B940" s="136"/>
      <c r="C940" s="136"/>
      <c r="D940" s="136"/>
      <c r="E940" s="136"/>
      <c r="F940" s="136"/>
      <c r="G940" s="136"/>
      <c r="H940" s="136"/>
      <c r="I940" s="140"/>
      <c r="J940" s="136"/>
      <c r="K940" s="136"/>
      <c r="L940" s="136"/>
      <c r="M940" s="136"/>
      <c r="N940" s="136"/>
      <c r="O940" s="136"/>
      <c r="P940" s="136"/>
      <c r="Q940" s="136"/>
      <c r="R940" s="136"/>
      <c r="S940" s="136"/>
      <c r="T940" s="136"/>
      <c r="U940" s="136"/>
      <c r="V940" s="136"/>
      <c r="W940" s="136"/>
      <c r="X940" s="136"/>
      <c r="Y940" s="136"/>
      <c r="Z940" s="136"/>
    </row>
    <row r="941" spans="1:26" ht="14.25" customHeight="1">
      <c r="A941" s="136"/>
      <c r="B941" s="136"/>
      <c r="C941" s="136"/>
      <c r="D941" s="136"/>
      <c r="E941" s="136"/>
      <c r="F941" s="136"/>
      <c r="G941" s="136"/>
      <c r="H941" s="136"/>
      <c r="I941" s="140"/>
      <c r="J941" s="136"/>
      <c r="K941" s="136"/>
      <c r="L941" s="136"/>
      <c r="M941" s="136"/>
      <c r="N941" s="136"/>
      <c r="O941" s="136"/>
      <c r="P941" s="136"/>
      <c r="Q941" s="136"/>
      <c r="R941" s="136"/>
      <c r="S941" s="136"/>
      <c r="T941" s="136"/>
      <c r="U941" s="136"/>
      <c r="V941" s="136"/>
      <c r="W941" s="136"/>
      <c r="X941" s="136"/>
      <c r="Y941" s="136"/>
      <c r="Z941" s="136"/>
    </row>
    <row r="942" spans="1:26" ht="14.25" customHeight="1">
      <c r="A942" s="136"/>
      <c r="B942" s="136"/>
      <c r="C942" s="136"/>
      <c r="D942" s="136"/>
      <c r="E942" s="136"/>
      <c r="F942" s="136"/>
      <c r="G942" s="136"/>
      <c r="H942" s="136"/>
      <c r="I942" s="140"/>
      <c r="J942" s="136"/>
      <c r="K942" s="136"/>
      <c r="L942" s="136"/>
      <c r="M942" s="136"/>
      <c r="N942" s="136"/>
      <c r="O942" s="136"/>
      <c r="P942" s="136"/>
      <c r="Q942" s="136"/>
      <c r="R942" s="136"/>
      <c r="S942" s="136"/>
      <c r="T942" s="136"/>
      <c r="U942" s="136"/>
      <c r="V942" s="136"/>
      <c r="W942" s="136"/>
      <c r="X942" s="136"/>
      <c r="Y942" s="136"/>
      <c r="Z942" s="136"/>
    </row>
    <row r="943" spans="1:26" ht="14.25" customHeight="1">
      <c r="A943" s="136"/>
      <c r="B943" s="136"/>
      <c r="C943" s="136"/>
      <c r="D943" s="136"/>
      <c r="E943" s="136"/>
      <c r="F943" s="136"/>
      <c r="G943" s="136"/>
      <c r="H943" s="136"/>
      <c r="I943" s="140"/>
      <c r="J943" s="136"/>
      <c r="K943" s="136"/>
      <c r="L943" s="136"/>
      <c r="M943" s="136"/>
      <c r="N943" s="136"/>
      <c r="O943" s="136"/>
      <c r="P943" s="136"/>
      <c r="Q943" s="136"/>
      <c r="R943" s="136"/>
      <c r="S943" s="136"/>
      <c r="T943" s="136"/>
      <c r="U943" s="136"/>
      <c r="V943" s="136"/>
      <c r="W943" s="136"/>
      <c r="X943" s="136"/>
      <c r="Y943" s="136"/>
      <c r="Z943" s="136"/>
    </row>
    <row r="944" spans="1:26" ht="14.25" customHeight="1">
      <c r="A944" s="136"/>
      <c r="B944" s="136"/>
      <c r="C944" s="136"/>
      <c r="D944" s="136"/>
      <c r="E944" s="136"/>
      <c r="F944" s="136"/>
      <c r="G944" s="136"/>
      <c r="H944" s="136"/>
      <c r="I944" s="140"/>
      <c r="J944" s="136"/>
      <c r="K944" s="136"/>
      <c r="L944" s="136"/>
      <c r="M944" s="136"/>
      <c r="N944" s="136"/>
      <c r="O944" s="136"/>
      <c r="P944" s="136"/>
      <c r="Q944" s="136"/>
      <c r="R944" s="136"/>
      <c r="S944" s="136"/>
      <c r="T944" s="136"/>
      <c r="U944" s="136"/>
      <c r="V944" s="136"/>
      <c r="W944" s="136"/>
      <c r="X944" s="136"/>
      <c r="Y944" s="136"/>
      <c r="Z944" s="136"/>
    </row>
    <row r="945" spans="1:26" ht="14.25" customHeight="1">
      <c r="A945" s="136"/>
      <c r="B945" s="136"/>
      <c r="C945" s="136"/>
      <c r="D945" s="136"/>
      <c r="E945" s="136"/>
      <c r="F945" s="136"/>
      <c r="G945" s="136"/>
      <c r="H945" s="136"/>
      <c r="I945" s="140"/>
      <c r="J945" s="136"/>
      <c r="K945" s="136"/>
      <c r="L945" s="136"/>
      <c r="M945" s="136"/>
      <c r="N945" s="136"/>
      <c r="O945" s="136"/>
      <c r="P945" s="136"/>
      <c r="Q945" s="136"/>
      <c r="R945" s="136"/>
      <c r="S945" s="136"/>
      <c r="T945" s="136"/>
      <c r="U945" s="136"/>
      <c r="V945" s="136"/>
      <c r="W945" s="136"/>
      <c r="X945" s="136"/>
      <c r="Y945" s="136"/>
      <c r="Z945" s="136"/>
    </row>
    <row r="946" spans="1:26" ht="14.25" customHeight="1">
      <c r="A946" s="136"/>
      <c r="B946" s="136"/>
      <c r="C946" s="136"/>
      <c r="D946" s="136"/>
      <c r="E946" s="136"/>
      <c r="F946" s="136"/>
      <c r="G946" s="136"/>
      <c r="H946" s="136"/>
      <c r="I946" s="140"/>
      <c r="J946" s="136"/>
      <c r="K946" s="136"/>
      <c r="L946" s="136"/>
      <c r="M946" s="136"/>
      <c r="N946" s="136"/>
      <c r="O946" s="136"/>
      <c r="P946" s="136"/>
      <c r="Q946" s="136"/>
      <c r="R946" s="136"/>
      <c r="S946" s="136"/>
      <c r="T946" s="136"/>
      <c r="U946" s="136"/>
      <c r="V946" s="136"/>
      <c r="W946" s="136"/>
      <c r="X946" s="136"/>
      <c r="Y946" s="136"/>
      <c r="Z946" s="136"/>
    </row>
    <row r="947" spans="1:26" ht="14.25" customHeight="1">
      <c r="A947" s="136"/>
      <c r="B947" s="136"/>
      <c r="C947" s="136"/>
      <c r="D947" s="136"/>
      <c r="E947" s="136"/>
      <c r="F947" s="136"/>
      <c r="G947" s="136"/>
      <c r="H947" s="136"/>
      <c r="I947" s="140"/>
      <c r="J947" s="136"/>
      <c r="K947" s="136"/>
      <c r="L947" s="136"/>
      <c r="M947" s="136"/>
      <c r="N947" s="136"/>
      <c r="O947" s="136"/>
      <c r="P947" s="136"/>
      <c r="Q947" s="136"/>
      <c r="R947" s="136"/>
      <c r="S947" s="136"/>
      <c r="T947" s="136"/>
      <c r="U947" s="136"/>
      <c r="V947" s="136"/>
      <c r="W947" s="136"/>
      <c r="X947" s="136"/>
      <c r="Y947" s="136"/>
      <c r="Z947" s="136"/>
    </row>
    <row r="948" spans="1:26" ht="14.25" customHeight="1">
      <c r="A948" s="136"/>
      <c r="B948" s="136"/>
      <c r="C948" s="136"/>
      <c r="D948" s="136"/>
      <c r="E948" s="136"/>
      <c r="F948" s="136"/>
      <c r="G948" s="136"/>
      <c r="H948" s="136"/>
      <c r="I948" s="140"/>
      <c r="J948" s="136"/>
      <c r="K948" s="136"/>
      <c r="L948" s="136"/>
      <c r="M948" s="136"/>
      <c r="N948" s="136"/>
      <c r="O948" s="136"/>
      <c r="P948" s="136"/>
      <c r="Q948" s="136"/>
      <c r="R948" s="136"/>
      <c r="S948" s="136"/>
      <c r="T948" s="136"/>
      <c r="U948" s="136"/>
      <c r="V948" s="136"/>
      <c r="W948" s="136"/>
      <c r="X948" s="136"/>
      <c r="Y948" s="136"/>
      <c r="Z948" s="136"/>
    </row>
    <row r="949" spans="1:26" ht="14.25" customHeight="1">
      <c r="A949" s="136"/>
      <c r="B949" s="136"/>
      <c r="C949" s="136"/>
      <c r="D949" s="136"/>
      <c r="E949" s="136"/>
      <c r="F949" s="136"/>
      <c r="G949" s="136"/>
      <c r="H949" s="136"/>
      <c r="I949" s="140"/>
      <c r="J949" s="136"/>
      <c r="K949" s="136"/>
      <c r="L949" s="136"/>
      <c r="M949" s="136"/>
      <c r="N949" s="136"/>
      <c r="O949" s="136"/>
      <c r="P949" s="136"/>
      <c r="Q949" s="136"/>
      <c r="R949" s="136"/>
      <c r="S949" s="136"/>
      <c r="T949" s="136"/>
      <c r="U949" s="136"/>
      <c r="V949" s="136"/>
      <c r="W949" s="136"/>
      <c r="X949" s="136"/>
      <c r="Y949" s="136"/>
      <c r="Z949" s="136"/>
    </row>
    <row r="950" spans="1:26" ht="14.25" customHeight="1">
      <c r="A950" s="136"/>
      <c r="B950" s="136"/>
      <c r="C950" s="136"/>
      <c r="D950" s="136"/>
      <c r="E950" s="136"/>
      <c r="F950" s="136"/>
      <c r="G950" s="136"/>
      <c r="H950" s="136"/>
      <c r="I950" s="140"/>
      <c r="J950" s="136"/>
      <c r="K950" s="136"/>
      <c r="L950" s="136"/>
      <c r="M950" s="136"/>
      <c r="N950" s="136"/>
      <c r="O950" s="136"/>
      <c r="P950" s="136"/>
      <c r="Q950" s="136"/>
      <c r="R950" s="136"/>
      <c r="S950" s="136"/>
      <c r="T950" s="136"/>
      <c r="U950" s="136"/>
      <c r="V950" s="136"/>
      <c r="W950" s="136"/>
      <c r="X950" s="136"/>
      <c r="Y950" s="136"/>
      <c r="Z950" s="136"/>
    </row>
    <row r="951" spans="1:26" ht="14.25" customHeight="1">
      <c r="A951" s="136"/>
      <c r="B951" s="136"/>
      <c r="C951" s="136"/>
      <c r="D951" s="136"/>
      <c r="E951" s="136"/>
      <c r="F951" s="136"/>
      <c r="G951" s="136"/>
      <c r="H951" s="136"/>
      <c r="I951" s="140"/>
      <c r="J951" s="136"/>
      <c r="K951" s="136"/>
      <c r="L951" s="136"/>
      <c r="M951" s="136"/>
      <c r="N951" s="136"/>
      <c r="O951" s="136"/>
      <c r="P951" s="136"/>
      <c r="Q951" s="136"/>
      <c r="R951" s="136"/>
      <c r="S951" s="136"/>
      <c r="T951" s="136"/>
      <c r="U951" s="136"/>
      <c r="V951" s="136"/>
      <c r="W951" s="136"/>
      <c r="X951" s="136"/>
      <c r="Y951" s="136"/>
      <c r="Z951" s="136"/>
    </row>
    <row r="952" spans="1:26" ht="14.25" customHeight="1">
      <c r="A952" s="136"/>
      <c r="B952" s="136"/>
      <c r="C952" s="136"/>
      <c r="D952" s="136"/>
      <c r="E952" s="136"/>
      <c r="F952" s="136"/>
      <c r="G952" s="136"/>
      <c r="H952" s="136"/>
      <c r="I952" s="140"/>
      <c r="J952" s="136"/>
      <c r="K952" s="136"/>
      <c r="L952" s="136"/>
      <c r="M952" s="136"/>
      <c r="N952" s="136"/>
      <c r="O952" s="136"/>
      <c r="P952" s="136"/>
      <c r="Q952" s="136"/>
      <c r="R952" s="136"/>
      <c r="S952" s="136"/>
      <c r="T952" s="136"/>
      <c r="U952" s="136"/>
      <c r="V952" s="136"/>
      <c r="W952" s="136"/>
      <c r="X952" s="136"/>
      <c r="Y952" s="136"/>
      <c r="Z952" s="136"/>
    </row>
    <row r="953" spans="1:26" ht="14.25" customHeight="1">
      <c r="A953" s="136"/>
      <c r="B953" s="136"/>
      <c r="C953" s="136"/>
      <c r="D953" s="136"/>
      <c r="E953" s="136"/>
      <c r="F953" s="136"/>
      <c r="G953" s="136"/>
      <c r="H953" s="136"/>
      <c r="I953" s="140"/>
      <c r="J953" s="136"/>
      <c r="K953" s="136"/>
      <c r="L953" s="136"/>
      <c r="M953" s="136"/>
      <c r="N953" s="136"/>
      <c r="O953" s="136"/>
      <c r="P953" s="136"/>
      <c r="Q953" s="136"/>
      <c r="R953" s="136"/>
      <c r="S953" s="136"/>
      <c r="T953" s="136"/>
      <c r="U953" s="136"/>
      <c r="V953" s="136"/>
      <c r="W953" s="136"/>
      <c r="X953" s="136"/>
      <c r="Y953" s="136"/>
      <c r="Z953" s="136"/>
    </row>
    <row r="954" spans="1:26" ht="14.25" customHeight="1">
      <c r="A954" s="136"/>
      <c r="B954" s="136"/>
      <c r="C954" s="136"/>
      <c r="D954" s="136"/>
      <c r="E954" s="136"/>
      <c r="F954" s="136"/>
      <c r="G954" s="136"/>
      <c r="H954" s="136"/>
      <c r="I954" s="140"/>
      <c r="J954" s="136"/>
      <c r="K954" s="136"/>
      <c r="L954" s="136"/>
      <c r="M954" s="136"/>
      <c r="N954" s="136"/>
      <c r="O954" s="136"/>
      <c r="P954" s="136"/>
      <c r="Q954" s="136"/>
      <c r="R954" s="136"/>
      <c r="S954" s="136"/>
      <c r="T954" s="136"/>
      <c r="U954" s="136"/>
      <c r="V954" s="136"/>
      <c r="W954" s="136"/>
      <c r="X954" s="136"/>
      <c r="Y954" s="136"/>
      <c r="Z954" s="136"/>
    </row>
    <row r="955" spans="1:26" ht="14.25" customHeight="1">
      <c r="A955" s="136"/>
      <c r="B955" s="136"/>
      <c r="C955" s="136"/>
      <c r="D955" s="136"/>
      <c r="E955" s="136"/>
      <c r="F955" s="136"/>
      <c r="G955" s="136"/>
      <c r="H955" s="136"/>
      <c r="I955" s="140"/>
      <c r="J955" s="136"/>
      <c r="K955" s="136"/>
      <c r="L955" s="136"/>
      <c r="M955" s="136"/>
      <c r="N955" s="136"/>
      <c r="O955" s="136"/>
      <c r="P955" s="136"/>
      <c r="Q955" s="136"/>
      <c r="R955" s="136"/>
      <c r="S955" s="136"/>
      <c r="T955" s="136"/>
      <c r="U955" s="136"/>
      <c r="V955" s="136"/>
      <c r="W955" s="136"/>
      <c r="X955" s="136"/>
      <c r="Y955" s="136"/>
      <c r="Z955" s="136"/>
    </row>
    <row r="956" spans="1:26" ht="14.25" customHeight="1">
      <c r="A956" s="136"/>
      <c r="B956" s="136"/>
      <c r="C956" s="136"/>
      <c r="D956" s="136"/>
      <c r="E956" s="136"/>
      <c r="F956" s="136"/>
      <c r="G956" s="136"/>
      <c r="H956" s="136"/>
      <c r="I956" s="140"/>
      <c r="J956" s="136"/>
      <c r="K956" s="136"/>
      <c r="L956" s="136"/>
      <c r="M956" s="136"/>
      <c r="N956" s="136"/>
      <c r="O956" s="136"/>
      <c r="P956" s="136"/>
      <c r="Q956" s="136"/>
      <c r="R956" s="136"/>
      <c r="S956" s="136"/>
      <c r="T956" s="136"/>
      <c r="U956" s="136"/>
      <c r="V956" s="136"/>
      <c r="W956" s="136"/>
      <c r="X956" s="136"/>
      <c r="Y956" s="136"/>
      <c r="Z956" s="136"/>
    </row>
    <row r="957" spans="1:26" ht="14.25" customHeight="1">
      <c r="A957" s="136"/>
      <c r="B957" s="136"/>
      <c r="C957" s="136"/>
      <c r="D957" s="136"/>
      <c r="E957" s="136"/>
      <c r="F957" s="136"/>
      <c r="G957" s="136"/>
      <c r="H957" s="136"/>
      <c r="I957" s="140"/>
      <c r="J957" s="136"/>
      <c r="K957" s="136"/>
      <c r="L957" s="136"/>
      <c r="M957" s="136"/>
      <c r="N957" s="136"/>
      <c r="O957" s="136"/>
      <c r="P957" s="136"/>
      <c r="Q957" s="136"/>
      <c r="R957" s="136"/>
      <c r="S957" s="136"/>
      <c r="T957" s="136"/>
      <c r="U957" s="136"/>
      <c r="V957" s="136"/>
      <c r="W957" s="136"/>
      <c r="X957" s="136"/>
      <c r="Y957" s="136"/>
      <c r="Z957" s="136"/>
    </row>
    <row r="958" spans="1:26" ht="14.25" customHeight="1">
      <c r="A958" s="136"/>
      <c r="B958" s="136"/>
      <c r="C958" s="136"/>
      <c r="D958" s="136"/>
      <c r="E958" s="136"/>
      <c r="F958" s="136"/>
      <c r="G958" s="136"/>
      <c r="H958" s="136"/>
      <c r="I958" s="140"/>
      <c r="J958" s="136"/>
      <c r="K958" s="136"/>
      <c r="L958" s="136"/>
      <c r="M958" s="136"/>
      <c r="N958" s="136"/>
      <c r="O958" s="136"/>
      <c r="P958" s="136"/>
      <c r="Q958" s="136"/>
      <c r="R958" s="136"/>
      <c r="S958" s="136"/>
      <c r="T958" s="136"/>
      <c r="U958" s="136"/>
      <c r="V958" s="136"/>
      <c r="W958" s="136"/>
      <c r="X958" s="136"/>
      <c r="Y958" s="136"/>
      <c r="Z958" s="136"/>
    </row>
    <row r="959" spans="1:26" ht="14.25" customHeight="1">
      <c r="A959" s="136"/>
      <c r="B959" s="136"/>
      <c r="C959" s="136"/>
      <c r="D959" s="136"/>
      <c r="E959" s="136"/>
      <c r="F959" s="136"/>
      <c r="G959" s="136"/>
      <c r="H959" s="136"/>
      <c r="I959" s="140"/>
      <c r="J959" s="136"/>
      <c r="K959" s="136"/>
      <c r="L959" s="136"/>
      <c r="M959" s="136"/>
      <c r="N959" s="136"/>
      <c r="O959" s="136"/>
      <c r="P959" s="136"/>
      <c r="Q959" s="136"/>
      <c r="R959" s="136"/>
      <c r="S959" s="136"/>
      <c r="T959" s="136"/>
      <c r="U959" s="136"/>
      <c r="V959" s="136"/>
      <c r="W959" s="136"/>
      <c r="X959" s="136"/>
      <c r="Y959" s="136"/>
      <c r="Z959" s="136"/>
    </row>
    <row r="960" spans="1:26" ht="14.25" customHeight="1">
      <c r="A960" s="136"/>
      <c r="B960" s="136"/>
      <c r="C960" s="136"/>
      <c r="D960" s="136"/>
      <c r="E960" s="136"/>
      <c r="F960" s="136"/>
      <c r="G960" s="136"/>
      <c r="H960" s="136"/>
      <c r="I960" s="140"/>
      <c r="J960" s="136"/>
      <c r="K960" s="136"/>
      <c r="L960" s="136"/>
      <c r="M960" s="136"/>
      <c r="N960" s="136"/>
      <c r="O960" s="136"/>
      <c r="P960" s="136"/>
      <c r="Q960" s="136"/>
      <c r="R960" s="136"/>
      <c r="S960" s="136"/>
      <c r="T960" s="136"/>
      <c r="U960" s="136"/>
      <c r="V960" s="136"/>
      <c r="W960" s="136"/>
      <c r="X960" s="136"/>
      <c r="Y960" s="136"/>
      <c r="Z960" s="136"/>
    </row>
    <row r="961" spans="1:26" ht="14.25" customHeight="1">
      <c r="A961" s="136"/>
      <c r="B961" s="136"/>
      <c r="C961" s="136"/>
      <c r="D961" s="136"/>
      <c r="E961" s="136"/>
      <c r="F961" s="136"/>
      <c r="G961" s="136"/>
      <c r="H961" s="136"/>
      <c r="I961" s="140"/>
      <c r="J961" s="136"/>
      <c r="K961" s="136"/>
      <c r="L961" s="136"/>
      <c r="M961" s="136"/>
      <c r="N961" s="136"/>
      <c r="O961" s="136"/>
      <c r="P961" s="136"/>
      <c r="Q961" s="136"/>
      <c r="R961" s="136"/>
      <c r="S961" s="136"/>
      <c r="T961" s="136"/>
      <c r="U961" s="136"/>
      <c r="V961" s="136"/>
      <c r="W961" s="136"/>
      <c r="X961" s="136"/>
      <c r="Y961" s="136"/>
      <c r="Z961" s="136"/>
    </row>
    <row r="962" spans="1:26" ht="14.25" customHeight="1">
      <c r="A962" s="136"/>
      <c r="B962" s="136"/>
      <c r="C962" s="136"/>
      <c r="D962" s="136"/>
      <c r="E962" s="136"/>
      <c r="F962" s="136"/>
      <c r="G962" s="136"/>
      <c r="H962" s="136"/>
      <c r="I962" s="140"/>
      <c r="J962" s="136"/>
      <c r="K962" s="136"/>
      <c r="L962" s="136"/>
      <c r="M962" s="136"/>
      <c r="N962" s="136"/>
      <c r="O962" s="136"/>
      <c r="P962" s="136"/>
      <c r="Q962" s="136"/>
      <c r="R962" s="136"/>
      <c r="S962" s="136"/>
      <c r="T962" s="136"/>
      <c r="U962" s="136"/>
      <c r="V962" s="136"/>
      <c r="W962" s="136"/>
      <c r="X962" s="136"/>
      <c r="Y962" s="136"/>
      <c r="Z962" s="136"/>
    </row>
    <row r="963" spans="1:26" ht="14.25" customHeight="1">
      <c r="A963" s="136"/>
      <c r="B963" s="136"/>
      <c r="C963" s="136"/>
      <c r="D963" s="136"/>
      <c r="E963" s="136"/>
      <c r="F963" s="136"/>
      <c r="G963" s="136"/>
      <c r="H963" s="136"/>
      <c r="I963" s="140"/>
      <c r="J963" s="136"/>
      <c r="K963" s="136"/>
      <c r="L963" s="136"/>
      <c r="M963" s="136"/>
      <c r="N963" s="136"/>
      <c r="O963" s="136"/>
      <c r="P963" s="136"/>
      <c r="Q963" s="136"/>
      <c r="R963" s="136"/>
      <c r="S963" s="136"/>
      <c r="T963" s="136"/>
      <c r="U963" s="136"/>
      <c r="V963" s="136"/>
      <c r="W963" s="136"/>
      <c r="X963" s="136"/>
      <c r="Y963" s="136"/>
      <c r="Z963" s="136"/>
    </row>
    <row r="964" spans="1:26" ht="14.25" customHeight="1">
      <c r="A964" s="136"/>
      <c r="B964" s="136"/>
      <c r="C964" s="136"/>
      <c r="D964" s="136"/>
      <c r="E964" s="136"/>
      <c r="F964" s="136"/>
      <c r="G964" s="136"/>
      <c r="H964" s="136"/>
      <c r="I964" s="140"/>
      <c r="J964" s="136"/>
      <c r="K964" s="136"/>
      <c r="L964" s="136"/>
      <c r="M964" s="136"/>
      <c r="N964" s="136"/>
      <c r="O964" s="136"/>
      <c r="P964" s="136"/>
      <c r="Q964" s="136"/>
      <c r="R964" s="136"/>
      <c r="S964" s="136"/>
      <c r="T964" s="136"/>
      <c r="U964" s="136"/>
      <c r="V964" s="136"/>
      <c r="W964" s="136"/>
      <c r="X964" s="136"/>
      <c r="Y964" s="136"/>
      <c r="Z964" s="136"/>
    </row>
    <row r="965" spans="1:26" ht="14.25" customHeight="1">
      <c r="A965" s="136"/>
      <c r="B965" s="136"/>
      <c r="C965" s="136"/>
      <c r="D965" s="136"/>
      <c r="E965" s="136"/>
      <c r="F965" s="136"/>
      <c r="G965" s="136"/>
      <c r="H965" s="136"/>
      <c r="I965" s="140"/>
      <c r="J965" s="136"/>
      <c r="K965" s="136"/>
      <c r="L965" s="136"/>
      <c r="M965" s="136"/>
      <c r="N965" s="136"/>
      <c r="O965" s="136"/>
      <c r="P965" s="136"/>
      <c r="Q965" s="136"/>
      <c r="R965" s="136"/>
      <c r="S965" s="136"/>
      <c r="T965" s="136"/>
      <c r="U965" s="136"/>
      <c r="V965" s="136"/>
      <c r="W965" s="136"/>
      <c r="X965" s="136"/>
      <c r="Y965" s="136"/>
      <c r="Z965" s="136"/>
    </row>
    <row r="966" spans="1:26" ht="14.25" customHeight="1">
      <c r="A966" s="136"/>
      <c r="B966" s="136"/>
      <c r="C966" s="136"/>
      <c r="D966" s="136"/>
      <c r="E966" s="136"/>
      <c r="F966" s="136"/>
      <c r="G966" s="136"/>
      <c r="H966" s="136"/>
      <c r="I966" s="140"/>
      <c r="J966" s="136"/>
      <c r="K966" s="136"/>
      <c r="L966" s="136"/>
      <c r="M966" s="136"/>
      <c r="N966" s="136"/>
      <c r="O966" s="136"/>
      <c r="P966" s="136"/>
      <c r="Q966" s="136"/>
      <c r="R966" s="136"/>
      <c r="S966" s="136"/>
      <c r="T966" s="136"/>
      <c r="U966" s="136"/>
      <c r="V966" s="136"/>
      <c r="W966" s="136"/>
      <c r="X966" s="136"/>
      <c r="Y966" s="136"/>
      <c r="Z966" s="136"/>
    </row>
    <row r="967" spans="1:26" ht="14.25" customHeight="1">
      <c r="A967" s="136"/>
      <c r="B967" s="136"/>
      <c r="C967" s="136"/>
      <c r="D967" s="136"/>
      <c r="E967" s="136"/>
      <c r="F967" s="136"/>
      <c r="G967" s="136"/>
      <c r="H967" s="136"/>
      <c r="I967" s="140"/>
      <c r="J967" s="136"/>
      <c r="K967" s="136"/>
      <c r="L967" s="136"/>
      <c r="M967" s="136"/>
      <c r="N967" s="136"/>
      <c r="O967" s="136"/>
      <c r="P967" s="136"/>
      <c r="Q967" s="136"/>
      <c r="R967" s="136"/>
      <c r="S967" s="136"/>
      <c r="T967" s="136"/>
      <c r="U967" s="136"/>
      <c r="V967" s="136"/>
      <c r="W967" s="136"/>
      <c r="X967" s="136"/>
      <c r="Y967" s="136"/>
      <c r="Z967" s="136"/>
    </row>
    <row r="968" spans="1:26" ht="14.25" customHeight="1">
      <c r="A968" s="136"/>
      <c r="B968" s="136"/>
      <c r="C968" s="136"/>
      <c r="D968" s="136"/>
      <c r="E968" s="136"/>
      <c r="F968" s="136"/>
      <c r="G968" s="136"/>
      <c r="H968" s="136"/>
      <c r="I968" s="140"/>
      <c r="J968" s="136"/>
      <c r="K968" s="136"/>
      <c r="L968" s="136"/>
      <c r="M968" s="136"/>
      <c r="N968" s="136"/>
      <c r="O968" s="136"/>
      <c r="P968" s="136"/>
      <c r="Q968" s="136"/>
      <c r="R968" s="136"/>
      <c r="S968" s="136"/>
      <c r="T968" s="136"/>
      <c r="U968" s="136"/>
      <c r="V968" s="136"/>
      <c r="W968" s="136"/>
      <c r="X968" s="136"/>
      <c r="Y968" s="136"/>
      <c r="Z968" s="136"/>
    </row>
    <row r="969" spans="1:26" ht="14.25" customHeight="1">
      <c r="A969" s="136"/>
      <c r="B969" s="136"/>
      <c r="C969" s="136"/>
      <c r="D969" s="136"/>
      <c r="E969" s="136"/>
      <c r="F969" s="136"/>
      <c r="G969" s="136"/>
      <c r="H969" s="136"/>
      <c r="I969" s="140"/>
      <c r="J969" s="136"/>
      <c r="K969" s="136"/>
      <c r="L969" s="136"/>
      <c r="M969" s="136"/>
      <c r="N969" s="136"/>
      <c r="O969" s="136"/>
      <c r="P969" s="136"/>
      <c r="Q969" s="136"/>
      <c r="R969" s="136"/>
      <c r="S969" s="136"/>
      <c r="T969" s="136"/>
      <c r="U969" s="136"/>
      <c r="V969" s="136"/>
      <c r="W969" s="136"/>
      <c r="X969" s="136"/>
      <c r="Y969" s="136"/>
      <c r="Z969" s="136"/>
    </row>
    <row r="970" spans="1:26" ht="14.25" customHeight="1">
      <c r="A970" s="136"/>
      <c r="B970" s="136"/>
      <c r="C970" s="136"/>
      <c r="D970" s="136"/>
      <c r="E970" s="136"/>
      <c r="F970" s="136"/>
      <c r="G970" s="136"/>
      <c r="H970" s="136"/>
      <c r="I970" s="140"/>
      <c r="J970" s="136"/>
      <c r="K970" s="136"/>
      <c r="L970" s="136"/>
      <c r="M970" s="136"/>
      <c r="N970" s="136"/>
      <c r="O970" s="136"/>
      <c r="P970" s="136"/>
      <c r="Q970" s="136"/>
      <c r="R970" s="136"/>
      <c r="S970" s="136"/>
      <c r="T970" s="136"/>
      <c r="U970" s="136"/>
      <c r="V970" s="136"/>
      <c r="W970" s="136"/>
      <c r="X970" s="136"/>
      <c r="Y970" s="136"/>
      <c r="Z970" s="136"/>
    </row>
    <row r="971" spans="1:26" ht="14.25" customHeight="1">
      <c r="A971" s="136"/>
      <c r="B971" s="136"/>
      <c r="C971" s="136"/>
      <c r="D971" s="136"/>
      <c r="E971" s="136"/>
      <c r="F971" s="136"/>
      <c r="G971" s="136"/>
      <c r="H971" s="136"/>
      <c r="I971" s="140"/>
      <c r="J971" s="136"/>
      <c r="K971" s="136"/>
      <c r="L971" s="136"/>
      <c r="M971" s="136"/>
      <c r="N971" s="136"/>
      <c r="O971" s="136"/>
      <c r="P971" s="136"/>
      <c r="Q971" s="136"/>
      <c r="R971" s="136"/>
      <c r="S971" s="136"/>
      <c r="T971" s="136"/>
      <c r="U971" s="136"/>
      <c r="V971" s="136"/>
      <c r="W971" s="136"/>
      <c r="X971" s="136"/>
      <c r="Y971" s="136"/>
      <c r="Z971" s="136"/>
    </row>
    <row r="972" spans="1:26" ht="14.25" customHeight="1">
      <c r="A972" s="136"/>
      <c r="B972" s="136"/>
      <c r="C972" s="136"/>
      <c r="D972" s="136"/>
      <c r="E972" s="136"/>
      <c r="F972" s="136"/>
      <c r="G972" s="136"/>
      <c r="H972" s="136"/>
      <c r="I972" s="140"/>
      <c r="J972" s="136"/>
      <c r="K972" s="136"/>
      <c r="L972" s="136"/>
      <c r="M972" s="136"/>
      <c r="N972" s="136"/>
      <c r="O972" s="136"/>
      <c r="P972" s="136"/>
      <c r="Q972" s="136"/>
      <c r="R972" s="136"/>
      <c r="S972" s="136"/>
      <c r="T972" s="136"/>
      <c r="U972" s="136"/>
      <c r="V972" s="136"/>
      <c r="W972" s="136"/>
      <c r="X972" s="136"/>
      <c r="Y972" s="136"/>
      <c r="Z972" s="136"/>
    </row>
    <row r="973" spans="1:26" ht="14.25" customHeight="1">
      <c r="A973" s="136"/>
      <c r="B973" s="136"/>
      <c r="C973" s="136"/>
      <c r="D973" s="136"/>
      <c r="E973" s="136"/>
      <c r="F973" s="136"/>
      <c r="G973" s="136"/>
      <c r="H973" s="136"/>
      <c r="I973" s="140"/>
      <c r="J973" s="136"/>
      <c r="K973" s="136"/>
      <c r="L973" s="136"/>
      <c r="M973" s="136"/>
      <c r="N973" s="136"/>
      <c r="O973" s="136"/>
      <c r="P973" s="136"/>
      <c r="Q973" s="136"/>
      <c r="R973" s="136"/>
      <c r="S973" s="136"/>
      <c r="T973" s="136"/>
      <c r="U973" s="136"/>
      <c r="V973" s="136"/>
      <c r="W973" s="136"/>
      <c r="X973" s="136"/>
      <c r="Y973" s="136"/>
      <c r="Z973" s="136"/>
    </row>
    <row r="974" spans="1:26" ht="14.25" customHeight="1">
      <c r="A974" s="136"/>
      <c r="B974" s="136"/>
      <c r="C974" s="136"/>
      <c r="D974" s="136"/>
      <c r="E974" s="136"/>
      <c r="F974" s="136"/>
      <c r="G974" s="136"/>
      <c r="H974" s="136"/>
      <c r="I974" s="140"/>
      <c r="J974" s="136"/>
      <c r="K974" s="136"/>
      <c r="L974" s="136"/>
      <c r="M974" s="136"/>
      <c r="N974" s="136"/>
      <c r="O974" s="136"/>
      <c r="P974" s="136"/>
      <c r="Q974" s="136"/>
      <c r="R974" s="136"/>
      <c r="S974" s="136"/>
      <c r="T974" s="136"/>
      <c r="U974" s="136"/>
      <c r="V974" s="136"/>
      <c r="W974" s="136"/>
      <c r="X974" s="136"/>
      <c r="Y974" s="136"/>
      <c r="Z974" s="136"/>
    </row>
    <row r="975" spans="1:26" ht="14.25" customHeight="1">
      <c r="A975" s="136"/>
      <c r="B975" s="136"/>
      <c r="C975" s="136"/>
      <c r="D975" s="136"/>
      <c r="E975" s="136"/>
      <c r="F975" s="136"/>
      <c r="G975" s="136"/>
      <c r="H975" s="136"/>
      <c r="I975" s="140"/>
      <c r="J975" s="136"/>
      <c r="K975" s="136"/>
      <c r="L975" s="136"/>
      <c r="M975" s="136"/>
      <c r="N975" s="136"/>
      <c r="O975" s="136"/>
      <c r="P975" s="136"/>
      <c r="Q975" s="136"/>
      <c r="R975" s="136"/>
      <c r="S975" s="136"/>
      <c r="T975" s="136"/>
      <c r="U975" s="136"/>
      <c r="V975" s="136"/>
      <c r="W975" s="136"/>
      <c r="X975" s="136"/>
      <c r="Y975" s="136"/>
      <c r="Z975" s="136"/>
    </row>
    <row r="976" spans="1:26" ht="14.25" customHeight="1">
      <c r="A976" s="136"/>
      <c r="B976" s="136"/>
      <c r="C976" s="136"/>
      <c r="D976" s="136"/>
      <c r="E976" s="136"/>
      <c r="F976" s="136"/>
      <c r="G976" s="136"/>
      <c r="H976" s="136"/>
      <c r="I976" s="140"/>
      <c r="J976" s="136"/>
      <c r="K976" s="136"/>
      <c r="L976" s="136"/>
      <c r="M976" s="136"/>
      <c r="N976" s="136"/>
      <c r="O976" s="136"/>
      <c r="P976" s="136"/>
      <c r="Q976" s="136"/>
      <c r="R976" s="136"/>
      <c r="S976" s="136"/>
      <c r="T976" s="136"/>
      <c r="U976" s="136"/>
      <c r="V976" s="136"/>
      <c r="W976" s="136"/>
      <c r="X976" s="136"/>
      <c r="Y976" s="136"/>
      <c r="Z976" s="136"/>
    </row>
    <row r="977" spans="1:26" ht="14.25" customHeight="1">
      <c r="A977" s="136"/>
      <c r="B977" s="136"/>
      <c r="C977" s="136"/>
      <c r="D977" s="136"/>
      <c r="E977" s="136"/>
      <c r="F977" s="136"/>
      <c r="G977" s="136"/>
      <c r="H977" s="136"/>
      <c r="I977" s="140"/>
      <c r="J977" s="136"/>
      <c r="K977" s="136"/>
      <c r="L977" s="136"/>
      <c r="M977" s="136"/>
      <c r="N977" s="136"/>
      <c r="O977" s="136"/>
      <c r="P977" s="136"/>
      <c r="Q977" s="136"/>
      <c r="R977" s="136"/>
      <c r="S977" s="136"/>
      <c r="T977" s="136"/>
      <c r="U977" s="136"/>
      <c r="V977" s="136"/>
      <c r="W977" s="136"/>
      <c r="X977" s="136"/>
      <c r="Y977" s="136"/>
      <c r="Z977" s="136"/>
    </row>
    <row r="978" spans="1:26" ht="14.25" customHeight="1">
      <c r="A978" s="136"/>
      <c r="B978" s="136"/>
      <c r="C978" s="136"/>
      <c r="D978" s="136"/>
      <c r="E978" s="136"/>
      <c r="F978" s="136"/>
      <c r="G978" s="136"/>
      <c r="H978" s="136"/>
      <c r="I978" s="140"/>
      <c r="J978" s="136"/>
      <c r="K978" s="136"/>
      <c r="L978" s="136"/>
      <c r="M978" s="136"/>
      <c r="N978" s="136"/>
      <c r="O978" s="136"/>
      <c r="P978" s="136"/>
      <c r="Q978" s="136"/>
      <c r="R978" s="136"/>
      <c r="S978" s="136"/>
      <c r="T978" s="136"/>
      <c r="U978" s="136"/>
      <c r="V978" s="136"/>
      <c r="W978" s="136"/>
      <c r="X978" s="136"/>
      <c r="Y978" s="136"/>
      <c r="Z978" s="136"/>
    </row>
    <row r="979" spans="1:26" ht="14.25" customHeight="1">
      <c r="A979" s="136"/>
      <c r="B979" s="136"/>
      <c r="C979" s="136"/>
      <c r="D979" s="136"/>
      <c r="E979" s="136"/>
      <c r="F979" s="136"/>
      <c r="G979" s="136"/>
      <c r="H979" s="136"/>
      <c r="I979" s="140"/>
      <c r="J979" s="136"/>
      <c r="K979" s="136"/>
      <c r="L979" s="136"/>
      <c r="M979" s="136"/>
      <c r="N979" s="136"/>
      <c r="O979" s="136"/>
      <c r="P979" s="136"/>
      <c r="Q979" s="136"/>
      <c r="R979" s="136"/>
      <c r="S979" s="136"/>
      <c r="T979" s="136"/>
      <c r="U979" s="136"/>
      <c r="V979" s="136"/>
      <c r="W979" s="136"/>
      <c r="X979" s="136"/>
      <c r="Y979" s="136"/>
      <c r="Z979" s="136"/>
    </row>
    <row r="980" spans="1:26" ht="14.25" customHeight="1">
      <c r="A980" s="136"/>
      <c r="B980" s="136"/>
      <c r="C980" s="136"/>
      <c r="D980" s="136"/>
      <c r="E980" s="136"/>
      <c r="F980" s="136"/>
      <c r="G980" s="136"/>
      <c r="H980" s="136"/>
      <c r="I980" s="140"/>
      <c r="J980" s="136"/>
      <c r="K980" s="136"/>
      <c r="L980" s="136"/>
      <c r="M980" s="136"/>
      <c r="N980" s="136"/>
      <c r="O980" s="136"/>
      <c r="P980" s="136"/>
      <c r="Q980" s="136"/>
      <c r="R980" s="136"/>
      <c r="S980" s="136"/>
      <c r="T980" s="136"/>
      <c r="U980" s="136"/>
      <c r="V980" s="136"/>
      <c r="W980" s="136"/>
      <c r="X980" s="136"/>
      <c r="Y980" s="136"/>
      <c r="Z980" s="136"/>
    </row>
    <row r="981" spans="1:26" ht="14.25" customHeight="1">
      <c r="A981" s="136"/>
      <c r="B981" s="136"/>
      <c r="C981" s="136"/>
      <c r="D981" s="136"/>
      <c r="E981" s="136"/>
      <c r="F981" s="136"/>
      <c r="G981" s="136"/>
      <c r="H981" s="136"/>
      <c r="I981" s="140"/>
      <c r="J981" s="136"/>
      <c r="K981" s="136"/>
      <c r="L981" s="136"/>
      <c r="M981" s="136"/>
      <c r="N981" s="136"/>
      <c r="O981" s="136"/>
      <c r="P981" s="136"/>
      <c r="Q981" s="136"/>
      <c r="R981" s="136"/>
      <c r="S981" s="136"/>
      <c r="T981" s="136"/>
      <c r="U981" s="136"/>
      <c r="V981" s="136"/>
      <c r="W981" s="136"/>
      <c r="X981" s="136"/>
      <c r="Y981" s="136"/>
      <c r="Z981" s="136"/>
    </row>
    <row r="982" spans="1:26" ht="14.25" customHeight="1">
      <c r="A982" s="136"/>
      <c r="B982" s="136"/>
      <c r="C982" s="136"/>
      <c r="D982" s="136"/>
      <c r="E982" s="136"/>
      <c r="F982" s="136"/>
      <c r="G982" s="136"/>
      <c r="H982" s="136"/>
      <c r="I982" s="140"/>
      <c r="J982" s="136"/>
      <c r="K982" s="136"/>
      <c r="L982" s="136"/>
      <c r="M982" s="136"/>
      <c r="N982" s="136"/>
      <c r="O982" s="136"/>
      <c r="P982" s="136"/>
      <c r="Q982" s="136"/>
      <c r="R982" s="136"/>
      <c r="S982" s="136"/>
      <c r="T982" s="136"/>
      <c r="U982" s="136"/>
      <c r="V982" s="136"/>
      <c r="W982" s="136"/>
      <c r="X982" s="136"/>
      <c r="Y982" s="136"/>
      <c r="Z982" s="136"/>
    </row>
    <row r="983" spans="1:26" ht="14.25" customHeight="1">
      <c r="A983" s="136"/>
      <c r="B983" s="136"/>
      <c r="C983" s="136"/>
      <c r="D983" s="136"/>
      <c r="E983" s="136"/>
      <c r="F983" s="136"/>
      <c r="G983" s="136"/>
      <c r="H983" s="136"/>
      <c r="I983" s="140"/>
      <c r="J983" s="136"/>
      <c r="K983" s="136"/>
      <c r="L983" s="136"/>
      <c r="M983" s="136"/>
      <c r="N983" s="136"/>
      <c r="O983" s="136"/>
      <c r="P983" s="136"/>
      <c r="Q983" s="136"/>
      <c r="R983" s="136"/>
      <c r="S983" s="136"/>
      <c r="T983" s="136"/>
      <c r="U983" s="136"/>
      <c r="V983" s="136"/>
      <c r="W983" s="136"/>
      <c r="X983" s="136"/>
      <c r="Y983" s="136"/>
      <c r="Z983" s="136"/>
    </row>
    <row r="984" spans="1:26" ht="14.25" customHeight="1">
      <c r="A984" s="136"/>
      <c r="B984" s="136"/>
      <c r="C984" s="136"/>
      <c r="D984" s="136"/>
      <c r="E984" s="136"/>
      <c r="F984" s="136"/>
      <c r="G984" s="136"/>
      <c r="H984" s="136"/>
      <c r="I984" s="140"/>
      <c r="J984" s="136"/>
      <c r="K984" s="136"/>
      <c r="L984" s="136"/>
      <c r="M984" s="136"/>
      <c r="N984" s="136"/>
      <c r="O984" s="136"/>
      <c r="P984" s="136"/>
      <c r="Q984" s="136"/>
      <c r="R984" s="136"/>
      <c r="S984" s="136"/>
      <c r="T984" s="136"/>
      <c r="U984" s="136"/>
      <c r="V984" s="136"/>
      <c r="W984" s="136"/>
      <c r="X984" s="136"/>
      <c r="Y984" s="136"/>
      <c r="Z984" s="136"/>
    </row>
    <row r="985" spans="1:26" ht="14.25" customHeight="1">
      <c r="A985" s="136"/>
      <c r="B985" s="136"/>
      <c r="C985" s="136"/>
      <c r="D985" s="136"/>
      <c r="E985" s="136"/>
      <c r="F985" s="136"/>
      <c r="G985" s="136"/>
      <c r="H985" s="136"/>
      <c r="I985" s="140"/>
      <c r="J985" s="136"/>
      <c r="K985" s="136"/>
      <c r="L985" s="136"/>
      <c r="M985" s="136"/>
      <c r="N985" s="136"/>
      <c r="O985" s="136"/>
      <c r="P985" s="136"/>
      <c r="Q985" s="136"/>
      <c r="R985" s="136"/>
      <c r="S985" s="136"/>
      <c r="T985" s="136"/>
      <c r="U985" s="136"/>
      <c r="V985" s="136"/>
      <c r="W985" s="136"/>
      <c r="X985" s="136"/>
      <c r="Y985" s="136"/>
      <c r="Z985" s="136"/>
    </row>
    <row r="986" spans="1:26" ht="14.25" customHeight="1">
      <c r="A986" s="136"/>
      <c r="B986" s="136"/>
      <c r="C986" s="136"/>
      <c r="D986" s="136"/>
      <c r="E986" s="136"/>
      <c r="F986" s="136"/>
      <c r="G986" s="136"/>
      <c r="H986" s="136"/>
      <c r="I986" s="140"/>
      <c r="J986" s="136"/>
      <c r="K986" s="136"/>
      <c r="L986" s="136"/>
      <c r="M986" s="136"/>
      <c r="N986" s="136"/>
      <c r="O986" s="136"/>
      <c r="P986" s="136"/>
      <c r="Q986" s="136"/>
      <c r="R986" s="136"/>
      <c r="S986" s="136"/>
      <c r="T986" s="136"/>
      <c r="U986" s="136"/>
      <c r="V986" s="136"/>
      <c r="W986" s="136"/>
      <c r="X986" s="136"/>
      <c r="Y986" s="136"/>
      <c r="Z986" s="136"/>
    </row>
    <row r="987" spans="1:26" ht="14.25" customHeight="1">
      <c r="A987" s="136"/>
      <c r="B987" s="136"/>
      <c r="C987" s="136"/>
      <c r="D987" s="136"/>
      <c r="E987" s="136"/>
      <c r="F987" s="136"/>
      <c r="G987" s="136"/>
      <c r="H987" s="136"/>
      <c r="I987" s="140"/>
      <c r="J987" s="136"/>
      <c r="K987" s="136"/>
      <c r="L987" s="136"/>
      <c r="M987" s="136"/>
      <c r="N987" s="136"/>
      <c r="O987" s="136"/>
      <c r="P987" s="136"/>
      <c r="Q987" s="136"/>
      <c r="R987" s="136"/>
      <c r="S987" s="136"/>
      <c r="T987" s="136"/>
      <c r="U987" s="136"/>
      <c r="V987" s="136"/>
      <c r="W987" s="136"/>
      <c r="X987" s="136"/>
      <c r="Y987" s="136"/>
      <c r="Z987" s="136"/>
    </row>
    <row r="988" spans="1:26" ht="14.25" customHeight="1">
      <c r="A988" s="136"/>
      <c r="B988" s="136"/>
      <c r="C988" s="136"/>
      <c r="D988" s="136"/>
      <c r="E988" s="136"/>
      <c r="F988" s="136"/>
      <c r="G988" s="136"/>
      <c r="H988" s="136"/>
      <c r="I988" s="140"/>
      <c r="J988" s="136"/>
      <c r="K988" s="136"/>
      <c r="L988" s="136"/>
      <c r="M988" s="136"/>
      <c r="N988" s="136"/>
      <c r="O988" s="136"/>
      <c r="P988" s="136"/>
      <c r="Q988" s="136"/>
      <c r="R988" s="136"/>
      <c r="S988" s="136"/>
      <c r="T988" s="136"/>
      <c r="U988" s="136"/>
      <c r="V988" s="136"/>
      <c r="W988" s="136"/>
      <c r="X988" s="136"/>
      <c r="Y988" s="136"/>
      <c r="Z988" s="136"/>
    </row>
    <row r="989" spans="1:26" ht="14.25" customHeight="1">
      <c r="A989" s="136"/>
      <c r="B989" s="136"/>
      <c r="C989" s="136"/>
      <c r="D989" s="136"/>
      <c r="E989" s="136"/>
      <c r="F989" s="136"/>
      <c r="G989" s="136"/>
      <c r="H989" s="136"/>
      <c r="I989" s="140"/>
      <c r="J989" s="136"/>
      <c r="K989" s="136"/>
      <c r="L989" s="136"/>
      <c r="M989" s="136"/>
      <c r="N989" s="136"/>
      <c r="O989" s="136"/>
      <c r="P989" s="136"/>
      <c r="Q989" s="136"/>
      <c r="R989" s="136"/>
      <c r="S989" s="136"/>
      <c r="T989" s="136"/>
      <c r="U989" s="136"/>
      <c r="V989" s="136"/>
      <c r="W989" s="136"/>
      <c r="X989" s="136"/>
      <c r="Y989" s="136"/>
      <c r="Z989" s="136"/>
    </row>
    <row r="990" spans="1:26" ht="14.25" customHeight="1">
      <c r="A990" s="136"/>
      <c r="B990" s="136"/>
      <c r="C990" s="136"/>
      <c r="D990" s="136"/>
      <c r="E990" s="136"/>
      <c r="F990" s="136"/>
      <c r="G990" s="136"/>
      <c r="H990" s="136"/>
      <c r="I990" s="140"/>
      <c r="J990" s="136"/>
      <c r="K990" s="136"/>
      <c r="L990" s="136"/>
      <c r="M990" s="136"/>
      <c r="N990" s="136"/>
      <c r="O990" s="136"/>
      <c r="P990" s="136"/>
      <c r="Q990" s="136"/>
      <c r="R990" s="136"/>
      <c r="S990" s="136"/>
      <c r="T990" s="136"/>
      <c r="U990" s="136"/>
      <c r="V990" s="136"/>
      <c r="W990" s="136"/>
      <c r="X990" s="136"/>
      <c r="Y990" s="136"/>
      <c r="Z990" s="136"/>
    </row>
    <row r="991" spans="1:26" ht="14.25" customHeight="1">
      <c r="A991" s="136"/>
      <c r="B991" s="136"/>
      <c r="C991" s="136"/>
      <c r="D991" s="136"/>
      <c r="E991" s="136"/>
      <c r="F991" s="136"/>
      <c r="G991" s="136"/>
      <c r="H991" s="136"/>
      <c r="I991" s="140"/>
      <c r="J991" s="136"/>
      <c r="K991" s="136"/>
      <c r="L991" s="136"/>
      <c r="M991" s="136"/>
      <c r="N991" s="136"/>
      <c r="O991" s="136"/>
      <c r="P991" s="136"/>
      <c r="Q991" s="136"/>
      <c r="R991" s="136"/>
      <c r="S991" s="136"/>
      <c r="T991" s="136"/>
      <c r="U991" s="136"/>
      <c r="V991" s="136"/>
      <c r="W991" s="136"/>
      <c r="X991" s="136"/>
      <c r="Y991" s="136"/>
      <c r="Z991" s="136"/>
    </row>
    <row r="992" spans="1:26" ht="14.25" customHeight="1">
      <c r="A992" s="136"/>
      <c r="B992" s="136"/>
      <c r="C992" s="136"/>
      <c r="D992" s="136"/>
      <c r="E992" s="136"/>
      <c r="F992" s="136"/>
      <c r="G992" s="136"/>
      <c r="H992" s="136"/>
      <c r="I992" s="140"/>
      <c r="J992" s="136"/>
      <c r="K992" s="136"/>
      <c r="L992" s="136"/>
      <c r="M992" s="136"/>
      <c r="N992" s="136"/>
      <c r="O992" s="136"/>
      <c r="P992" s="136"/>
      <c r="Q992" s="136"/>
      <c r="R992" s="136"/>
      <c r="S992" s="136"/>
      <c r="T992" s="136"/>
      <c r="U992" s="136"/>
      <c r="V992" s="136"/>
      <c r="W992" s="136"/>
      <c r="X992" s="136"/>
      <c r="Y992" s="136"/>
      <c r="Z992" s="136"/>
    </row>
    <row r="993" spans="1:26" ht="14.25" customHeight="1">
      <c r="A993" s="136"/>
      <c r="B993" s="136"/>
      <c r="C993" s="136"/>
      <c r="D993" s="136"/>
      <c r="E993" s="136"/>
      <c r="F993" s="136"/>
      <c r="G993" s="136"/>
      <c r="H993" s="136"/>
      <c r="I993" s="140"/>
      <c r="J993" s="136"/>
      <c r="K993" s="136"/>
      <c r="L993" s="136"/>
      <c r="M993" s="136"/>
      <c r="N993" s="136"/>
      <c r="O993" s="136"/>
      <c r="P993" s="136"/>
      <c r="Q993" s="136"/>
      <c r="R993" s="136"/>
      <c r="S993" s="136"/>
      <c r="T993" s="136"/>
      <c r="U993" s="136"/>
      <c r="V993" s="136"/>
      <c r="W993" s="136"/>
      <c r="X993" s="136"/>
      <c r="Y993" s="136"/>
      <c r="Z993" s="136"/>
    </row>
    <row r="994" spans="1:26" ht="14.25" customHeight="1">
      <c r="A994" s="136"/>
      <c r="B994" s="136"/>
      <c r="C994" s="136"/>
      <c r="D994" s="136"/>
      <c r="E994" s="136"/>
      <c r="F994" s="136"/>
      <c r="G994" s="136"/>
      <c r="H994" s="136"/>
      <c r="I994" s="140"/>
      <c r="J994" s="136"/>
      <c r="K994" s="136"/>
      <c r="L994" s="136"/>
      <c r="M994" s="136"/>
      <c r="N994" s="136"/>
      <c r="O994" s="136"/>
      <c r="P994" s="136"/>
      <c r="Q994" s="136"/>
      <c r="R994" s="136"/>
      <c r="S994" s="136"/>
      <c r="T994" s="136"/>
      <c r="U994" s="136"/>
      <c r="V994" s="136"/>
      <c r="W994" s="136"/>
      <c r="X994" s="136"/>
      <c r="Y994" s="136"/>
      <c r="Z994" s="136"/>
    </row>
    <row r="995" spans="1:26" ht="14.25" customHeight="1">
      <c r="A995" s="136"/>
      <c r="B995" s="136"/>
      <c r="C995" s="136"/>
      <c r="D995" s="136"/>
      <c r="E995" s="136"/>
      <c r="F995" s="136"/>
      <c r="G995" s="136"/>
      <c r="H995" s="136"/>
      <c r="I995" s="140"/>
      <c r="J995" s="136"/>
      <c r="K995" s="136"/>
      <c r="L995" s="136"/>
      <c r="M995" s="136"/>
      <c r="N995" s="136"/>
      <c r="O995" s="136"/>
      <c r="P995" s="136"/>
      <c r="Q995" s="136"/>
      <c r="R995" s="136"/>
      <c r="S995" s="136"/>
      <c r="T995" s="136"/>
      <c r="U995" s="136"/>
      <c r="V995" s="136"/>
      <c r="W995" s="136"/>
      <c r="X995" s="136"/>
      <c r="Y995" s="136"/>
      <c r="Z995" s="136"/>
    </row>
    <row r="996" spans="1:26" ht="14.25" customHeight="1">
      <c r="A996" s="136"/>
      <c r="B996" s="136"/>
      <c r="C996" s="136"/>
      <c r="D996" s="136"/>
      <c r="E996" s="136"/>
      <c r="F996" s="136"/>
      <c r="G996" s="136"/>
      <c r="H996" s="136"/>
      <c r="I996" s="140"/>
      <c r="J996" s="136"/>
      <c r="K996" s="136"/>
      <c r="L996" s="136"/>
      <c r="M996" s="136"/>
      <c r="N996" s="136"/>
      <c r="O996" s="136"/>
      <c r="P996" s="136"/>
      <c r="Q996" s="136"/>
      <c r="R996" s="136"/>
      <c r="S996" s="136"/>
      <c r="T996" s="136"/>
      <c r="U996" s="136"/>
      <c r="V996" s="136"/>
      <c r="W996" s="136"/>
      <c r="X996" s="136"/>
      <c r="Y996" s="136"/>
      <c r="Z996" s="136"/>
    </row>
    <row r="997" spans="1:26" ht="14.25" customHeight="1">
      <c r="A997" s="136"/>
      <c r="B997" s="136"/>
      <c r="C997" s="136"/>
      <c r="D997" s="136"/>
      <c r="E997" s="136"/>
      <c r="F997" s="136"/>
      <c r="G997" s="136"/>
      <c r="H997" s="136"/>
      <c r="I997" s="140"/>
      <c r="J997" s="136"/>
      <c r="K997" s="136"/>
      <c r="L997" s="136"/>
      <c r="M997" s="136"/>
      <c r="N997" s="136"/>
      <c r="O997" s="136"/>
      <c r="P997" s="136"/>
      <c r="Q997" s="136"/>
      <c r="R997" s="136"/>
      <c r="S997" s="136"/>
      <c r="T997" s="136"/>
      <c r="U997" s="136"/>
      <c r="V997" s="136"/>
      <c r="W997" s="136"/>
      <c r="X997" s="136"/>
      <c r="Y997" s="136"/>
      <c r="Z997" s="136"/>
    </row>
    <row r="998" spans="1:26" ht="14.25" customHeight="1">
      <c r="A998" s="136"/>
      <c r="B998" s="136"/>
      <c r="C998" s="136"/>
      <c r="D998" s="136"/>
      <c r="E998" s="136"/>
      <c r="F998" s="136"/>
      <c r="G998" s="136"/>
      <c r="H998" s="136"/>
      <c r="I998" s="140"/>
      <c r="J998" s="136"/>
      <c r="K998" s="136"/>
      <c r="L998" s="136"/>
      <c r="M998" s="136"/>
      <c r="N998" s="136"/>
      <c r="O998" s="136"/>
      <c r="P998" s="136"/>
      <c r="Q998" s="136"/>
      <c r="R998" s="136"/>
      <c r="S998" s="136"/>
      <c r="T998" s="136"/>
      <c r="U998" s="136"/>
      <c r="V998" s="136"/>
      <c r="W998" s="136"/>
      <c r="X998" s="136"/>
      <c r="Y998" s="136"/>
      <c r="Z998" s="136"/>
    </row>
    <row r="999" spans="1:26" ht="14.25" customHeight="1">
      <c r="A999" s="136"/>
      <c r="B999" s="136"/>
      <c r="C999" s="136"/>
      <c r="D999" s="136"/>
      <c r="E999" s="136"/>
      <c r="F999" s="136"/>
      <c r="G999" s="136"/>
      <c r="H999" s="136"/>
      <c r="I999" s="140"/>
      <c r="J999" s="136"/>
      <c r="K999" s="136"/>
      <c r="L999" s="136"/>
      <c r="M999" s="136"/>
      <c r="N999" s="136"/>
      <c r="O999" s="136"/>
      <c r="P999" s="136"/>
      <c r="Q999" s="136"/>
      <c r="R999" s="136"/>
      <c r="S999" s="136"/>
      <c r="T999" s="136"/>
      <c r="U999" s="136"/>
      <c r="V999" s="136"/>
      <c r="W999" s="136"/>
      <c r="X999" s="136"/>
      <c r="Y999" s="136"/>
      <c r="Z999" s="136"/>
    </row>
    <row r="1000" spans="1:26" ht="14.25" customHeight="1">
      <c r="A1000" s="136"/>
      <c r="B1000" s="136"/>
      <c r="C1000" s="136"/>
      <c r="D1000" s="136"/>
      <c r="E1000" s="136"/>
      <c r="F1000" s="136"/>
      <c r="G1000" s="136"/>
      <c r="H1000" s="136"/>
      <c r="I1000" s="140"/>
      <c r="J1000" s="136"/>
      <c r="K1000" s="136"/>
      <c r="L1000" s="136"/>
      <c r="M1000" s="136"/>
      <c r="N1000" s="136"/>
      <c r="O1000" s="136"/>
      <c r="P1000" s="136"/>
      <c r="Q1000" s="136"/>
      <c r="R1000" s="136"/>
      <c r="S1000" s="136"/>
      <c r="T1000" s="136"/>
      <c r="U1000" s="136"/>
      <c r="V1000" s="136"/>
      <c r="W1000" s="136"/>
      <c r="X1000" s="136"/>
      <c r="Y1000" s="136"/>
      <c r="Z1000" s="136"/>
    </row>
  </sheetData>
  <mergeCells count="1">
    <mergeCell ref="A1:M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showGridLines="0" workbookViewId="0">
      <selection sqref="A1:M1"/>
    </sheetView>
  </sheetViews>
  <sheetFormatPr defaultColWidth="12.6640625" defaultRowHeight="15" customHeight="1"/>
  <cols>
    <col min="1" max="1" width="19.88671875" customWidth="1"/>
    <col min="2" max="5" width="13.88671875" customWidth="1"/>
    <col min="6" max="8" width="14.109375" customWidth="1"/>
    <col min="9" max="9" width="12" customWidth="1"/>
    <col min="10" max="13" width="12.33203125" customWidth="1"/>
    <col min="14" max="26" width="8.6640625" customWidth="1"/>
  </cols>
  <sheetData>
    <row r="1" spans="1:14" ht="28.5" customHeight="1">
      <c r="A1" s="409" t="s">
        <v>176</v>
      </c>
      <c r="B1" s="410"/>
      <c r="C1" s="410"/>
      <c r="D1" s="410"/>
      <c r="E1" s="410"/>
      <c r="F1" s="410"/>
      <c r="G1" s="410"/>
      <c r="H1" s="410"/>
      <c r="I1" s="410"/>
      <c r="J1" s="410"/>
      <c r="K1" s="410"/>
      <c r="L1" s="410"/>
      <c r="M1" s="411"/>
    </row>
    <row r="2" spans="1:14" ht="14.25" customHeight="1">
      <c r="A2" s="158" t="s">
        <v>167</v>
      </c>
      <c r="B2" s="158">
        <v>2019</v>
      </c>
      <c r="C2" s="159">
        <v>2020</v>
      </c>
      <c r="D2" s="159">
        <v>2021</v>
      </c>
      <c r="E2" s="159">
        <v>2022</v>
      </c>
      <c r="F2" s="159">
        <v>2023</v>
      </c>
      <c r="G2" s="159">
        <v>2024</v>
      </c>
      <c r="H2" s="159">
        <v>2025</v>
      </c>
      <c r="I2" s="138">
        <v>2026</v>
      </c>
      <c r="J2" s="160">
        <v>2027</v>
      </c>
      <c r="K2" s="160">
        <v>2028</v>
      </c>
      <c r="L2" s="160">
        <v>2029</v>
      </c>
      <c r="M2" s="139">
        <v>2030</v>
      </c>
    </row>
    <row r="3" spans="1:14" ht="14.25" customHeight="1">
      <c r="A3" s="22" t="s">
        <v>177</v>
      </c>
      <c r="B3" s="140">
        <f>SOFP!B15</f>
        <v>2512995</v>
      </c>
      <c r="C3" s="136">
        <f>SOFP!C15</f>
        <v>3043692</v>
      </c>
      <c r="D3" s="136">
        <f>SOFP!D15</f>
        <v>3721062</v>
      </c>
      <c r="E3" s="136">
        <f>SOFP!E15</f>
        <v>4537111</v>
      </c>
      <c r="F3" s="136">
        <f>SOFP!F15</f>
        <v>7451345</v>
      </c>
      <c r="G3" s="136">
        <f>SOFP!G15</f>
        <v>9123121</v>
      </c>
      <c r="H3" s="136">
        <f>SOFP!H15</f>
        <v>8285443</v>
      </c>
      <c r="I3" s="88">
        <f t="shared" ref="I3:M3" si="0">(I12*I10)/365</f>
        <v>9256714.2080172747</v>
      </c>
      <c r="J3" s="102">
        <f t="shared" si="0"/>
        <v>10380212.595384518</v>
      </c>
      <c r="K3" s="102">
        <f t="shared" si="0"/>
        <v>11640434.691596603</v>
      </c>
      <c r="L3" s="102">
        <f t="shared" si="0"/>
        <v>13054072.927069029</v>
      </c>
      <c r="M3" s="161">
        <f t="shared" si="0"/>
        <v>14639865.661670275</v>
      </c>
      <c r="N3" s="162"/>
    </row>
    <row r="4" spans="1:14" ht="14.25" customHeight="1">
      <c r="A4" s="22" t="s">
        <v>178</v>
      </c>
      <c r="B4" s="140">
        <f>SOFP!B16</f>
        <v>2345704</v>
      </c>
      <c r="C4" s="136">
        <f>SOFP!C16</f>
        <v>1881002</v>
      </c>
      <c r="D4" s="136">
        <f>SOFP!D16</f>
        <v>1796923</v>
      </c>
      <c r="E4" s="136">
        <f>SOFP!E16</f>
        <v>2406133</v>
      </c>
      <c r="F4" s="136">
        <f>SOFP!F16</f>
        <v>5530902</v>
      </c>
      <c r="G4" s="136">
        <f>SOFP!G16</f>
        <v>6022460</v>
      </c>
      <c r="H4" s="136">
        <f>SOFP!H16</f>
        <v>5675836</v>
      </c>
      <c r="I4" s="88">
        <f t="shared" ref="I4:M4" si="1">(I13*I9)/365</f>
        <v>6364524.973309475</v>
      </c>
      <c r="J4" s="89">
        <f t="shared" si="1"/>
        <v>7136994.9214125108</v>
      </c>
      <c r="K4" s="89">
        <f t="shared" si="1"/>
        <v>8003470.3059837958</v>
      </c>
      <c r="L4" s="89">
        <f t="shared" si="1"/>
        <v>8975428.1358038988</v>
      </c>
      <c r="M4" s="161">
        <f t="shared" si="1"/>
        <v>10065752.114167726</v>
      </c>
      <c r="N4" s="162"/>
    </row>
    <row r="5" spans="1:14" ht="14.25" customHeight="1">
      <c r="A5" s="22" t="s">
        <v>179</v>
      </c>
      <c r="B5" s="140">
        <f>SOFP!B42</f>
        <v>1350370</v>
      </c>
      <c r="C5" s="136">
        <f>SOFP!C42</f>
        <v>1780350</v>
      </c>
      <c r="D5" s="136">
        <f>SOFP!D42</f>
        <v>1998429</v>
      </c>
      <c r="E5" s="136">
        <f>SOFP!E42</f>
        <v>3492710</v>
      </c>
      <c r="F5" s="136">
        <f>SOFP!F42</f>
        <v>4829899</v>
      </c>
      <c r="G5" s="136">
        <f>SOFP!G42</f>
        <v>4567905</v>
      </c>
      <c r="H5" s="136">
        <f>SOFP!H42</f>
        <v>5592536</v>
      </c>
      <c r="I5" s="141">
        <f t="shared" ref="I5:M5" si="2">(I14*I10)/365</f>
        <v>6248127.885261911</v>
      </c>
      <c r="J5" s="155">
        <f t="shared" si="2"/>
        <v>7006470.5806727959</v>
      </c>
      <c r="K5" s="155">
        <f t="shared" si="2"/>
        <v>7857099.5019099042</v>
      </c>
      <c r="L5" s="155">
        <f t="shared" si="2"/>
        <v>8811281.7614289206</v>
      </c>
      <c r="M5" s="143">
        <f t="shared" si="2"/>
        <v>9881665.4399836957</v>
      </c>
      <c r="N5" s="162"/>
    </row>
    <row r="6" spans="1:14" ht="14.25" customHeight="1">
      <c r="A6" s="163" t="s">
        <v>180</v>
      </c>
      <c r="B6" s="164">
        <f t="shared" ref="B6:M6" si="3">B3+B4-B5</f>
        <v>3508329</v>
      </c>
      <c r="C6" s="165">
        <f t="shared" si="3"/>
        <v>3144344</v>
      </c>
      <c r="D6" s="165">
        <f t="shared" si="3"/>
        <v>3519556</v>
      </c>
      <c r="E6" s="165">
        <f t="shared" si="3"/>
        <v>3450534</v>
      </c>
      <c r="F6" s="165">
        <f t="shared" si="3"/>
        <v>8152348</v>
      </c>
      <c r="G6" s="165">
        <f t="shared" si="3"/>
        <v>10577676</v>
      </c>
      <c r="H6" s="165">
        <f t="shared" si="3"/>
        <v>8368743</v>
      </c>
      <c r="I6" s="166">
        <f t="shared" si="3"/>
        <v>9373111.2960648388</v>
      </c>
      <c r="J6" s="147">
        <f t="shared" si="3"/>
        <v>10510736.936124232</v>
      </c>
      <c r="K6" s="147">
        <f t="shared" si="3"/>
        <v>11786805.495670494</v>
      </c>
      <c r="L6" s="147">
        <f t="shared" si="3"/>
        <v>13218219.301444007</v>
      </c>
      <c r="M6" s="167">
        <f t="shared" si="3"/>
        <v>14823952.335854307</v>
      </c>
      <c r="N6" s="162"/>
    </row>
    <row r="7" spans="1:14" ht="14.25" customHeight="1">
      <c r="A7" s="168" t="s">
        <v>181</v>
      </c>
      <c r="B7" s="169"/>
      <c r="C7" s="170">
        <f t="shared" ref="C7:M7" si="4">C6-B6</f>
        <v>-363985</v>
      </c>
      <c r="D7" s="170">
        <f t="shared" si="4"/>
        <v>375212</v>
      </c>
      <c r="E7" s="170">
        <f t="shared" si="4"/>
        <v>-69022</v>
      </c>
      <c r="F7" s="170">
        <f t="shared" si="4"/>
        <v>4701814</v>
      </c>
      <c r="G7" s="170">
        <f t="shared" si="4"/>
        <v>2425328</v>
      </c>
      <c r="H7" s="170">
        <f t="shared" si="4"/>
        <v>-2208933</v>
      </c>
      <c r="I7" s="171">
        <f t="shared" si="4"/>
        <v>1004368.2960648388</v>
      </c>
      <c r="J7" s="155">
        <f t="shared" si="4"/>
        <v>1137625.6400593929</v>
      </c>
      <c r="K7" s="155">
        <f t="shared" si="4"/>
        <v>1276068.559546262</v>
      </c>
      <c r="L7" s="155">
        <f t="shared" si="4"/>
        <v>1431413.8057735134</v>
      </c>
      <c r="M7" s="172">
        <f t="shared" si="4"/>
        <v>1605733.0344102997</v>
      </c>
      <c r="N7" s="162"/>
    </row>
    <row r="8" spans="1:14" ht="14.25" customHeight="1">
      <c r="A8" s="22"/>
      <c r="B8" s="140"/>
      <c r="C8" s="136"/>
      <c r="D8" s="136"/>
      <c r="E8" s="136"/>
      <c r="F8" s="136"/>
      <c r="G8" s="136"/>
      <c r="H8" s="136"/>
      <c r="I8" s="173"/>
      <c r="J8" s="174"/>
      <c r="K8" s="174"/>
      <c r="L8" s="174"/>
      <c r="M8" s="175"/>
    </row>
    <row r="9" spans="1:14" ht="14.25" customHeight="1">
      <c r="A9" s="176" t="s">
        <v>2</v>
      </c>
      <c r="B9" s="140">
        <f>IS!B3</f>
        <v>44216827</v>
      </c>
      <c r="C9" s="136">
        <f>IS!C3</f>
        <v>49215361</v>
      </c>
      <c r="D9" s="136">
        <f>IS!D3</f>
        <v>51172154</v>
      </c>
      <c r="E9" s="136">
        <f>IS!E3</f>
        <v>60211220</v>
      </c>
      <c r="F9" s="136">
        <f>IS!F3</f>
        <v>96938522</v>
      </c>
      <c r="G9" s="136">
        <f>IS!G3</f>
        <v>111930270</v>
      </c>
      <c r="H9" s="136">
        <f>IS!H3</f>
        <v>125172015</v>
      </c>
      <c r="I9" s="141">
        <f>IS!I3</f>
        <v>140360013.12</v>
      </c>
      <c r="J9" s="142">
        <f>IS!J3</f>
        <v>157395674.46240002</v>
      </c>
      <c r="K9" s="142">
        <f>IS!K3</f>
        <v>176504484.13108805</v>
      </c>
      <c r="L9" s="142">
        <f>IS!L3</f>
        <v>197939550.26999861</v>
      </c>
      <c r="M9" s="143">
        <f>IS!M3</f>
        <v>221985003.55205548</v>
      </c>
    </row>
    <row r="10" spans="1:14" ht="14.25" customHeight="1">
      <c r="A10" s="176" t="s">
        <v>182</v>
      </c>
      <c r="B10" s="140">
        <f>-IS!B4</f>
        <v>32953571</v>
      </c>
      <c r="C10" s="136">
        <f>-IS!C4</f>
        <v>38202972</v>
      </c>
      <c r="D10" s="136">
        <f>-IS!D4</f>
        <v>40665744</v>
      </c>
      <c r="E10" s="136">
        <f>-IS!E4</f>
        <v>47833437</v>
      </c>
      <c r="F10" s="136">
        <f>-IS!F4</f>
        <v>73755671</v>
      </c>
      <c r="G10" s="136">
        <f>-IS!G4</f>
        <v>84863456</v>
      </c>
      <c r="H10" s="136">
        <f>-IS!H4</f>
        <v>95595789</v>
      </c>
      <c r="I10" s="141">
        <f>-IS!I4</f>
        <v>106802122.50122553</v>
      </c>
      <c r="J10" s="142">
        <f>-IS!J4</f>
        <v>119764822.83971065</v>
      </c>
      <c r="K10" s="142">
        <f>-IS!K4</f>
        <v>134305014.06456468</v>
      </c>
      <c r="L10" s="142">
        <f>-IS!L4</f>
        <v>150615290.10901448</v>
      </c>
      <c r="M10" s="143">
        <f>-IS!M4</f>
        <v>168911850.43230361</v>
      </c>
    </row>
    <row r="11" spans="1:14" ht="14.25" customHeight="1">
      <c r="A11" s="176"/>
      <c r="B11" s="140"/>
      <c r="C11" s="136"/>
      <c r="D11" s="136"/>
      <c r="E11" s="136"/>
      <c r="F11" s="136"/>
      <c r="G11" s="136"/>
      <c r="H11" s="136"/>
      <c r="I11" s="173"/>
      <c r="J11" s="174"/>
      <c r="K11" s="174"/>
      <c r="L11" s="174"/>
      <c r="M11" s="175"/>
    </row>
    <row r="12" spans="1:14" ht="14.25" customHeight="1">
      <c r="A12" s="176" t="s">
        <v>183</v>
      </c>
      <c r="B12" s="140">
        <f t="shared" ref="B12:H12" si="5">(B3/B10)*365</f>
        <v>27.83440905387765</v>
      </c>
      <c r="C12" s="136">
        <f t="shared" si="5"/>
        <v>29.080134917251989</v>
      </c>
      <c r="D12" s="136">
        <f t="shared" si="5"/>
        <v>33.398814245228124</v>
      </c>
      <c r="E12" s="136">
        <f t="shared" si="5"/>
        <v>34.621085559877287</v>
      </c>
      <c r="F12" s="136">
        <f t="shared" si="5"/>
        <v>36.875007550266879</v>
      </c>
      <c r="G12" s="136">
        <f t="shared" si="5"/>
        <v>39.238788071511017</v>
      </c>
      <c r="H12" s="136">
        <f t="shared" si="5"/>
        <v>31.635145508344515</v>
      </c>
      <c r="I12" s="141">
        <f t="shared" ref="I12:M12" si="6">H12</f>
        <v>31.635145508344515</v>
      </c>
      <c r="J12" s="142">
        <f t="shared" si="6"/>
        <v>31.635145508344515</v>
      </c>
      <c r="K12" s="142">
        <f t="shared" si="6"/>
        <v>31.635145508344515</v>
      </c>
      <c r="L12" s="142">
        <f t="shared" si="6"/>
        <v>31.635145508344515</v>
      </c>
      <c r="M12" s="143">
        <f t="shared" si="6"/>
        <v>31.635145508344515</v>
      </c>
    </row>
    <row r="13" spans="1:14" ht="14.25" customHeight="1">
      <c r="A13" s="176" t="s">
        <v>184</v>
      </c>
      <c r="B13" s="140">
        <f t="shared" ref="B13:H13" si="7">(B4/B9)*365</f>
        <v>19.363260959453289</v>
      </c>
      <c r="C13" s="136">
        <f t="shared" si="7"/>
        <v>13.950232530042806</v>
      </c>
      <c r="D13" s="136">
        <f t="shared" si="7"/>
        <v>12.817066387316821</v>
      </c>
      <c r="E13" s="136">
        <f t="shared" si="7"/>
        <v>14.585961636386044</v>
      </c>
      <c r="F13" s="136">
        <f t="shared" si="7"/>
        <v>20.82535599212045</v>
      </c>
      <c r="G13" s="136">
        <f t="shared" si="7"/>
        <v>19.638993991527048</v>
      </c>
      <c r="H13" s="136">
        <f t="shared" si="7"/>
        <v>16.550665418304561</v>
      </c>
      <c r="I13" s="88">
        <f t="shared" ref="I13:M13" si="8">H13</f>
        <v>16.550665418304561</v>
      </c>
      <c r="J13" s="89">
        <f t="shared" si="8"/>
        <v>16.550665418304561</v>
      </c>
      <c r="K13" s="89">
        <f t="shared" si="8"/>
        <v>16.550665418304561</v>
      </c>
      <c r="L13" s="89">
        <f t="shared" si="8"/>
        <v>16.550665418304561</v>
      </c>
      <c r="M13" s="161">
        <f t="shared" si="8"/>
        <v>16.550665418304561</v>
      </c>
    </row>
    <row r="14" spans="1:14" ht="14.25" customHeight="1">
      <c r="A14" s="176" t="s">
        <v>185</v>
      </c>
      <c r="B14" s="140">
        <f t="shared" ref="B14:H14" si="9">(B5/B10)*365</f>
        <v>14.956954134045139</v>
      </c>
      <c r="C14" s="136">
        <f t="shared" si="9"/>
        <v>17.009874257950401</v>
      </c>
      <c r="D14" s="136">
        <f t="shared" si="9"/>
        <v>17.937126270209145</v>
      </c>
      <c r="E14" s="136">
        <f t="shared" si="9"/>
        <v>26.651631786358983</v>
      </c>
      <c r="F14" s="136">
        <f t="shared" si="9"/>
        <v>23.902068967686567</v>
      </c>
      <c r="G14" s="136">
        <f t="shared" si="9"/>
        <v>19.646681900393027</v>
      </c>
      <c r="H14" s="136">
        <f t="shared" si="9"/>
        <v>21.353196216624145</v>
      </c>
      <c r="I14" s="88">
        <f t="shared" ref="I14:M14" si="10">H14</f>
        <v>21.353196216624145</v>
      </c>
      <c r="J14" s="89">
        <f t="shared" si="10"/>
        <v>21.353196216624145</v>
      </c>
      <c r="K14" s="89">
        <f t="shared" si="10"/>
        <v>21.353196216624145</v>
      </c>
      <c r="L14" s="89">
        <f t="shared" si="10"/>
        <v>21.353196216624145</v>
      </c>
      <c r="M14" s="161">
        <f t="shared" si="10"/>
        <v>21.353196216624145</v>
      </c>
    </row>
    <row r="15" spans="1:14" ht="14.25" customHeight="1">
      <c r="A15" s="168"/>
      <c r="B15" s="168"/>
      <c r="C15" s="12"/>
      <c r="D15" s="12"/>
      <c r="E15" s="12"/>
      <c r="F15" s="12"/>
      <c r="G15" s="12"/>
      <c r="H15" s="12"/>
      <c r="I15" s="177"/>
      <c r="J15" s="178"/>
      <c r="K15" s="178"/>
      <c r="L15" s="178"/>
      <c r="M15" s="179"/>
    </row>
    <row r="16" spans="1:14" ht="14.25" customHeight="1">
      <c r="I16" s="173"/>
      <c r="J16" s="174"/>
      <c r="K16" s="174"/>
      <c r="L16" s="174"/>
      <c r="M16" s="174"/>
    </row>
    <row r="17" spans="1:13" ht="14.25" customHeight="1">
      <c r="I17" s="173"/>
      <c r="J17" s="174"/>
      <c r="K17" s="174"/>
      <c r="L17" s="174"/>
      <c r="M17" s="174"/>
    </row>
    <row r="18" spans="1:13" ht="14.25" customHeight="1">
      <c r="I18" s="173"/>
      <c r="J18" s="174"/>
      <c r="K18" s="174"/>
      <c r="L18" s="174"/>
      <c r="M18" s="174"/>
    </row>
    <row r="19" spans="1:13" ht="21" customHeight="1">
      <c r="A19" s="180"/>
      <c r="B19" s="181"/>
      <c r="C19" s="181"/>
      <c r="D19" s="181"/>
      <c r="E19" s="181"/>
      <c r="F19" s="181"/>
      <c r="G19" s="181"/>
      <c r="H19" s="181"/>
      <c r="I19" s="182"/>
      <c r="J19" s="183"/>
      <c r="K19" s="174"/>
      <c r="L19" s="174"/>
      <c r="M19" s="174"/>
    </row>
    <row r="20" spans="1:13" ht="18" customHeight="1">
      <c r="A20" s="181"/>
      <c r="B20" s="181"/>
      <c r="C20" s="181"/>
      <c r="D20" s="181"/>
      <c r="E20" s="181"/>
      <c r="F20" s="181"/>
      <c r="G20" s="181"/>
      <c r="H20" s="181"/>
      <c r="I20" s="182"/>
      <c r="J20" s="183"/>
      <c r="K20" s="174"/>
      <c r="L20" s="174"/>
      <c r="M20" s="174"/>
    </row>
    <row r="21" spans="1:13" ht="14.25" customHeight="1">
      <c r="I21" s="173"/>
      <c r="J21" s="174"/>
      <c r="K21" s="174"/>
      <c r="L21" s="174"/>
      <c r="M21" s="174"/>
    </row>
    <row r="22" spans="1:13" ht="14.25" customHeight="1">
      <c r="I22" s="173"/>
      <c r="J22" s="174"/>
      <c r="K22" s="174"/>
      <c r="L22" s="174"/>
      <c r="M22" s="174"/>
    </row>
    <row r="23" spans="1:13" ht="14.25" customHeight="1">
      <c r="I23" s="22"/>
    </row>
    <row r="24" spans="1:13" ht="14.25" customHeight="1">
      <c r="I24" s="22"/>
    </row>
    <row r="25" spans="1:13" ht="14.25" customHeight="1">
      <c r="I25" s="22"/>
    </row>
    <row r="26" spans="1:13" ht="14.25" customHeight="1">
      <c r="I26" s="22"/>
    </row>
    <row r="27" spans="1:13" ht="14.25" customHeight="1">
      <c r="I27" s="22"/>
    </row>
    <row r="28" spans="1:13" ht="14.25" customHeight="1">
      <c r="I28" s="22"/>
    </row>
    <row r="29" spans="1:13" ht="14.25" customHeight="1">
      <c r="I29" s="22"/>
    </row>
    <row r="30" spans="1:13" ht="14.25" customHeight="1">
      <c r="I30" s="22"/>
    </row>
    <row r="31" spans="1:13" ht="14.25" customHeight="1">
      <c r="I31" s="22"/>
    </row>
    <row r="32" spans="1:13" ht="14.25" customHeight="1">
      <c r="I32" s="22"/>
    </row>
    <row r="33" spans="9:9" ht="14.25" customHeight="1">
      <c r="I33" s="22"/>
    </row>
    <row r="34" spans="9:9" ht="14.25" customHeight="1">
      <c r="I34" s="22"/>
    </row>
    <row r="35" spans="9:9" ht="14.25" customHeight="1">
      <c r="I35" s="22"/>
    </row>
    <row r="36" spans="9:9" ht="14.25" customHeight="1">
      <c r="I36" s="22"/>
    </row>
    <row r="37" spans="9:9" ht="14.25" customHeight="1">
      <c r="I37" s="22"/>
    </row>
    <row r="38" spans="9:9" ht="14.25" customHeight="1">
      <c r="I38" s="22"/>
    </row>
    <row r="39" spans="9:9" ht="14.25" customHeight="1">
      <c r="I39" s="22"/>
    </row>
    <row r="40" spans="9:9" ht="14.25" customHeight="1">
      <c r="I40" s="22"/>
    </row>
    <row r="41" spans="9:9" ht="14.25" customHeight="1">
      <c r="I41" s="22"/>
    </row>
    <row r="42" spans="9:9" ht="14.25" customHeight="1">
      <c r="I42" s="22"/>
    </row>
    <row r="43" spans="9:9" ht="14.25" customHeight="1">
      <c r="I43" s="22"/>
    </row>
    <row r="44" spans="9:9" ht="14.25" customHeight="1">
      <c r="I44" s="22"/>
    </row>
    <row r="45" spans="9:9" ht="14.25" customHeight="1">
      <c r="I45" s="22"/>
    </row>
    <row r="46" spans="9:9" ht="14.25" customHeight="1">
      <c r="I46" s="22"/>
    </row>
    <row r="47" spans="9:9" ht="14.25" customHeight="1">
      <c r="I47" s="22"/>
    </row>
    <row r="48" spans="9:9" ht="14.25" customHeight="1">
      <c r="I48" s="22"/>
    </row>
    <row r="49" spans="9:9" ht="14.25" customHeight="1">
      <c r="I49" s="22"/>
    </row>
    <row r="50" spans="9:9" ht="14.25" customHeight="1">
      <c r="I50" s="22"/>
    </row>
    <row r="51" spans="9:9" ht="14.25" customHeight="1">
      <c r="I51" s="22"/>
    </row>
    <row r="52" spans="9:9" ht="14.25" customHeight="1">
      <c r="I52" s="22"/>
    </row>
    <row r="53" spans="9:9" ht="14.25" customHeight="1">
      <c r="I53" s="22"/>
    </row>
    <row r="54" spans="9:9" ht="14.25" customHeight="1">
      <c r="I54" s="22"/>
    </row>
    <row r="55" spans="9:9" ht="14.25" customHeight="1">
      <c r="I55" s="22"/>
    </row>
    <row r="56" spans="9:9" ht="14.25" customHeight="1">
      <c r="I56" s="22"/>
    </row>
    <row r="57" spans="9:9" ht="14.25" customHeight="1">
      <c r="I57" s="22"/>
    </row>
    <row r="58" spans="9:9" ht="14.25" customHeight="1">
      <c r="I58" s="22"/>
    </row>
    <row r="59" spans="9:9" ht="14.25" customHeight="1">
      <c r="I59" s="22"/>
    </row>
    <row r="60" spans="9:9" ht="14.25" customHeight="1">
      <c r="I60" s="22"/>
    </row>
    <row r="61" spans="9:9" ht="14.25" customHeight="1">
      <c r="I61" s="22"/>
    </row>
    <row r="62" spans="9:9" ht="14.25" customHeight="1">
      <c r="I62" s="22"/>
    </row>
    <row r="63" spans="9:9" ht="14.25" customHeight="1">
      <c r="I63" s="22"/>
    </row>
    <row r="64" spans="9:9" ht="14.25" customHeight="1">
      <c r="I64" s="22"/>
    </row>
    <row r="65" spans="9:9" ht="14.25" customHeight="1">
      <c r="I65" s="22"/>
    </row>
    <row r="66" spans="9:9" ht="14.25" customHeight="1">
      <c r="I66" s="22"/>
    </row>
    <row r="67" spans="9:9" ht="14.25" customHeight="1">
      <c r="I67" s="22"/>
    </row>
    <row r="68" spans="9:9" ht="14.25" customHeight="1">
      <c r="I68" s="22"/>
    </row>
    <row r="69" spans="9:9" ht="14.25" customHeight="1">
      <c r="I69" s="22"/>
    </row>
    <row r="70" spans="9:9" ht="14.25" customHeight="1">
      <c r="I70" s="22"/>
    </row>
    <row r="71" spans="9:9" ht="14.25" customHeight="1">
      <c r="I71" s="22"/>
    </row>
    <row r="72" spans="9:9" ht="14.25" customHeight="1">
      <c r="I72" s="22"/>
    </row>
    <row r="73" spans="9:9" ht="14.25" customHeight="1">
      <c r="I73" s="22"/>
    </row>
    <row r="74" spans="9:9" ht="14.25" customHeight="1">
      <c r="I74" s="22"/>
    </row>
    <row r="75" spans="9:9" ht="14.25" customHeight="1">
      <c r="I75" s="22"/>
    </row>
    <row r="76" spans="9:9" ht="14.25" customHeight="1">
      <c r="I76" s="22"/>
    </row>
    <row r="77" spans="9:9" ht="14.25" customHeight="1">
      <c r="I77" s="22"/>
    </row>
    <row r="78" spans="9:9" ht="14.25" customHeight="1">
      <c r="I78" s="22"/>
    </row>
    <row r="79" spans="9:9" ht="14.25" customHeight="1">
      <c r="I79" s="22"/>
    </row>
    <row r="80" spans="9:9" ht="14.25" customHeight="1">
      <c r="I80" s="22"/>
    </row>
    <row r="81" spans="9:9" ht="14.25" customHeight="1">
      <c r="I81" s="22"/>
    </row>
    <row r="82" spans="9:9" ht="14.25" customHeight="1">
      <c r="I82" s="22"/>
    </row>
    <row r="83" spans="9:9" ht="14.25" customHeight="1">
      <c r="I83" s="22"/>
    </row>
    <row r="84" spans="9:9" ht="14.25" customHeight="1">
      <c r="I84" s="22"/>
    </row>
    <row r="85" spans="9:9" ht="14.25" customHeight="1">
      <c r="I85" s="22"/>
    </row>
    <row r="86" spans="9:9" ht="14.25" customHeight="1">
      <c r="I86" s="22"/>
    </row>
    <row r="87" spans="9:9" ht="14.25" customHeight="1">
      <c r="I87" s="22"/>
    </row>
    <row r="88" spans="9:9" ht="14.25" customHeight="1">
      <c r="I88" s="22"/>
    </row>
    <row r="89" spans="9:9" ht="14.25" customHeight="1">
      <c r="I89" s="22"/>
    </row>
    <row r="90" spans="9:9" ht="14.25" customHeight="1">
      <c r="I90" s="22"/>
    </row>
    <row r="91" spans="9:9" ht="14.25" customHeight="1">
      <c r="I91" s="22"/>
    </row>
    <row r="92" spans="9:9" ht="14.25" customHeight="1">
      <c r="I92" s="22"/>
    </row>
    <row r="93" spans="9:9" ht="14.25" customHeight="1">
      <c r="I93" s="22"/>
    </row>
    <row r="94" spans="9:9" ht="14.25" customHeight="1">
      <c r="I94" s="22"/>
    </row>
    <row r="95" spans="9:9" ht="14.25" customHeight="1">
      <c r="I95" s="22"/>
    </row>
    <row r="96" spans="9:9" ht="14.25" customHeight="1">
      <c r="I96" s="22"/>
    </row>
    <row r="97" spans="9:9" ht="14.25" customHeight="1">
      <c r="I97" s="22"/>
    </row>
    <row r="98" spans="9:9" ht="14.25" customHeight="1">
      <c r="I98" s="22"/>
    </row>
    <row r="99" spans="9:9" ht="14.25" customHeight="1">
      <c r="I99" s="22"/>
    </row>
    <row r="100" spans="9:9" ht="14.25" customHeight="1">
      <c r="I100" s="22"/>
    </row>
    <row r="101" spans="9:9" ht="14.25" customHeight="1">
      <c r="I101" s="22"/>
    </row>
    <row r="102" spans="9:9" ht="14.25" customHeight="1">
      <c r="I102" s="22"/>
    </row>
    <row r="103" spans="9:9" ht="14.25" customHeight="1">
      <c r="I103" s="22"/>
    </row>
    <row r="104" spans="9:9" ht="14.25" customHeight="1">
      <c r="I104" s="22"/>
    </row>
    <row r="105" spans="9:9" ht="14.25" customHeight="1">
      <c r="I105" s="22"/>
    </row>
    <row r="106" spans="9:9" ht="14.25" customHeight="1">
      <c r="I106" s="22"/>
    </row>
    <row r="107" spans="9:9" ht="14.25" customHeight="1">
      <c r="I107" s="22"/>
    </row>
    <row r="108" spans="9:9" ht="14.25" customHeight="1">
      <c r="I108" s="22"/>
    </row>
    <row r="109" spans="9:9" ht="14.25" customHeight="1">
      <c r="I109" s="22"/>
    </row>
    <row r="110" spans="9:9" ht="14.25" customHeight="1">
      <c r="I110" s="22"/>
    </row>
    <row r="111" spans="9:9" ht="14.25" customHeight="1">
      <c r="I111" s="22"/>
    </row>
    <row r="112" spans="9:9" ht="14.25" customHeight="1">
      <c r="I112" s="22"/>
    </row>
    <row r="113" spans="9:9" ht="14.25" customHeight="1">
      <c r="I113" s="22"/>
    </row>
    <row r="114" spans="9:9" ht="14.25" customHeight="1">
      <c r="I114" s="22"/>
    </row>
    <row r="115" spans="9:9" ht="14.25" customHeight="1">
      <c r="I115" s="22"/>
    </row>
    <row r="116" spans="9:9" ht="14.25" customHeight="1">
      <c r="I116" s="22"/>
    </row>
    <row r="117" spans="9:9" ht="14.25" customHeight="1">
      <c r="I117" s="22"/>
    </row>
    <row r="118" spans="9:9" ht="14.25" customHeight="1">
      <c r="I118" s="22"/>
    </row>
    <row r="119" spans="9:9" ht="14.25" customHeight="1">
      <c r="I119" s="22"/>
    </row>
    <row r="120" spans="9:9" ht="14.25" customHeight="1">
      <c r="I120" s="22"/>
    </row>
    <row r="121" spans="9:9" ht="14.25" customHeight="1">
      <c r="I121" s="22"/>
    </row>
    <row r="122" spans="9:9" ht="14.25" customHeight="1">
      <c r="I122" s="22"/>
    </row>
    <row r="123" spans="9:9" ht="14.25" customHeight="1">
      <c r="I123" s="22"/>
    </row>
    <row r="124" spans="9:9" ht="14.25" customHeight="1">
      <c r="I124" s="22"/>
    </row>
    <row r="125" spans="9:9" ht="14.25" customHeight="1">
      <c r="I125" s="22"/>
    </row>
    <row r="126" spans="9:9" ht="14.25" customHeight="1">
      <c r="I126" s="22"/>
    </row>
    <row r="127" spans="9:9" ht="14.25" customHeight="1">
      <c r="I127" s="22"/>
    </row>
    <row r="128" spans="9:9" ht="14.25" customHeight="1">
      <c r="I128" s="22"/>
    </row>
    <row r="129" spans="9:9" ht="14.25" customHeight="1">
      <c r="I129" s="22"/>
    </row>
    <row r="130" spans="9:9" ht="14.25" customHeight="1">
      <c r="I130" s="22"/>
    </row>
    <row r="131" spans="9:9" ht="14.25" customHeight="1">
      <c r="I131" s="22"/>
    </row>
    <row r="132" spans="9:9" ht="14.25" customHeight="1">
      <c r="I132" s="22"/>
    </row>
    <row r="133" spans="9:9" ht="14.25" customHeight="1">
      <c r="I133" s="22"/>
    </row>
    <row r="134" spans="9:9" ht="14.25" customHeight="1">
      <c r="I134" s="22"/>
    </row>
    <row r="135" spans="9:9" ht="14.25" customHeight="1">
      <c r="I135" s="22"/>
    </row>
    <row r="136" spans="9:9" ht="14.25" customHeight="1">
      <c r="I136" s="22"/>
    </row>
    <row r="137" spans="9:9" ht="14.25" customHeight="1">
      <c r="I137" s="22"/>
    </row>
    <row r="138" spans="9:9" ht="14.25" customHeight="1">
      <c r="I138" s="22"/>
    </row>
    <row r="139" spans="9:9" ht="14.25" customHeight="1">
      <c r="I139" s="22"/>
    </row>
    <row r="140" spans="9:9" ht="14.25" customHeight="1">
      <c r="I140" s="22"/>
    </row>
    <row r="141" spans="9:9" ht="14.25" customHeight="1">
      <c r="I141" s="22"/>
    </row>
    <row r="142" spans="9:9" ht="14.25" customHeight="1">
      <c r="I142" s="22"/>
    </row>
    <row r="143" spans="9:9" ht="14.25" customHeight="1">
      <c r="I143" s="22"/>
    </row>
    <row r="144" spans="9:9" ht="14.25" customHeight="1">
      <c r="I144" s="22"/>
    </row>
    <row r="145" spans="9:9" ht="14.25" customHeight="1">
      <c r="I145" s="22"/>
    </row>
    <row r="146" spans="9:9" ht="14.25" customHeight="1">
      <c r="I146" s="22"/>
    </row>
    <row r="147" spans="9:9" ht="14.25" customHeight="1">
      <c r="I147" s="22"/>
    </row>
    <row r="148" spans="9:9" ht="14.25" customHeight="1">
      <c r="I148" s="22"/>
    </row>
    <row r="149" spans="9:9" ht="14.25" customHeight="1">
      <c r="I149" s="22"/>
    </row>
    <row r="150" spans="9:9" ht="14.25" customHeight="1">
      <c r="I150" s="22"/>
    </row>
    <row r="151" spans="9:9" ht="14.25" customHeight="1">
      <c r="I151" s="22"/>
    </row>
    <row r="152" spans="9:9" ht="14.25" customHeight="1">
      <c r="I152" s="22"/>
    </row>
    <row r="153" spans="9:9" ht="14.25" customHeight="1">
      <c r="I153" s="22"/>
    </row>
    <row r="154" spans="9:9" ht="14.25" customHeight="1">
      <c r="I154" s="22"/>
    </row>
    <row r="155" spans="9:9" ht="14.25" customHeight="1">
      <c r="I155" s="22"/>
    </row>
    <row r="156" spans="9:9" ht="14.25" customHeight="1">
      <c r="I156" s="22"/>
    </row>
    <row r="157" spans="9:9" ht="14.25" customHeight="1">
      <c r="I157" s="22"/>
    </row>
    <row r="158" spans="9:9" ht="14.25" customHeight="1">
      <c r="I158" s="22"/>
    </row>
    <row r="159" spans="9:9" ht="14.25" customHeight="1">
      <c r="I159" s="22"/>
    </row>
    <row r="160" spans="9:9" ht="14.25" customHeight="1">
      <c r="I160" s="22"/>
    </row>
    <row r="161" spans="9:9" ht="14.25" customHeight="1">
      <c r="I161" s="22"/>
    </row>
    <row r="162" spans="9:9" ht="14.25" customHeight="1">
      <c r="I162" s="22"/>
    </row>
    <row r="163" spans="9:9" ht="14.25" customHeight="1">
      <c r="I163" s="22"/>
    </row>
    <row r="164" spans="9:9" ht="14.25" customHeight="1">
      <c r="I164" s="22"/>
    </row>
    <row r="165" spans="9:9" ht="14.25" customHeight="1">
      <c r="I165" s="22"/>
    </row>
    <row r="166" spans="9:9" ht="14.25" customHeight="1">
      <c r="I166" s="22"/>
    </row>
    <row r="167" spans="9:9" ht="14.25" customHeight="1">
      <c r="I167" s="22"/>
    </row>
    <row r="168" spans="9:9" ht="14.25" customHeight="1">
      <c r="I168" s="22"/>
    </row>
    <row r="169" spans="9:9" ht="14.25" customHeight="1">
      <c r="I169" s="22"/>
    </row>
    <row r="170" spans="9:9" ht="14.25" customHeight="1">
      <c r="I170" s="22"/>
    </row>
    <row r="171" spans="9:9" ht="14.25" customHeight="1">
      <c r="I171" s="22"/>
    </row>
    <row r="172" spans="9:9" ht="14.25" customHeight="1">
      <c r="I172" s="22"/>
    </row>
    <row r="173" spans="9:9" ht="14.25" customHeight="1">
      <c r="I173" s="22"/>
    </row>
    <row r="174" spans="9:9" ht="14.25" customHeight="1">
      <c r="I174" s="22"/>
    </row>
    <row r="175" spans="9:9" ht="14.25" customHeight="1">
      <c r="I175" s="22"/>
    </row>
    <row r="176" spans="9:9" ht="14.25" customHeight="1">
      <c r="I176" s="22"/>
    </row>
    <row r="177" spans="9:9" ht="14.25" customHeight="1">
      <c r="I177" s="22"/>
    </row>
    <row r="178" spans="9:9" ht="14.25" customHeight="1">
      <c r="I178" s="22"/>
    </row>
    <row r="179" spans="9:9" ht="14.25" customHeight="1">
      <c r="I179" s="22"/>
    </row>
    <row r="180" spans="9:9" ht="14.25" customHeight="1">
      <c r="I180" s="22"/>
    </row>
    <row r="181" spans="9:9" ht="14.25" customHeight="1">
      <c r="I181" s="22"/>
    </row>
    <row r="182" spans="9:9" ht="14.25" customHeight="1">
      <c r="I182" s="22"/>
    </row>
    <row r="183" spans="9:9" ht="14.25" customHeight="1">
      <c r="I183" s="22"/>
    </row>
    <row r="184" spans="9:9" ht="14.25" customHeight="1">
      <c r="I184" s="22"/>
    </row>
    <row r="185" spans="9:9" ht="14.25" customHeight="1">
      <c r="I185" s="22"/>
    </row>
    <row r="186" spans="9:9" ht="14.25" customHeight="1">
      <c r="I186" s="22"/>
    </row>
    <row r="187" spans="9:9" ht="14.25" customHeight="1">
      <c r="I187" s="22"/>
    </row>
    <row r="188" spans="9:9" ht="14.25" customHeight="1">
      <c r="I188" s="22"/>
    </row>
    <row r="189" spans="9:9" ht="14.25" customHeight="1">
      <c r="I189" s="22"/>
    </row>
    <row r="190" spans="9:9" ht="14.25" customHeight="1">
      <c r="I190" s="22"/>
    </row>
    <row r="191" spans="9:9" ht="14.25" customHeight="1">
      <c r="I191" s="22"/>
    </row>
    <row r="192" spans="9:9" ht="14.25" customHeight="1">
      <c r="I192" s="22"/>
    </row>
    <row r="193" spans="9:9" ht="14.25" customHeight="1">
      <c r="I193" s="22"/>
    </row>
    <row r="194" spans="9:9" ht="14.25" customHeight="1">
      <c r="I194" s="22"/>
    </row>
    <row r="195" spans="9:9" ht="14.25" customHeight="1">
      <c r="I195" s="22"/>
    </row>
    <row r="196" spans="9:9" ht="14.25" customHeight="1">
      <c r="I196" s="22"/>
    </row>
    <row r="197" spans="9:9" ht="14.25" customHeight="1">
      <c r="I197" s="22"/>
    </row>
    <row r="198" spans="9:9" ht="14.25" customHeight="1">
      <c r="I198" s="22"/>
    </row>
    <row r="199" spans="9:9" ht="14.25" customHeight="1">
      <c r="I199" s="22"/>
    </row>
    <row r="200" spans="9:9" ht="14.25" customHeight="1">
      <c r="I200" s="22"/>
    </row>
    <row r="201" spans="9:9" ht="14.25" customHeight="1">
      <c r="I201" s="22"/>
    </row>
    <row r="202" spans="9:9" ht="14.25" customHeight="1">
      <c r="I202" s="22"/>
    </row>
    <row r="203" spans="9:9" ht="14.25" customHeight="1">
      <c r="I203" s="22"/>
    </row>
    <row r="204" spans="9:9" ht="14.25" customHeight="1">
      <c r="I204" s="22"/>
    </row>
    <row r="205" spans="9:9" ht="14.25" customHeight="1">
      <c r="I205" s="22"/>
    </row>
    <row r="206" spans="9:9" ht="14.25" customHeight="1">
      <c r="I206" s="22"/>
    </row>
    <row r="207" spans="9:9" ht="14.25" customHeight="1">
      <c r="I207" s="22"/>
    </row>
    <row r="208" spans="9:9" ht="14.25" customHeight="1">
      <c r="I208" s="22"/>
    </row>
    <row r="209" spans="9:9" ht="14.25" customHeight="1">
      <c r="I209" s="22"/>
    </row>
    <row r="210" spans="9:9" ht="14.25" customHeight="1">
      <c r="I210" s="22"/>
    </row>
    <row r="211" spans="9:9" ht="14.25" customHeight="1">
      <c r="I211" s="22"/>
    </row>
    <row r="212" spans="9:9" ht="14.25" customHeight="1">
      <c r="I212" s="22"/>
    </row>
    <row r="213" spans="9:9" ht="14.25" customHeight="1">
      <c r="I213" s="22"/>
    </row>
    <row r="214" spans="9:9" ht="14.25" customHeight="1">
      <c r="I214" s="22"/>
    </row>
    <row r="215" spans="9:9" ht="14.25" customHeight="1">
      <c r="I215" s="22"/>
    </row>
    <row r="216" spans="9:9" ht="14.25" customHeight="1">
      <c r="I216" s="22"/>
    </row>
    <row r="217" spans="9:9" ht="14.25" customHeight="1">
      <c r="I217" s="22"/>
    </row>
    <row r="218" spans="9:9" ht="14.25" customHeight="1">
      <c r="I218" s="22"/>
    </row>
    <row r="219" spans="9:9" ht="14.25" customHeight="1">
      <c r="I219" s="22"/>
    </row>
    <row r="220" spans="9:9" ht="14.25" customHeight="1">
      <c r="I220" s="22"/>
    </row>
    <row r="221" spans="9:9" ht="14.25" customHeight="1">
      <c r="I221" s="22"/>
    </row>
    <row r="222" spans="9:9" ht="14.25" customHeight="1">
      <c r="I222" s="22"/>
    </row>
    <row r="223" spans="9:9" ht="14.25" customHeight="1">
      <c r="I223" s="22"/>
    </row>
    <row r="224" spans="9:9" ht="14.25" customHeight="1">
      <c r="I224" s="22"/>
    </row>
    <row r="225" spans="9:9" ht="14.25" customHeight="1">
      <c r="I225" s="22"/>
    </row>
    <row r="226" spans="9:9" ht="14.25" customHeight="1">
      <c r="I226" s="22"/>
    </row>
    <row r="227" spans="9:9" ht="14.25" customHeight="1">
      <c r="I227" s="22"/>
    </row>
    <row r="228" spans="9:9" ht="14.25" customHeight="1">
      <c r="I228" s="22"/>
    </row>
    <row r="229" spans="9:9" ht="14.25" customHeight="1">
      <c r="I229" s="22"/>
    </row>
    <row r="230" spans="9:9" ht="14.25" customHeight="1">
      <c r="I230" s="22"/>
    </row>
    <row r="231" spans="9:9" ht="14.25" customHeight="1">
      <c r="I231" s="22"/>
    </row>
    <row r="232" spans="9:9" ht="14.25" customHeight="1">
      <c r="I232" s="22"/>
    </row>
    <row r="233" spans="9:9" ht="14.25" customHeight="1">
      <c r="I233" s="22"/>
    </row>
    <row r="234" spans="9:9" ht="14.25" customHeight="1">
      <c r="I234" s="22"/>
    </row>
    <row r="235" spans="9:9" ht="14.25" customHeight="1">
      <c r="I235" s="22"/>
    </row>
    <row r="236" spans="9:9" ht="14.25" customHeight="1">
      <c r="I236" s="22"/>
    </row>
    <row r="237" spans="9:9" ht="14.25" customHeight="1">
      <c r="I237" s="22"/>
    </row>
    <row r="238" spans="9:9" ht="14.25" customHeight="1">
      <c r="I238" s="22"/>
    </row>
    <row r="239" spans="9:9" ht="14.25" customHeight="1">
      <c r="I239" s="22"/>
    </row>
    <row r="240" spans="9:9" ht="14.25" customHeight="1">
      <c r="I240" s="22"/>
    </row>
    <row r="241" spans="9:9" ht="14.25" customHeight="1">
      <c r="I241" s="22"/>
    </row>
    <row r="242" spans="9:9" ht="14.25" customHeight="1">
      <c r="I242" s="22"/>
    </row>
    <row r="243" spans="9:9" ht="14.25" customHeight="1">
      <c r="I243" s="22"/>
    </row>
    <row r="244" spans="9:9" ht="14.25" customHeight="1">
      <c r="I244" s="22"/>
    </row>
    <row r="245" spans="9:9" ht="14.25" customHeight="1">
      <c r="I245" s="22"/>
    </row>
    <row r="246" spans="9:9" ht="14.25" customHeight="1">
      <c r="I246" s="22"/>
    </row>
    <row r="247" spans="9:9" ht="14.25" customHeight="1">
      <c r="I247" s="22"/>
    </row>
    <row r="248" spans="9:9" ht="14.25" customHeight="1">
      <c r="I248" s="22"/>
    </row>
    <row r="249" spans="9:9" ht="14.25" customHeight="1">
      <c r="I249" s="22"/>
    </row>
    <row r="250" spans="9:9" ht="14.25" customHeight="1">
      <c r="I250" s="22"/>
    </row>
    <row r="251" spans="9:9" ht="14.25" customHeight="1">
      <c r="I251" s="22"/>
    </row>
    <row r="252" spans="9:9" ht="14.25" customHeight="1">
      <c r="I252" s="22"/>
    </row>
    <row r="253" spans="9:9" ht="14.25" customHeight="1">
      <c r="I253" s="22"/>
    </row>
    <row r="254" spans="9:9" ht="14.25" customHeight="1">
      <c r="I254" s="22"/>
    </row>
    <row r="255" spans="9:9" ht="14.25" customHeight="1">
      <c r="I255" s="22"/>
    </row>
    <row r="256" spans="9:9" ht="14.25" customHeight="1">
      <c r="I256" s="22"/>
    </row>
    <row r="257" spans="9:9" ht="14.25" customHeight="1">
      <c r="I257" s="22"/>
    </row>
    <row r="258" spans="9:9" ht="14.25" customHeight="1">
      <c r="I258" s="22"/>
    </row>
    <row r="259" spans="9:9" ht="14.25" customHeight="1">
      <c r="I259" s="22"/>
    </row>
    <row r="260" spans="9:9" ht="14.25" customHeight="1">
      <c r="I260" s="22"/>
    </row>
    <row r="261" spans="9:9" ht="14.25" customHeight="1">
      <c r="I261" s="22"/>
    </row>
    <row r="262" spans="9:9" ht="14.25" customHeight="1">
      <c r="I262" s="22"/>
    </row>
    <row r="263" spans="9:9" ht="14.25" customHeight="1">
      <c r="I263" s="22"/>
    </row>
    <row r="264" spans="9:9" ht="14.25" customHeight="1">
      <c r="I264" s="22"/>
    </row>
    <row r="265" spans="9:9" ht="14.25" customHeight="1">
      <c r="I265" s="22"/>
    </row>
    <row r="266" spans="9:9" ht="14.25" customHeight="1">
      <c r="I266" s="22"/>
    </row>
    <row r="267" spans="9:9" ht="14.25" customHeight="1">
      <c r="I267" s="22"/>
    </row>
    <row r="268" spans="9:9" ht="14.25" customHeight="1">
      <c r="I268" s="22"/>
    </row>
    <row r="269" spans="9:9" ht="14.25" customHeight="1">
      <c r="I269" s="22"/>
    </row>
    <row r="270" spans="9:9" ht="14.25" customHeight="1">
      <c r="I270" s="22"/>
    </row>
    <row r="271" spans="9:9" ht="14.25" customHeight="1">
      <c r="I271" s="22"/>
    </row>
    <row r="272" spans="9:9" ht="14.25" customHeight="1">
      <c r="I272" s="22"/>
    </row>
    <row r="273" spans="9:9" ht="14.25" customHeight="1">
      <c r="I273" s="22"/>
    </row>
    <row r="274" spans="9:9" ht="14.25" customHeight="1">
      <c r="I274" s="22"/>
    </row>
    <row r="275" spans="9:9" ht="14.25" customHeight="1">
      <c r="I275" s="22"/>
    </row>
    <row r="276" spans="9:9" ht="14.25" customHeight="1">
      <c r="I276" s="22"/>
    </row>
    <row r="277" spans="9:9" ht="14.25" customHeight="1">
      <c r="I277" s="22"/>
    </row>
    <row r="278" spans="9:9" ht="14.25" customHeight="1">
      <c r="I278" s="22"/>
    </row>
    <row r="279" spans="9:9" ht="14.25" customHeight="1">
      <c r="I279" s="22"/>
    </row>
    <row r="280" spans="9:9" ht="14.25" customHeight="1">
      <c r="I280" s="22"/>
    </row>
    <row r="281" spans="9:9" ht="14.25" customHeight="1">
      <c r="I281" s="22"/>
    </row>
    <row r="282" spans="9:9" ht="14.25" customHeight="1">
      <c r="I282" s="22"/>
    </row>
    <row r="283" spans="9:9" ht="14.25" customHeight="1">
      <c r="I283" s="22"/>
    </row>
    <row r="284" spans="9:9" ht="14.25" customHeight="1">
      <c r="I284" s="22"/>
    </row>
    <row r="285" spans="9:9" ht="14.25" customHeight="1">
      <c r="I285" s="22"/>
    </row>
    <row r="286" spans="9:9" ht="14.25" customHeight="1">
      <c r="I286" s="22"/>
    </row>
    <row r="287" spans="9:9" ht="14.25" customHeight="1">
      <c r="I287" s="22"/>
    </row>
    <row r="288" spans="9:9" ht="14.25" customHeight="1">
      <c r="I288" s="22"/>
    </row>
    <row r="289" spans="9:9" ht="14.25" customHeight="1">
      <c r="I289" s="22"/>
    </row>
    <row r="290" spans="9:9" ht="14.25" customHeight="1">
      <c r="I290" s="22"/>
    </row>
    <row r="291" spans="9:9" ht="14.25" customHeight="1">
      <c r="I291" s="22"/>
    </row>
    <row r="292" spans="9:9" ht="14.25" customHeight="1">
      <c r="I292" s="22"/>
    </row>
    <row r="293" spans="9:9" ht="14.25" customHeight="1">
      <c r="I293" s="22"/>
    </row>
    <row r="294" spans="9:9" ht="14.25" customHeight="1">
      <c r="I294" s="22"/>
    </row>
    <row r="295" spans="9:9" ht="14.25" customHeight="1">
      <c r="I295" s="22"/>
    </row>
    <row r="296" spans="9:9" ht="14.25" customHeight="1">
      <c r="I296" s="22"/>
    </row>
    <row r="297" spans="9:9" ht="14.25" customHeight="1">
      <c r="I297" s="22"/>
    </row>
    <row r="298" spans="9:9" ht="14.25" customHeight="1">
      <c r="I298" s="22"/>
    </row>
    <row r="299" spans="9:9" ht="14.25" customHeight="1">
      <c r="I299" s="22"/>
    </row>
    <row r="300" spans="9:9" ht="14.25" customHeight="1">
      <c r="I300" s="22"/>
    </row>
    <row r="301" spans="9:9" ht="14.25" customHeight="1">
      <c r="I301" s="22"/>
    </row>
    <row r="302" spans="9:9" ht="14.25" customHeight="1">
      <c r="I302" s="22"/>
    </row>
    <row r="303" spans="9:9" ht="14.25" customHeight="1">
      <c r="I303" s="22"/>
    </row>
    <row r="304" spans="9:9" ht="14.25" customHeight="1">
      <c r="I304" s="22"/>
    </row>
    <row r="305" spans="9:9" ht="14.25" customHeight="1">
      <c r="I305" s="22"/>
    </row>
    <row r="306" spans="9:9" ht="14.25" customHeight="1">
      <c r="I306" s="22"/>
    </row>
    <row r="307" spans="9:9" ht="14.25" customHeight="1">
      <c r="I307" s="22"/>
    </row>
    <row r="308" spans="9:9" ht="14.25" customHeight="1">
      <c r="I308" s="22"/>
    </row>
    <row r="309" spans="9:9" ht="14.25" customHeight="1">
      <c r="I309" s="22"/>
    </row>
    <row r="310" spans="9:9" ht="14.25" customHeight="1">
      <c r="I310" s="22"/>
    </row>
    <row r="311" spans="9:9" ht="14.25" customHeight="1">
      <c r="I311" s="22"/>
    </row>
    <row r="312" spans="9:9" ht="14.25" customHeight="1">
      <c r="I312" s="22"/>
    </row>
    <row r="313" spans="9:9" ht="14.25" customHeight="1">
      <c r="I313" s="22"/>
    </row>
    <row r="314" spans="9:9" ht="14.25" customHeight="1">
      <c r="I314" s="22"/>
    </row>
    <row r="315" spans="9:9" ht="14.25" customHeight="1">
      <c r="I315" s="22"/>
    </row>
    <row r="316" spans="9:9" ht="14.25" customHeight="1">
      <c r="I316" s="22"/>
    </row>
    <row r="317" spans="9:9" ht="14.25" customHeight="1">
      <c r="I317" s="22"/>
    </row>
    <row r="318" spans="9:9" ht="14.25" customHeight="1">
      <c r="I318" s="22"/>
    </row>
    <row r="319" spans="9:9" ht="14.25" customHeight="1">
      <c r="I319" s="22"/>
    </row>
    <row r="320" spans="9:9" ht="14.25" customHeight="1">
      <c r="I320" s="22"/>
    </row>
    <row r="321" spans="9:9" ht="14.25" customHeight="1">
      <c r="I321" s="22"/>
    </row>
    <row r="322" spans="9:9" ht="14.25" customHeight="1">
      <c r="I322" s="22"/>
    </row>
    <row r="323" spans="9:9" ht="14.25" customHeight="1">
      <c r="I323" s="22"/>
    </row>
    <row r="324" spans="9:9" ht="14.25" customHeight="1">
      <c r="I324" s="22"/>
    </row>
    <row r="325" spans="9:9" ht="14.25" customHeight="1">
      <c r="I325" s="22"/>
    </row>
    <row r="326" spans="9:9" ht="14.25" customHeight="1">
      <c r="I326" s="22"/>
    </row>
    <row r="327" spans="9:9" ht="14.25" customHeight="1">
      <c r="I327" s="22"/>
    </row>
    <row r="328" spans="9:9" ht="14.25" customHeight="1">
      <c r="I328" s="22"/>
    </row>
    <row r="329" spans="9:9" ht="14.25" customHeight="1">
      <c r="I329" s="22"/>
    </row>
    <row r="330" spans="9:9" ht="14.25" customHeight="1">
      <c r="I330" s="22"/>
    </row>
    <row r="331" spans="9:9" ht="14.25" customHeight="1">
      <c r="I331" s="22"/>
    </row>
    <row r="332" spans="9:9" ht="14.25" customHeight="1">
      <c r="I332" s="22"/>
    </row>
    <row r="333" spans="9:9" ht="14.25" customHeight="1">
      <c r="I333" s="22"/>
    </row>
    <row r="334" spans="9:9" ht="14.25" customHeight="1">
      <c r="I334" s="22"/>
    </row>
    <row r="335" spans="9:9" ht="14.25" customHeight="1">
      <c r="I335" s="22"/>
    </row>
    <row r="336" spans="9:9" ht="14.25" customHeight="1">
      <c r="I336" s="22"/>
    </row>
    <row r="337" spans="9:9" ht="14.25" customHeight="1">
      <c r="I337" s="22"/>
    </row>
    <row r="338" spans="9:9" ht="14.25" customHeight="1">
      <c r="I338" s="22"/>
    </row>
    <row r="339" spans="9:9" ht="14.25" customHeight="1">
      <c r="I339" s="22"/>
    </row>
    <row r="340" spans="9:9" ht="14.25" customHeight="1">
      <c r="I340" s="22"/>
    </row>
    <row r="341" spans="9:9" ht="14.25" customHeight="1">
      <c r="I341" s="22"/>
    </row>
    <row r="342" spans="9:9" ht="14.25" customHeight="1">
      <c r="I342" s="22"/>
    </row>
    <row r="343" spans="9:9" ht="14.25" customHeight="1">
      <c r="I343" s="22"/>
    </row>
    <row r="344" spans="9:9" ht="14.25" customHeight="1">
      <c r="I344" s="22"/>
    </row>
    <row r="345" spans="9:9" ht="14.25" customHeight="1">
      <c r="I345" s="22"/>
    </row>
    <row r="346" spans="9:9" ht="14.25" customHeight="1">
      <c r="I346" s="22"/>
    </row>
    <row r="347" spans="9:9" ht="14.25" customHeight="1">
      <c r="I347" s="22"/>
    </row>
    <row r="348" spans="9:9" ht="14.25" customHeight="1">
      <c r="I348" s="22"/>
    </row>
    <row r="349" spans="9:9" ht="14.25" customHeight="1">
      <c r="I349" s="22"/>
    </row>
    <row r="350" spans="9:9" ht="14.25" customHeight="1">
      <c r="I350" s="22"/>
    </row>
    <row r="351" spans="9:9" ht="14.25" customHeight="1">
      <c r="I351" s="22"/>
    </row>
    <row r="352" spans="9:9" ht="14.25" customHeight="1">
      <c r="I352" s="22"/>
    </row>
    <row r="353" spans="9:9" ht="14.25" customHeight="1">
      <c r="I353" s="22"/>
    </row>
    <row r="354" spans="9:9" ht="14.25" customHeight="1">
      <c r="I354" s="22"/>
    </row>
    <row r="355" spans="9:9" ht="14.25" customHeight="1">
      <c r="I355" s="22"/>
    </row>
    <row r="356" spans="9:9" ht="14.25" customHeight="1">
      <c r="I356" s="22"/>
    </row>
    <row r="357" spans="9:9" ht="14.25" customHeight="1">
      <c r="I357" s="22"/>
    </row>
    <row r="358" spans="9:9" ht="14.25" customHeight="1">
      <c r="I358" s="22"/>
    </row>
    <row r="359" spans="9:9" ht="14.25" customHeight="1">
      <c r="I359" s="22"/>
    </row>
    <row r="360" spans="9:9" ht="14.25" customHeight="1">
      <c r="I360" s="22"/>
    </row>
    <row r="361" spans="9:9" ht="14.25" customHeight="1">
      <c r="I361" s="22"/>
    </row>
    <row r="362" spans="9:9" ht="14.25" customHeight="1">
      <c r="I362" s="22"/>
    </row>
    <row r="363" spans="9:9" ht="14.25" customHeight="1">
      <c r="I363" s="22"/>
    </row>
    <row r="364" spans="9:9" ht="14.25" customHeight="1">
      <c r="I364" s="22"/>
    </row>
    <row r="365" spans="9:9" ht="14.25" customHeight="1">
      <c r="I365" s="22"/>
    </row>
    <row r="366" spans="9:9" ht="14.25" customHeight="1">
      <c r="I366" s="22"/>
    </row>
    <row r="367" spans="9:9" ht="14.25" customHeight="1">
      <c r="I367" s="22"/>
    </row>
    <row r="368" spans="9:9" ht="14.25" customHeight="1">
      <c r="I368" s="22"/>
    </row>
    <row r="369" spans="9:9" ht="14.25" customHeight="1">
      <c r="I369" s="22"/>
    </row>
    <row r="370" spans="9:9" ht="14.25" customHeight="1">
      <c r="I370" s="22"/>
    </row>
    <row r="371" spans="9:9" ht="14.25" customHeight="1">
      <c r="I371" s="22"/>
    </row>
    <row r="372" spans="9:9" ht="14.25" customHeight="1">
      <c r="I372" s="22"/>
    </row>
    <row r="373" spans="9:9" ht="14.25" customHeight="1">
      <c r="I373" s="22"/>
    </row>
    <row r="374" spans="9:9" ht="14.25" customHeight="1">
      <c r="I374" s="22"/>
    </row>
    <row r="375" spans="9:9" ht="14.25" customHeight="1">
      <c r="I375" s="22"/>
    </row>
    <row r="376" spans="9:9" ht="14.25" customHeight="1">
      <c r="I376" s="22"/>
    </row>
    <row r="377" spans="9:9" ht="14.25" customHeight="1">
      <c r="I377" s="22"/>
    </row>
    <row r="378" spans="9:9" ht="14.25" customHeight="1">
      <c r="I378" s="22"/>
    </row>
    <row r="379" spans="9:9" ht="14.25" customHeight="1">
      <c r="I379" s="22"/>
    </row>
    <row r="380" spans="9:9" ht="14.25" customHeight="1">
      <c r="I380" s="22"/>
    </row>
    <row r="381" spans="9:9" ht="14.25" customHeight="1">
      <c r="I381" s="22"/>
    </row>
    <row r="382" spans="9:9" ht="14.25" customHeight="1">
      <c r="I382" s="22"/>
    </row>
    <row r="383" spans="9:9" ht="14.25" customHeight="1">
      <c r="I383" s="22"/>
    </row>
    <row r="384" spans="9:9" ht="14.25" customHeight="1">
      <c r="I384" s="22"/>
    </row>
    <row r="385" spans="9:9" ht="14.25" customHeight="1">
      <c r="I385" s="22"/>
    </row>
    <row r="386" spans="9:9" ht="14.25" customHeight="1">
      <c r="I386" s="22"/>
    </row>
    <row r="387" spans="9:9" ht="14.25" customHeight="1">
      <c r="I387" s="22"/>
    </row>
    <row r="388" spans="9:9" ht="14.25" customHeight="1">
      <c r="I388" s="22"/>
    </row>
    <row r="389" spans="9:9" ht="14.25" customHeight="1">
      <c r="I389" s="22"/>
    </row>
    <row r="390" spans="9:9" ht="14.25" customHeight="1">
      <c r="I390" s="22"/>
    </row>
    <row r="391" spans="9:9" ht="14.25" customHeight="1">
      <c r="I391" s="22"/>
    </row>
    <row r="392" spans="9:9" ht="14.25" customHeight="1">
      <c r="I392" s="22"/>
    </row>
    <row r="393" spans="9:9" ht="14.25" customHeight="1">
      <c r="I393" s="22"/>
    </row>
    <row r="394" spans="9:9" ht="14.25" customHeight="1">
      <c r="I394" s="22"/>
    </row>
    <row r="395" spans="9:9" ht="14.25" customHeight="1">
      <c r="I395" s="22"/>
    </row>
    <row r="396" spans="9:9" ht="14.25" customHeight="1">
      <c r="I396" s="22"/>
    </row>
    <row r="397" spans="9:9" ht="14.25" customHeight="1">
      <c r="I397" s="22"/>
    </row>
    <row r="398" spans="9:9" ht="14.25" customHeight="1">
      <c r="I398" s="22"/>
    </row>
    <row r="399" spans="9:9" ht="14.25" customHeight="1">
      <c r="I399" s="22"/>
    </row>
    <row r="400" spans="9:9" ht="14.25" customHeight="1">
      <c r="I400" s="22"/>
    </row>
    <row r="401" spans="9:9" ht="14.25" customHeight="1">
      <c r="I401" s="22"/>
    </row>
    <row r="402" spans="9:9" ht="14.25" customHeight="1">
      <c r="I402" s="22"/>
    </row>
    <row r="403" spans="9:9" ht="14.25" customHeight="1">
      <c r="I403" s="22"/>
    </row>
    <row r="404" spans="9:9" ht="14.25" customHeight="1">
      <c r="I404" s="22"/>
    </row>
    <row r="405" spans="9:9" ht="14.25" customHeight="1">
      <c r="I405" s="22"/>
    </row>
    <row r="406" spans="9:9" ht="14.25" customHeight="1">
      <c r="I406" s="22"/>
    </row>
    <row r="407" spans="9:9" ht="14.25" customHeight="1">
      <c r="I407" s="22"/>
    </row>
    <row r="408" spans="9:9" ht="14.25" customHeight="1">
      <c r="I408" s="22"/>
    </row>
    <row r="409" spans="9:9" ht="14.25" customHeight="1">
      <c r="I409" s="22"/>
    </row>
    <row r="410" spans="9:9" ht="14.25" customHeight="1">
      <c r="I410" s="22"/>
    </row>
    <row r="411" spans="9:9" ht="14.25" customHeight="1">
      <c r="I411" s="22"/>
    </row>
    <row r="412" spans="9:9" ht="14.25" customHeight="1">
      <c r="I412" s="22"/>
    </row>
    <row r="413" spans="9:9" ht="14.25" customHeight="1">
      <c r="I413" s="22"/>
    </row>
    <row r="414" spans="9:9" ht="14.25" customHeight="1">
      <c r="I414" s="22"/>
    </row>
    <row r="415" spans="9:9" ht="14.25" customHeight="1">
      <c r="I415" s="22"/>
    </row>
    <row r="416" spans="9:9" ht="14.25" customHeight="1">
      <c r="I416" s="22"/>
    </row>
    <row r="417" spans="9:9" ht="14.25" customHeight="1">
      <c r="I417" s="22"/>
    </row>
    <row r="418" spans="9:9" ht="14.25" customHeight="1">
      <c r="I418" s="22"/>
    </row>
    <row r="419" spans="9:9" ht="14.25" customHeight="1">
      <c r="I419" s="22"/>
    </row>
    <row r="420" spans="9:9" ht="14.25" customHeight="1">
      <c r="I420" s="22"/>
    </row>
    <row r="421" spans="9:9" ht="14.25" customHeight="1">
      <c r="I421" s="22"/>
    </row>
    <row r="422" spans="9:9" ht="14.25" customHeight="1">
      <c r="I422" s="22"/>
    </row>
    <row r="423" spans="9:9" ht="14.25" customHeight="1">
      <c r="I423" s="22"/>
    </row>
    <row r="424" spans="9:9" ht="14.25" customHeight="1">
      <c r="I424" s="22"/>
    </row>
    <row r="425" spans="9:9" ht="14.25" customHeight="1">
      <c r="I425" s="22"/>
    </row>
    <row r="426" spans="9:9" ht="14.25" customHeight="1">
      <c r="I426" s="22"/>
    </row>
    <row r="427" spans="9:9" ht="14.25" customHeight="1">
      <c r="I427" s="22"/>
    </row>
    <row r="428" spans="9:9" ht="14.25" customHeight="1">
      <c r="I428" s="22"/>
    </row>
    <row r="429" spans="9:9" ht="14.25" customHeight="1">
      <c r="I429" s="22"/>
    </row>
    <row r="430" spans="9:9" ht="14.25" customHeight="1">
      <c r="I430" s="22"/>
    </row>
    <row r="431" spans="9:9" ht="14.25" customHeight="1">
      <c r="I431" s="22"/>
    </row>
    <row r="432" spans="9:9" ht="14.25" customHeight="1">
      <c r="I432" s="22"/>
    </row>
    <row r="433" spans="9:9" ht="14.25" customHeight="1">
      <c r="I433" s="22"/>
    </row>
    <row r="434" spans="9:9" ht="14.25" customHeight="1">
      <c r="I434" s="22"/>
    </row>
    <row r="435" spans="9:9" ht="14.25" customHeight="1">
      <c r="I435" s="22"/>
    </row>
    <row r="436" spans="9:9" ht="14.25" customHeight="1">
      <c r="I436" s="22"/>
    </row>
    <row r="437" spans="9:9" ht="14.25" customHeight="1">
      <c r="I437" s="22"/>
    </row>
    <row r="438" spans="9:9" ht="14.25" customHeight="1">
      <c r="I438" s="22"/>
    </row>
    <row r="439" spans="9:9" ht="14.25" customHeight="1">
      <c r="I439" s="22"/>
    </row>
    <row r="440" spans="9:9" ht="14.25" customHeight="1">
      <c r="I440" s="22"/>
    </row>
    <row r="441" spans="9:9" ht="14.25" customHeight="1">
      <c r="I441" s="22"/>
    </row>
    <row r="442" spans="9:9" ht="14.25" customHeight="1">
      <c r="I442" s="22"/>
    </row>
    <row r="443" spans="9:9" ht="14.25" customHeight="1">
      <c r="I443" s="22"/>
    </row>
    <row r="444" spans="9:9" ht="14.25" customHeight="1">
      <c r="I444" s="22"/>
    </row>
    <row r="445" spans="9:9" ht="14.25" customHeight="1">
      <c r="I445" s="22"/>
    </row>
    <row r="446" spans="9:9" ht="14.25" customHeight="1">
      <c r="I446" s="22"/>
    </row>
    <row r="447" spans="9:9" ht="14.25" customHeight="1">
      <c r="I447" s="22"/>
    </row>
    <row r="448" spans="9:9" ht="14.25" customHeight="1">
      <c r="I448" s="22"/>
    </row>
    <row r="449" spans="9:9" ht="14.25" customHeight="1">
      <c r="I449" s="22"/>
    </row>
    <row r="450" spans="9:9" ht="14.25" customHeight="1">
      <c r="I450" s="22"/>
    </row>
    <row r="451" spans="9:9" ht="14.25" customHeight="1">
      <c r="I451" s="22"/>
    </row>
    <row r="452" spans="9:9" ht="14.25" customHeight="1">
      <c r="I452" s="22"/>
    </row>
    <row r="453" spans="9:9" ht="14.25" customHeight="1">
      <c r="I453" s="22"/>
    </row>
    <row r="454" spans="9:9" ht="14.25" customHeight="1">
      <c r="I454" s="22"/>
    </row>
    <row r="455" spans="9:9" ht="14.25" customHeight="1">
      <c r="I455" s="22"/>
    </row>
    <row r="456" spans="9:9" ht="14.25" customHeight="1">
      <c r="I456" s="22"/>
    </row>
    <row r="457" spans="9:9" ht="14.25" customHeight="1">
      <c r="I457" s="22"/>
    </row>
    <row r="458" spans="9:9" ht="14.25" customHeight="1">
      <c r="I458" s="22"/>
    </row>
    <row r="459" spans="9:9" ht="14.25" customHeight="1">
      <c r="I459" s="22"/>
    </row>
    <row r="460" spans="9:9" ht="14.25" customHeight="1">
      <c r="I460" s="22"/>
    </row>
    <row r="461" spans="9:9" ht="14.25" customHeight="1">
      <c r="I461" s="22"/>
    </row>
    <row r="462" spans="9:9" ht="14.25" customHeight="1">
      <c r="I462" s="22"/>
    </row>
    <row r="463" spans="9:9" ht="14.25" customHeight="1">
      <c r="I463" s="22"/>
    </row>
    <row r="464" spans="9:9" ht="14.25" customHeight="1">
      <c r="I464" s="22"/>
    </row>
    <row r="465" spans="9:9" ht="14.25" customHeight="1">
      <c r="I465" s="22"/>
    </row>
    <row r="466" spans="9:9" ht="14.25" customHeight="1">
      <c r="I466" s="22"/>
    </row>
    <row r="467" spans="9:9" ht="14.25" customHeight="1">
      <c r="I467" s="22"/>
    </row>
    <row r="468" spans="9:9" ht="14.25" customHeight="1">
      <c r="I468" s="22"/>
    </row>
    <row r="469" spans="9:9" ht="14.25" customHeight="1">
      <c r="I469" s="22"/>
    </row>
    <row r="470" spans="9:9" ht="14.25" customHeight="1">
      <c r="I470" s="22"/>
    </row>
    <row r="471" spans="9:9" ht="14.25" customHeight="1">
      <c r="I471" s="22"/>
    </row>
    <row r="472" spans="9:9" ht="14.25" customHeight="1">
      <c r="I472" s="22"/>
    </row>
    <row r="473" spans="9:9" ht="14.25" customHeight="1">
      <c r="I473" s="22"/>
    </row>
    <row r="474" spans="9:9" ht="14.25" customHeight="1">
      <c r="I474" s="22"/>
    </row>
    <row r="475" spans="9:9" ht="14.25" customHeight="1">
      <c r="I475" s="22"/>
    </row>
    <row r="476" spans="9:9" ht="14.25" customHeight="1">
      <c r="I476" s="22"/>
    </row>
    <row r="477" spans="9:9" ht="14.25" customHeight="1">
      <c r="I477" s="22"/>
    </row>
    <row r="478" spans="9:9" ht="14.25" customHeight="1">
      <c r="I478" s="22"/>
    </row>
    <row r="479" spans="9:9" ht="14.25" customHeight="1">
      <c r="I479" s="22"/>
    </row>
    <row r="480" spans="9:9" ht="14.25" customHeight="1">
      <c r="I480" s="22"/>
    </row>
    <row r="481" spans="9:9" ht="14.25" customHeight="1">
      <c r="I481" s="22"/>
    </row>
    <row r="482" spans="9:9" ht="14.25" customHeight="1">
      <c r="I482" s="22"/>
    </row>
    <row r="483" spans="9:9" ht="14.25" customHeight="1">
      <c r="I483" s="22"/>
    </row>
    <row r="484" spans="9:9" ht="14.25" customHeight="1">
      <c r="I484" s="22"/>
    </row>
    <row r="485" spans="9:9" ht="14.25" customHeight="1">
      <c r="I485" s="22"/>
    </row>
    <row r="486" spans="9:9" ht="14.25" customHeight="1">
      <c r="I486" s="22"/>
    </row>
    <row r="487" spans="9:9" ht="14.25" customHeight="1">
      <c r="I487" s="22"/>
    </row>
    <row r="488" spans="9:9" ht="14.25" customHeight="1">
      <c r="I488" s="22"/>
    </row>
    <row r="489" spans="9:9" ht="14.25" customHeight="1">
      <c r="I489" s="22"/>
    </row>
    <row r="490" spans="9:9" ht="14.25" customHeight="1">
      <c r="I490" s="22"/>
    </row>
    <row r="491" spans="9:9" ht="14.25" customHeight="1">
      <c r="I491" s="22"/>
    </row>
    <row r="492" spans="9:9" ht="14.25" customHeight="1">
      <c r="I492" s="22"/>
    </row>
    <row r="493" spans="9:9" ht="14.25" customHeight="1">
      <c r="I493" s="22"/>
    </row>
    <row r="494" spans="9:9" ht="14.25" customHeight="1">
      <c r="I494" s="22"/>
    </row>
    <row r="495" spans="9:9" ht="14.25" customHeight="1">
      <c r="I495" s="22"/>
    </row>
    <row r="496" spans="9:9" ht="14.25" customHeight="1">
      <c r="I496" s="22"/>
    </row>
    <row r="497" spans="9:9" ht="14.25" customHeight="1">
      <c r="I497" s="22"/>
    </row>
    <row r="498" spans="9:9" ht="14.25" customHeight="1">
      <c r="I498" s="22"/>
    </row>
    <row r="499" spans="9:9" ht="14.25" customHeight="1">
      <c r="I499" s="22"/>
    </row>
    <row r="500" spans="9:9" ht="14.25" customHeight="1">
      <c r="I500" s="22"/>
    </row>
    <row r="501" spans="9:9" ht="14.25" customHeight="1">
      <c r="I501" s="22"/>
    </row>
    <row r="502" spans="9:9" ht="14.25" customHeight="1">
      <c r="I502" s="22"/>
    </row>
    <row r="503" spans="9:9" ht="14.25" customHeight="1">
      <c r="I503" s="22"/>
    </row>
    <row r="504" spans="9:9" ht="14.25" customHeight="1">
      <c r="I504" s="22"/>
    </row>
    <row r="505" spans="9:9" ht="14.25" customHeight="1">
      <c r="I505" s="22"/>
    </row>
    <row r="506" spans="9:9" ht="14.25" customHeight="1">
      <c r="I506" s="22"/>
    </row>
    <row r="507" spans="9:9" ht="14.25" customHeight="1">
      <c r="I507" s="22"/>
    </row>
    <row r="508" spans="9:9" ht="14.25" customHeight="1">
      <c r="I508" s="22"/>
    </row>
    <row r="509" spans="9:9" ht="14.25" customHeight="1">
      <c r="I509" s="22"/>
    </row>
    <row r="510" spans="9:9" ht="14.25" customHeight="1">
      <c r="I510" s="22"/>
    </row>
    <row r="511" spans="9:9" ht="14.25" customHeight="1">
      <c r="I511" s="22"/>
    </row>
    <row r="512" spans="9:9" ht="14.25" customHeight="1">
      <c r="I512" s="22"/>
    </row>
    <row r="513" spans="9:9" ht="14.25" customHeight="1">
      <c r="I513" s="22"/>
    </row>
    <row r="514" spans="9:9" ht="14.25" customHeight="1">
      <c r="I514" s="22"/>
    </row>
    <row r="515" spans="9:9" ht="14.25" customHeight="1">
      <c r="I515" s="22"/>
    </row>
    <row r="516" spans="9:9" ht="14.25" customHeight="1">
      <c r="I516" s="22"/>
    </row>
    <row r="517" spans="9:9" ht="14.25" customHeight="1">
      <c r="I517" s="22"/>
    </row>
    <row r="518" spans="9:9" ht="14.25" customHeight="1">
      <c r="I518" s="22"/>
    </row>
    <row r="519" spans="9:9" ht="14.25" customHeight="1">
      <c r="I519" s="22"/>
    </row>
    <row r="520" spans="9:9" ht="14.25" customHeight="1">
      <c r="I520" s="22"/>
    </row>
    <row r="521" spans="9:9" ht="14.25" customHeight="1">
      <c r="I521" s="22"/>
    </row>
    <row r="522" spans="9:9" ht="14.25" customHeight="1">
      <c r="I522" s="22"/>
    </row>
    <row r="523" spans="9:9" ht="14.25" customHeight="1">
      <c r="I523" s="22"/>
    </row>
    <row r="524" spans="9:9" ht="14.25" customHeight="1">
      <c r="I524" s="22"/>
    </row>
    <row r="525" spans="9:9" ht="14.25" customHeight="1">
      <c r="I525" s="22"/>
    </row>
    <row r="526" spans="9:9" ht="14.25" customHeight="1">
      <c r="I526" s="22"/>
    </row>
    <row r="527" spans="9:9" ht="14.25" customHeight="1">
      <c r="I527" s="22"/>
    </row>
    <row r="528" spans="9:9" ht="14.25" customHeight="1">
      <c r="I528" s="22"/>
    </row>
    <row r="529" spans="9:9" ht="14.25" customHeight="1">
      <c r="I529" s="22"/>
    </row>
    <row r="530" spans="9:9" ht="14.25" customHeight="1">
      <c r="I530" s="22"/>
    </row>
    <row r="531" spans="9:9" ht="14.25" customHeight="1">
      <c r="I531" s="22"/>
    </row>
    <row r="532" spans="9:9" ht="14.25" customHeight="1">
      <c r="I532" s="22"/>
    </row>
    <row r="533" spans="9:9" ht="14.25" customHeight="1">
      <c r="I533" s="22"/>
    </row>
    <row r="534" spans="9:9" ht="14.25" customHeight="1">
      <c r="I534" s="22"/>
    </row>
    <row r="535" spans="9:9" ht="14.25" customHeight="1">
      <c r="I535" s="22"/>
    </row>
    <row r="536" spans="9:9" ht="14.25" customHeight="1">
      <c r="I536" s="22"/>
    </row>
    <row r="537" spans="9:9" ht="14.25" customHeight="1">
      <c r="I537" s="22"/>
    </row>
    <row r="538" spans="9:9" ht="14.25" customHeight="1">
      <c r="I538" s="22"/>
    </row>
    <row r="539" spans="9:9" ht="14.25" customHeight="1">
      <c r="I539" s="22"/>
    </row>
    <row r="540" spans="9:9" ht="14.25" customHeight="1">
      <c r="I540" s="22"/>
    </row>
    <row r="541" spans="9:9" ht="14.25" customHeight="1">
      <c r="I541" s="22"/>
    </row>
    <row r="542" spans="9:9" ht="14.25" customHeight="1">
      <c r="I542" s="22"/>
    </row>
    <row r="543" spans="9:9" ht="14.25" customHeight="1">
      <c r="I543" s="22"/>
    </row>
    <row r="544" spans="9:9" ht="14.25" customHeight="1">
      <c r="I544" s="22"/>
    </row>
    <row r="545" spans="9:9" ht="14.25" customHeight="1">
      <c r="I545" s="22"/>
    </row>
    <row r="546" spans="9:9" ht="14.25" customHeight="1">
      <c r="I546" s="22"/>
    </row>
    <row r="547" spans="9:9" ht="14.25" customHeight="1">
      <c r="I547" s="22"/>
    </row>
    <row r="548" spans="9:9" ht="14.25" customHeight="1">
      <c r="I548" s="22"/>
    </row>
    <row r="549" spans="9:9" ht="14.25" customHeight="1">
      <c r="I549" s="22"/>
    </row>
    <row r="550" spans="9:9" ht="14.25" customHeight="1">
      <c r="I550" s="22"/>
    </row>
    <row r="551" spans="9:9" ht="14.25" customHeight="1">
      <c r="I551" s="22"/>
    </row>
    <row r="552" spans="9:9" ht="14.25" customHeight="1">
      <c r="I552" s="22"/>
    </row>
    <row r="553" spans="9:9" ht="14.25" customHeight="1">
      <c r="I553" s="22"/>
    </row>
    <row r="554" spans="9:9" ht="14.25" customHeight="1">
      <c r="I554" s="22"/>
    </row>
    <row r="555" spans="9:9" ht="14.25" customHeight="1">
      <c r="I555" s="22"/>
    </row>
    <row r="556" spans="9:9" ht="14.25" customHeight="1">
      <c r="I556" s="22"/>
    </row>
    <row r="557" spans="9:9" ht="14.25" customHeight="1">
      <c r="I557" s="22"/>
    </row>
    <row r="558" spans="9:9" ht="14.25" customHeight="1">
      <c r="I558" s="22"/>
    </row>
    <row r="559" spans="9:9" ht="14.25" customHeight="1">
      <c r="I559" s="22"/>
    </row>
    <row r="560" spans="9:9" ht="14.25" customHeight="1">
      <c r="I560" s="22"/>
    </row>
    <row r="561" spans="9:9" ht="14.25" customHeight="1">
      <c r="I561" s="22"/>
    </row>
    <row r="562" spans="9:9" ht="14.25" customHeight="1">
      <c r="I562" s="22"/>
    </row>
    <row r="563" spans="9:9" ht="14.25" customHeight="1">
      <c r="I563" s="22"/>
    </row>
    <row r="564" spans="9:9" ht="14.25" customHeight="1">
      <c r="I564" s="22"/>
    </row>
    <row r="565" spans="9:9" ht="14.25" customHeight="1">
      <c r="I565" s="22"/>
    </row>
    <row r="566" spans="9:9" ht="14.25" customHeight="1">
      <c r="I566" s="22"/>
    </row>
    <row r="567" spans="9:9" ht="14.25" customHeight="1">
      <c r="I567" s="22"/>
    </row>
    <row r="568" spans="9:9" ht="14.25" customHeight="1">
      <c r="I568" s="22"/>
    </row>
    <row r="569" spans="9:9" ht="14.25" customHeight="1">
      <c r="I569" s="22"/>
    </row>
    <row r="570" spans="9:9" ht="14.25" customHeight="1">
      <c r="I570" s="22"/>
    </row>
    <row r="571" spans="9:9" ht="14.25" customHeight="1">
      <c r="I571" s="22"/>
    </row>
    <row r="572" spans="9:9" ht="14.25" customHeight="1">
      <c r="I572" s="22"/>
    </row>
    <row r="573" spans="9:9" ht="14.25" customHeight="1">
      <c r="I573" s="22"/>
    </row>
    <row r="574" spans="9:9" ht="14.25" customHeight="1">
      <c r="I574" s="22"/>
    </row>
    <row r="575" spans="9:9" ht="14.25" customHeight="1">
      <c r="I575" s="22"/>
    </row>
    <row r="576" spans="9:9" ht="14.25" customHeight="1">
      <c r="I576" s="22"/>
    </row>
    <row r="577" spans="9:9" ht="14.25" customHeight="1">
      <c r="I577" s="22"/>
    </row>
    <row r="578" spans="9:9" ht="14.25" customHeight="1">
      <c r="I578" s="22"/>
    </row>
    <row r="579" spans="9:9" ht="14.25" customHeight="1">
      <c r="I579" s="22"/>
    </row>
    <row r="580" spans="9:9" ht="14.25" customHeight="1">
      <c r="I580" s="22"/>
    </row>
    <row r="581" spans="9:9" ht="14.25" customHeight="1">
      <c r="I581" s="22"/>
    </row>
    <row r="582" spans="9:9" ht="14.25" customHeight="1">
      <c r="I582" s="22"/>
    </row>
    <row r="583" spans="9:9" ht="14.25" customHeight="1">
      <c r="I583" s="22"/>
    </row>
    <row r="584" spans="9:9" ht="14.25" customHeight="1">
      <c r="I584" s="22"/>
    </row>
    <row r="585" spans="9:9" ht="14.25" customHeight="1">
      <c r="I585" s="22"/>
    </row>
    <row r="586" spans="9:9" ht="14.25" customHeight="1">
      <c r="I586" s="22"/>
    </row>
    <row r="587" spans="9:9" ht="14.25" customHeight="1">
      <c r="I587" s="22"/>
    </row>
    <row r="588" spans="9:9" ht="14.25" customHeight="1">
      <c r="I588" s="22"/>
    </row>
    <row r="589" spans="9:9" ht="14.25" customHeight="1">
      <c r="I589" s="22"/>
    </row>
    <row r="590" spans="9:9" ht="14.25" customHeight="1">
      <c r="I590" s="22"/>
    </row>
    <row r="591" spans="9:9" ht="14.25" customHeight="1">
      <c r="I591" s="22"/>
    </row>
    <row r="592" spans="9:9" ht="14.25" customHeight="1">
      <c r="I592" s="22"/>
    </row>
    <row r="593" spans="9:9" ht="14.25" customHeight="1">
      <c r="I593" s="22"/>
    </row>
    <row r="594" spans="9:9" ht="14.25" customHeight="1">
      <c r="I594" s="22"/>
    </row>
    <row r="595" spans="9:9" ht="14.25" customHeight="1">
      <c r="I595" s="22"/>
    </row>
    <row r="596" spans="9:9" ht="14.25" customHeight="1">
      <c r="I596" s="22"/>
    </row>
    <row r="597" spans="9:9" ht="14.25" customHeight="1">
      <c r="I597" s="22"/>
    </row>
    <row r="598" spans="9:9" ht="14.25" customHeight="1">
      <c r="I598" s="22"/>
    </row>
    <row r="599" spans="9:9" ht="14.25" customHeight="1">
      <c r="I599" s="22"/>
    </row>
    <row r="600" spans="9:9" ht="14.25" customHeight="1">
      <c r="I600" s="22"/>
    </row>
    <row r="601" spans="9:9" ht="14.25" customHeight="1">
      <c r="I601" s="22"/>
    </row>
    <row r="602" spans="9:9" ht="14.25" customHeight="1">
      <c r="I602" s="22"/>
    </row>
    <row r="603" spans="9:9" ht="14.25" customHeight="1">
      <c r="I603" s="22"/>
    </row>
    <row r="604" spans="9:9" ht="14.25" customHeight="1">
      <c r="I604" s="22"/>
    </row>
    <row r="605" spans="9:9" ht="14.25" customHeight="1">
      <c r="I605" s="22"/>
    </row>
    <row r="606" spans="9:9" ht="14.25" customHeight="1">
      <c r="I606" s="22"/>
    </row>
    <row r="607" spans="9:9" ht="14.25" customHeight="1">
      <c r="I607" s="22"/>
    </row>
    <row r="608" spans="9:9" ht="14.25" customHeight="1">
      <c r="I608" s="22"/>
    </row>
    <row r="609" spans="9:9" ht="14.25" customHeight="1">
      <c r="I609" s="22"/>
    </row>
    <row r="610" spans="9:9" ht="14.25" customHeight="1">
      <c r="I610" s="22"/>
    </row>
    <row r="611" spans="9:9" ht="14.25" customHeight="1">
      <c r="I611" s="22"/>
    </row>
    <row r="612" spans="9:9" ht="14.25" customHeight="1">
      <c r="I612" s="22"/>
    </row>
    <row r="613" spans="9:9" ht="14.25" customHeight="1">
      <c r="I613" s="22"/>
    </row>
    <row r="614" spans="9:9" ht="14.25" customHeight="1">
      <c r="I614" s="22"/>
    </row>
    <row r="615" spans="9:9" ht="14.25" customHeight="1">
      <c r="I615" s="22"/>
    </row>
    <row r="616" spans="9:9" ht="14.25" customHeight="1">
      <c r="I616" s="22"/>
    </row>
    <row r="617" spans="9:9" ht="14.25" customHeight="1">
      <c r="I617" s="22"/>
    </row>
    <row r="618" spans="9:9" ht="14.25" customHeight="1">
      <c r="I618" s="22"/>
    </row>
    <row r="619" spans="9:9" ht="14.25" customHeight="1">
      <c r="I619" s="22"/>
    </row>
    <row r="620" spans="9:9" ht="14.25" customHeight="1">
      <c r="I620" s="22"/>
    </row>
    <row r="621" spans="9:9" ht="14.25" customHeight="1">
      <c r="I621" s="22"/>
    </row>
    <row r="622" spans="9:9" ht="14.25" customHeight="1">
      <c r="I622" s="22"/>
    </row>
    <row r="623" spans="9:9" ht="14.25" customHeight="1">
      <c r="I623" s="22"/>
    </row>
    <row r="624" spans="9:9" ht="14.25" customHeight="1">
      <c r="I624" s="22"/>
    </row>
    <row r="625" spans="9:9" ht="14.25" customHeight="1">
      <c r="I625" s="22"/>
    </row>
    <row r="626" spans="9:9" ht="14.25" customHeight="1">
      <c r="I626" s="22"/>
    </row>
    <row r="627" spans="9:9" ht="14.25" customHeight="1">
      <c r="I627" s="22"/>
    </row>
    <row r="628" spans="9:9" ht="14.25" customHeight="1">
      <c r="I628" s="22"/>
    </row>
    <row r="629" spans="9:9" ht="14.25" customHeight="1">
      <c r="I629" s="22"/>
    </row>
    <row r="630" spans="9:9" ht="14.25" customHeight="1">
      <c r="I630" s="22"/>
    </row>
    <row r="631" spans="9:9" ht="14.25" customHeight="1">
      <c r="I631" s="22"/>
    </row>
    <row r="632" spans="9:9" ht="14.25" customHeight="1">
      <c r="I632" s="22"/>
    </row>
    <row r="633" spans="9:9" ht="14.25" customHeight="1">
      <c r="I633" s="22"/>
    </row>
    <row r="634" spans="9:9" ht="14.25" customHeight="1">
      <c r="I634" s="22"/>
    </row>
    <row r="635" spans="9:9" ht="14.25" customHeight="1">
      <c r="I635" s="22"/>
    </row>
    <row r="636" spans="9:9" ht="14.25" customHeight="1">
      <c r="I636" s="22"/>
    </row>
    <row r="637" spans="9:9" ht="14.25" customHeight="1">
      <c r="I637" s="22"/>
    </row>
    <row r="638" spans="9:9" ht="14.25" customHeight="1">
      <c r="I638" s="22"/>
    </row>
    <row r="639" spans="9:9" ht="14.25" customHeight="1">
      <c r="I639" s="22"/>
    </row>
    <row r="640" spans="9:9" ht="14.25" customHeight="1">
      <c r="I640" s="22"/>
    </row>
    <row r="641" spans="9:9" ht="14.25" customHeight="1">
      <c r="I641" s="22"/>
    </row>
    <row r="642" spans="9:9" ht="14.25" customHeight="1">
      <c r="I642" s="22"/>
    </row>
    <row r="643" spans="9:9" ht="14.25" customHeight="1">
      <c r="I643" s="22"/>
    </row>
    <row r="644" spans="9:9" ht="14.25" customHeight="1">
      <c r="I644" s="22"/>
    </row>
    <row r="645" spans="9:9" ht="14.25" customHeight="1">
      <c r="I645" s="22"/>
    </row>
    <row r="646" spans="9:9" ht="14.25" customHeight="1">
      <c r="I646" s="22"/>
    </row>
    <row r="647" spans="9:9" ht="14.25" customHeight="1">
      <c r="I647" s="22"/>
    </row>
    <row r="648" spans="9:9" ht="14.25" customHeight="1">
      <c r="I648" s="22"/>
    </row>
    <row r="649" spans="9:9" ht="14.25" customHeight="1">
      <c r="I649" s="22"/>
    </row>
    <row r="650" spans="9:9" ht="14.25" customHeight="1">
      <c r="I650" s="22"/>
    </row>
    <row r="651" spans="9:9" ht="14.25" customHeight="1">
      <c r="I651" s="22"/>
    </row>
    <row r="652" spans="9:9" ht="14.25" customHeight="1">
      <c r="I652" s="22"/>
    </row>
    <row r="653" spans="9:9" ht="14.25" customHeight="1">
      <c r="I653" s="22"/>
    </row>
    <row r="654" spans="9:9" ht="14.25" customHeight="1">
      <c r="I654" s="22"/>
    </row>
    <row r="655" spans="9:9" ht="14.25" customHeight="1">
      <c r="I655" s="22"/>
    </row>
    <row r="656" spans="9:9" ht="14.25" customHeight="1">
      <c r="I656" s="22"/>
    </row>
    <row r="657" spans="9:9" ht="14.25" customHeight="1">
      <c r="I657" s="22"/>
    </row>
    <row r="658" spans="9:9" ht="14.25" customHeight="1">
      <c r="I658" s="22"/>
    </row>
    <row r="659" spans="9:9" ht="14.25" customHeight="1">
      <c r="I659" s="22"/>
    </row>
    <row r="660" spans="9:9" ht="14.25" customHeight="1">
      <c r="I660" s="22"/>
    </row>
    <row r="661" spans="9:9" ht="14.25" customHeight="1">
      <c r="I661" s="22"/>
    </row>
    <row r="662" spans="9:9" ht="14.25" customHeight="1">
      <c r="I662" s="22"/>
    </row>
    <row r="663" spans="9:9" ht="14.25" customHeight="1">
      <c r="I663" s="22"/>
    </row>
    <row r="664" spans="9:9" ht="14.25" customHeight="1">
      <c r="I664" s="22"/>
    </row>
    <row r="665" spans="9:9" ht="14.25" customHeight="1">
      <c r="I665" s="22"/>
    </row>
    <row r="666" spans="9:9" ht="14.25" customHeight="1">
      <c r="I666" s="22"/>
    </row>
    <row r="667" spans="9:9" ht="14.25" customHeight="1">
      <c r="I667" s="22"/>
    </row>
    <row r="668" spans="9:9" ht="14.25" customHeight="1">
      <c r="I668" s="22"/>
    </row>
    <row r="669" spans="9:9" ht="14.25" customHeight="1">
      <c r="I669" s="22"/>
    </row>
    <row r="670" spans="9:9" ht="14.25" customHeight="1">
      <c r="I670" s="22"/>
    </row>
    <row r="671" spans="9:9" ht="14.25" customHeight="1">
      <c r="I671" s="22"/>
    </row>
    <row r="672" spans="9:9" ht="14.25" customHeight="1">
      <c r="I672" s="22"/>
    </row>
    <row r="673" spans="9:9" ht="14.25" customHeight="1">
      <c r="I673" s="22"/>
    </row>
    <row r="674" spans="9:9" ht="14.25" customHeight="1">
      <c r="I674" s="22"/>
    </row>
    <row r="675" spans="9:9" ht="14.25" customHeight="1">
      <c r="I675" s="22"/>
    </row>
    <row r="676" spans="9:9" ht="14.25" customHeight="1">
      <c r="I676" s="22"/>
    </row>
    <row r="677" spans="9:9" ht="14.25" customHeight="1">
      <c r="I677" s="22"/>
    </row>
    <row r="678" spans="9:9" ht="14.25" customHeight="1">
      <c r="I678" s="22"/>
    </row>
    <row r="679" spans="9:9" ht="14.25" customHeight="1">
      <c r="I679" s="22"/>
    </row>
    <row r="680" spans="9:9" ht="14.25" customHeight="1">
      <c r="I680" s="22"/>
    </row>
    <row r="681" spans="9:9" ht="14.25" customHeight="1">
      <c r="I681" s="22"/>
    </row>
    <row r="682" spans="9:9" ht="14.25" customHeight="1">
      <c r="I682" s="22"/>
    </row>
    <row r="683" spans="9:9" ht="14.25" customHeight="1">
      <c r="I683" s="22"/>
    </row>
    <row r="684" spans="9:9" ht="14.25" customHeight="1">
      <c r="I684" s="22"/>
    </row>
    <row r="685" spans="9:9" ht="14.25" customHeight="1">
      <c r="I685" s="22"/>
    </row>
    <row r="686" spans="9:9" ht="14.25" customHeight="1">
      <c r="I686" s="22"/>
    </row>
    <row r="687" spans="9:9" ht="14.25" customHeight="1">
      <c r="I687" s="22"/>
    </row>
    <row r="688" spans="9:9" ht="14.25" customHeight="1">
      <c r="I688" s="22"/>
    </row>
    <row r="689" spans="9:9" ht="14.25" customHeight="1">
      <c r="I689" s="22"/>
    </row>
    <row r="690" spans="9:9" ht="14.25" customHeight="1">
      <c r="I690" s="22"/>
    </row>
    <row r="691" spans="9:9" ht="14.25" customHeight="1">
      <c r="I691" s="22"/>
    </row>
    <row r="692" spans="9:9" ht="14.25" customHeight="1">
      <c r="I692" s="22"/>
    </row>
    <row r="693" spans="9:9" ht="14.25" customHeight="1">
      <c r="I693" s="22"/>
    </row>
    <row r="694" spans="9:9" ht="14.25" customHeight="1">
      <c r="I694" s="22"/>
    </row>
    <row r="695" spans="9:9" ht="14.25" customHeight="1">
      <c r="I695" s="22"/>
    </row>
    <row r="696" spans="9:9" ht="14.25" customHeight="1">
      <c r="I696" s="22"/>
    </row>
    <row r="697" spans="9:9" ht="14.25" customHeight="1">
      <c r="I697" s="22"/>
    </row>
    <row r="698" spans="9:9" ht="14.25" customHeight="1">
      <c r="I698" s="22"/>
    </row>
    <row r="699" spans="9:9" ht="14.25" customHeight="1">
      <c r="I699" s="22"/>
    </row>
    <row r="700" spans="9:9" ht="14.25" customHeight="1">
      <c r="I700" s="22"/>
    </row>
    <row r="701" spans="9:9" ht="14.25" customHeight="1">
      <c r="I701" s="22"/>
    </row>
    <row r="702" spans="9:9" ht="14.25" customHeight="1">
      <c r="I702" s="22"/>
    </row>
    <row r="703" spans="9:9" ht="14.25" customHeight="1">
      <c r="I703" s="22"/>
    </row>
    <row r="704" spans="9:9" ht="14.25" customHeight="1">
      <c r="I704" s="22"/>
    </row>
    <row r="705" spans="9:9" ht="14.25" customHeight="1">
      <c r="I705" s="22"/>
    </row>
    <row r="706" spans="9:9" ht="14.25" customHeight="1">
      <c r="I706" s="22"/>
    </row>
    <row r="707" spans="9:9" ht="14.25" customHeight="1">
      <c r="I707" s="22"/>
    </row>
    <row r="708" spans="9:9" ht="14.25" customHeight="1">
      <c r="I708" s="22"/>
    </row>
    <row r="709" spans="9:9" ht="14.25" customHeight="1">
      <c r="I709" s="22"/>
    </row>
    <row r="710" spans="9:9" ht="14.25" customHeight="1">
      <c r="I710" s="22"/>
    </row>
    <row r="711" spans="9:9" ht="14.25" customHeight="1">
      <c r="I711" s="22"/>
    </row>
    <row r="712" spans="9:9" ht="14.25" customHeight="1">
      <c r="I712" s="22"/>
    </row>
    <row r="713" spans="9:9" ht="14.25" customHeight="1">
      <c r="I713" s="22"/>
    </row>
    <row r="714" spans="9:9" ht="14.25" customHeight="1">
      <c r="I714" s="22"/>
    </row>
    <row r="715" spans="9:9" ht="14.25" customHeight="1">
      <c r="I715" s="22"/>
    </row>
    <row r="716" spans="9:9" ht="14.25" customHeight="1">
      <c r="I716" s="22"/>
    </row>
    <row r="717" spans="9:9" ht="14.25" customHeight="1">
      <c r="I717" s="22"/>
    </row>
    <row r="718" spans="9:9" ht="14.25" customHeight="1">
      <c r="I718" s="22"/>
    </row>
    <row r="719" spans="9:9" ht="14.25" customHeight="1">
      <c r="I719" s="22"/>
    </row>
    <row r="720" spans="9:9" ht="14.25" customHeight="1">
      <c r="I720" s="22"/>
    </row>
    <row r="721" spans="9:9" ht="14.25" customHeight="1">
      <c r="I721" s="22"/>
    </row>
    <row r="722" spans="9:9" ht="14.25" customHeight="1">
      <c r="I722" s="22"/>
    </row>
    <row r="723" spans="9:9" ht="14.25" customHeight="1">
      <c r="I723" s="22"/>
    </row>
    <row r="724" spans="9:9" ht="14.25" customHeight="1">
      <c r="I724" s="22"/>
    </row>
    <row r="725" spans="9:9" ht="14.25" customHeight="1">
      <c r="I725" s="22"/>
    </row>
    <row r="726" spans="9:9" ht="14.25" customHeight="1">
      <c r="I726" s="22"/>
    </row>
    <row r="727" spans="9:9" ht="14.25" customHeight="1">
      <c r="I727" s="22"/>
    </row>
    <row r="728" spans="9:9" ht="14.25" customHeight="1">
      <c r="I728" s="22"/>
    </row>
    <row r="729" spans="9:9" ht="14.25" customHeight="1">
      <c r="I729" s="22"/>
    </row>
    <row r="730" spans="9:9" ht="14.25" customHeight="1">
      <c r="I730" s="22"/>
    </row>
    <row r="731" spans="9:9" ht="14.25" customHeight="1">
      <c r="I731" s="22"/>
    </row>
    <row r="732" spans="9:9" ht="14.25" customHeight="1">
      <c r="I732" s="22"/>
    </row>
    <row r="733" spans="9:9" ht="14.25" customHeight="1">
      <c r="I733" s="22"/>
    </row>
    <row r="734" spans="9:9" ht="14.25" customHeight="1">
      <c r="I734" s="22"/>
    </row>
    <row r="735" spans="9:9" ht="14.25" customHeight="1">
      <c r="I735" s="22"/>
    </row>
    <row r="736" spans="9:9" ht="14.25" customHeight="1">
      <c r="I736" s="22"/>
    </row>
    <row r="737" spans="9:9" ht="14.25" customHeight="1">
      <c r="I737" s="22"/>
    </row>
    <row r="738" spans="9:9" ht="14.25" customHeight="1">
      <c r="I738" s="22"/>
    </row>
    <row r="739" spans="9:9" ht="14.25" customHeight="1">
      <c r="I739" s="22"/>
    </row>
    <row r="740" spans="9:9" ht="14.25" customHeight="1">
      <c r="I740" s="22"/>
    </row>
    <row r="741" spans="9:9" ht="14.25" customHeight="1">
      <c r="I741" s="22"/>
    </row>
    <row r="742" spans="9:9" ht="14.25" customHeight="1">
      <c r="I742" s="22"/>
    </row>
    <row r="743" spans="9:9" ht="14.25" customHeight="1">
      <c r="I743" s="22"/>
    </row>
    <row r="744" spans="9:9" ht="14.25" customHeight="1">
      <c r="I744" s="22"/>
    </row>
    <row r="745" spans="9:9" ht="14.25" customHeight="1">
      <c r="I745" s="22"/>
    </row>
    <row r="746" spans="9:9" ht="14.25" customHeight="1">
      <c r="I746" s="22"/>
    </row>
    <row r="747" spans="9:9" ht="14.25" customHeight="1">
      <c r="I747" s="22"/>
    </row>
    <row r="748" spans="9:9" ht="14.25" customHeight="1">
      <c r="I748" s="22"/>
    </row>
    <row r="749" spans="9:9" ht="14.25" customHeight="1">
      <c r="I749" s="22"/>
    </row>
    <row r="750" spans="9:9" ht="14.25" customHeight="1">
      <c r="I750" s="22"/>
    </row>
    <row r="751" spans="9:9" ht="14.25" customHeight="1">
      <c r="I751" s="22"/>
    </row>
    <row r="752" spans="9:9" ht="14.25" customHeight="1">
      <c r="I752" s="22"/>
    </row>
    <row r="753" spans="9:9" ht="14.25" customHeight="1">
      <c r="I753" s="22"/>
    </row>
    <row r="754" spans="9:9" ht="14.25" customHeight="1">
      <c r="I754" s="22"/>
    </row>
    <row r="755" spans="9:9" ht="14.25" customHeight="1">
      <c r="I755" s="22"/>
    </row>
    <row r="756" spans="9:9" ht="14.25" customHeight="1">
      <c r="I756" s="22"/>
    </row>
    <row r="757" spans="9:9" ht="14.25" customHeight="1">
      <c r="I757" s="22"/>
    </row>
    <row r="758" spans="9:9" ht="14.25" customHeight="1">
      <c r="I758" s="22"/>
    </row>
    <row r="759" spans="9:9" ht="14.25" customHeight="1">
      <c r="I759" s="22"/>
    </row>
    <row r="760" spans="9:9" ht="14.25" customHeight="1">
      <c r="I760" s="22"/>
    </row>
    <row r="761" spans="9:9" ht="14.25" customHeight="1">
      <c r="I761" s="22"/>
    </row>
    <row r="762" spans="9:9" ht="14.25" customHeight="1">
      <c r="I762" s="22"/>
    </row>
    <row r="763" spans="9:9" ht="14.25" customHeight="1">
      <c r="I763" s="22"/>
    </row>
    <row r="764" spans="9:9" ht="14.25" customHeight="1">
      <c r="I764" s="22"/>
    </row>
    <row r="765" spans="9:9" ht="14.25" customHeight="1">
      <c r="I765" s="22"/>
    </row>
    <row r="766" spans="9:9" ht="14.25" customHeight="1">
      <c r="I766" s="22"/>
    </row>
    <row r="767" spans="9:9" ht="14.25" customHeight="1">
      <c r="I767" s="22"/>
    </row>
    <row r="768" spans="9:9" ht="14.25" customHeight="1">
      <c r="I768" s="22"/>
    </row>
    <row r="769" spans="9:9" ht="14.25" customHeight="1">
      <c r="I769" s="22"/>
    </row>
    <row r="770" spans="9:9" ht="14.25" customHeight="1">
      <c r="I770" s="22"/>
    </row>
    <row r="771" spans="9:9" ht="14.25" customHeight="1">
      <c r="I771" s="22"/>
    </row>
    <row r="772" spans="9:9" ht="14.25" customHeight="1">
      <c r="I772" s="22"/>
    </row>
    <row r="773" spans="9:9" ht="14.25" customHeight="1">
      <c r="I773" s="22"/>
    </row>
    <row r="774" spans="9:9" ht="14.25" customHeight="1">
      <c r="I774" s="22"/>
    </row>
    <row r="775" spans="9:9" ht="14.25" customHeight="1">
      <c r="I775" s="22"/>
    </row>
    <row r="776" spans="9:9" ht="14.25" customHeight="1">
      <c r="I776" s="22"/>
    </row>
    <row r="777" spans="9:9" ht="14.25" customHeight="1">
      <c r="I777" s="22"/>
    </row>
    <row r="778" spans="9:9" ht="14.25" customHeight="1">
      <c r="I778" s="22"/>
    </row>
    <row r="779" spans="9:9" ht="14.25" customHeight="1">
      <c r="I779" s="22"/>
    </row>
    <row r="780" spans="9:9" ht="14.25" customHeight="1">
      <c r="I780" s="22"/>
    </row>
    <row r="781" spans="9:9" ht="14.25" customHeight="1">
      <c r="I781" s="22"/>
    </row>
    <row r="782" spans="9:9" ht="14.25" customHeight="1">
      <c r="I782" s="22"/>
    </row>
    <row r="783" spans="9:9" ht="14.25" customHeight="1">
      <c r="I783" s="22"/>
    </row>
    <row r="784" spans="9:9" ht="14.25" customHeight="1">
      <c r="I784" s="22"/>
    </row>
    <row r="785" spans="9:9" ht="14.25" customHeight="1">
      <c r="I785" s="22"/>
    </row>
    <row r="786" spans="9:9" ht="14.25" customHeight="1">
      <c r="I786" s="22"/>
    </row>
    <row r="787" spans="9:9" ht="14.25" customHeight="1">
      <c r="I787" s="22"/>
    </row>
    <row r="788" spans="9:9" ht="14.25" customHeight="1">
      <c r="I788" s="22"/>
    </row>
    <row r="789" spans="9:9" ht="14.25" customHeight="1">
      <c r="I789" s="22"/>
    </row>
    <row r="790" spans="9:9" ht="14.25" customHeight="1">
      <c r="I790" s="22"/>
    </row>
    <row r="791" spans="9:9" ht="14.25" customHeight="1">
      <c r="I791" s="22"/>
    </row>
    <row r="792" spans="9:9" ht="14.25" customHeight="1">
      <c r="I792" s="22"/>
    </row>
    <row r="793" spans="9:9" ht="14.25" customHeight="1">
      <c r="I793" s="22"/>
    </row>
    <row r="794" spans="9:9" ht="14.25" customHeight="1">
      <c r="I794" s="22"/>
    </row>
    <row r="795" spans="9:9" ht="14.25" customHeight="1">
      <c r="I795" s="22"/>
    </row>
    <row r="796" spans="9:9" ht="14.25" customHeight="1">
      <c r="I796" s="22"/>
    </row>
    <row r="797" spans="9:9" ht="14.25" customHeight="1">
      <c r="I797" s="22"/>
    </row>
    <row r="798" spans="9:9" ht="14.25" customHeight="1">
      <c r="I798" s="22"/>
    </row>
    <row r="799" spans="9:9" ht="14.25" customHeight="1">
      <c r="I799" s="22"/>
    </row>
    <row r="800" spans="9:9" ht="14.25" customHeight="1">
      <c r="I800" s="22"/>
    </row>
    <row r="801" spans="9:9" ht="14.25" customHeight="1">
      <c r="I801" s="22"/>
    </row>
    <row r="802" spans="9:9" ht="14.25" customHeight="1">
      <c r="I802" s="22"/>
    </row>
    <row r="803" spans="9:9" ht="14.25" customHeight="1">
      <c r="I803" s="22"/>
    </row>
    <row r="804" spans="9:9" ht="14.25" customHeight="1">
      <c r="I804" s="22"/>
    </row>
    <row r="805" spans="9:9" ht="14.25" customHeight="1">
      <c r="I805" s="22"/>
    </row>
    <row r="806" spans="9:9" ht="14.25" customHeight="1">
      <c r="I806" s="22"/>
    </row>
    <row r="807" spans="9:9" ht="14.25" customHeight="1">
      <c r="I807" s="22"/>
    </row>
    <row r="808" spans="9:9" ht="14.25" customHeight="1">
      <c r="I808" s="22"/>
    </row>
    <row r="809" spans="9:9" ht="14.25" customHeight="1">
      <c r="I809" s="22"/>
    </row>
    <row r="810" spans="9:9" ht="14.25" customHeight="1">
      <c r="I810" s="22"/>
    </row>
    <row r="811" spans="9:9" ht="14.25" customHeight="1">
      <c r="I811" s="22"/>
    </row>
    <row r="812" spans="9:9" ht="14.25" customHeight="1">
      <c r="I812" s="22"/>
    </row>
    <row r="813" spans="9:9" ht="14.25" customHeight="1">
      <c r="I813" s="22"/>
    </row>
    <row r="814" spans="9:9" ht="14.25" customHeight="1">
      <c r="I814" s="22"/>
    </row>
    <row r="815" spans="9:9" ht="14.25" customHeight="1">
      <c r="I815" s="22"/>
    </row>
    <row r="816" spans="9:9" ht="14.25" customHeight="1">
      <c r="I816" s="22"/>
    </row>
    <row r="817" spans="9:9" ht="14.25" customHeight="1">
      <c r="I817" s="22"/>
    </row>
    <row r="818" spans="9:9" ht="14.25" customHeight="1">
      <c r="I818" s="22"/>
    </row>
    <row r="819" spans="9:9" ht="14.25" customHeight="1">
      <c r="I819" s="22"/>
    </row>
    <row r="820" spans="9:9" ht="14.25" customHeight="1">
      <c r="I820" s="22"/>
    </row>
    <row r="821" spans="9:9" ht="14.25" customHeight="1">
      <c r="I821" s="22"/>
    </row>
    <row r="822" spans="9:9" ht="14.25" customHeight="1">
      <c r="I822" s="22"/>
    </row>
    <row r="823" spans="9:9" ht="14.25" customHeight="1">
      <c r="I823" s="22"/>
    </row>
    <row r="824" spans="9:9" ht="14.25" customHeight="1">
      <c r="I824" s="22"/>
    </row>
    <row r="825" spans="9:9" ht="14.25" customHeight="1">
      <c r="I825" s="22"/>
    </row>
    <row r="826" spans="9:9" ht="14.25" customHeight="1">
      <c r="I826" s="22"/>
    </row>
    <row r="827" spans="9:9" ht="14.25" customHeight="1">
      <c r="I827" s="22"/>
    </row>
    <row r="828" spans="9:9" ht="14.25" customHeight="1">
      <c r="I828" s="22"/>
    </row>
    <row r="829" spans="9:9" ht="14.25" customHeight="1">
      <c r="I829" s="22"/>
    </row>
    <row r="830" spans="9:9" ht="14.25" customHeight="1">
      <c r="I830" s="22"/>
    </row>
    <row r="831" spans="9:9" ht="14.25" customHeight="1">
      <c r="I831" s="22"/>
    </row>
    <row r="832" spans="9:9" ht="14.25" customHeight="1">
      <c r="I832" s="22"/>
    </row>
    <row r="833" spans="9:9" ht="14.25" customHeight="1">
      <c r="I833" s="22"/>
    </row>
    <row r="834" spans="9:9" ht="14.25" customHeight="1">
      <c r="I834" s="22"/>
    </row>
    <row r="835" spans="9:9" ht="14.25" customHeight="1">
      <c r="I835" s="22"/>
    </row>
    <row r="836" spans="9:9" ht="14.25" customHeight="1">
      <c r="I836" s="22"/>
    </row>
    <row r="837" spans="9:9" ht="14.25" customHeight="1">
      <c r="I837" s="22"/>
    </row>
    <row r="838" spans="9:9" ht="14.25" customHeight="1">
      <c r="I838" s="22"/>
    </row>
    <row r="839" spans="9:9" ht="14.25" customHeight="1">
      <c r="I839" s="22"/>
    </row>
    <row r="840" spans="9:9" ht="14.25" customHeight="1">
      <c r="I840" s="22"/>
    </row>
    <row r="841" spans="9:9" ht="14.25" customHeight="1">
      <c r="I841" s="22"/>
    </row>
    <row r="842" spans="9:9" ht="14.25" customHeight="1">
      <c r="I842" s="22"/>
    </row>
    <row r="843" spans="9:9" ht="14.25" customHeight="1">
      <c r="I843" s="22"/>
    </row>
    <row r="844" spans="9:9" ht="14.25" customHeight="1">
      <c r="I844" s="22"/>
    </row>
    <row r="845" spans="9:9" ht="14.25" customHeight="1">
      <c r="I845" s="22"/>
    </row>
    <row r="846" spans="9:9" ht="14.25" customHeight="1">
      <c r="I846" s="22"/>
    </row>
    <row r="847" spans="9:9" ht="14.25" customHeight="1">
      <c r="I847" s="22"/>
    </row>
    <row r="848" spans="9:9" ht="14.25" customHeight="1">
      <c r="I848" s="22"/>
    </row>
    <row r="849" spans="9:9" ht="14.25" customHeight="1">
      <c r="I849" s="22"/>
    </row>
    <row r="850" spans="9:9" ht="14.25" customHeight="1">
      <c r="I850" s="22"/>
    </row>
    <row r="851" spans="9:9" ht="14.25" customHeight="1">
      <c r="I851" s="22"/>
    </row>
    <row r="852" spans="9:9" ht="14.25" customHeight="1">
      <c r="I852" s="22"/>
    </row>
    <row r="853" spans="9:9" ht="14.25" customHeight="1">
      <c r="I853" s="22"/>
    </row>
    <row r="854" spans="9:9" ht="14.25" customHeight="1">
      <c r="I854" s="22"/>
    </row>
    <row r="855" spans="9:9" ht="14.25" customHeight="1">
      <c r="I855" s="22"/>
    </row>
    <row r="856" spans="9:9" ht="14.25" customHeight="1">
      <c r="I856" s="22"/>
    </row>
    <row r="857" spans="9:9" ht="14.25" customHeight="1">
      <c r="I857" s="22"/>
    </row>
    <row r="858" spans="9:9" ht="14.25" customHeight="1">
      <c r="I858" s="22"/>
    </row>
    <row r="859" spans="9:9" ht="14.25" customHeight="1">
      <c r="I859" s="22"/>
    </row>
    <row r="860" spans="9:9" ht="14.25" customHeight="1">
      <c r="I860" s="22"/>
    </row>
    <row r="861" spans="9:9" ht="14.25" customHeight="1">
      <c r="I861" s="22"/>
    </row>
    <row r="862" spans="9:9" ht="14.25" customHeight="1">
      <c r="I862" s="22"/>
    </row>
    <row r="863" spans="9:9" ht="14.25" customHeight="1">
      <c r="I863" s="22"/>
    </row>
    <row r="864" spans="9:9" ht="14.25" customHeight="1">
      <c r="I864" s="22"/>
    </row>
    <row r="865" spans="9:9" ht="14.25" customHeight="1">
      <c r="I865" s="22"/>
    </row>
    <row r="866" spans="9:9" ht="14.25" customHeight="1">
      <c r="I866" s="22"/>
    </row>
    <row r="867" spans="9:9" ht="14.25" customHeight="1">
      <c r="I867" s="22"/>
    </row>
    <row r="868" spans="9:9" ht="14.25" customHeight="1">
      <c r="I868" s="22"/>
    </row>
    <row r="869" spans="9:9" ht="14.25" customHeight="1">
      <c r="I869" s="22"/>
    </row>
    <row r="870" spans="9:9" ht="14.25" customHeight="1">
      <c r="I870" s="22"/>
    </row>
    <row r="871" spans="9:9" ht="14.25" customHeight="1">
      <c r="I871" s="22"/>
    </row>
    <row r="872" spans="9:9" ht="14.25" customHeight="1">
      <c r="I872" s="22"/>
    </row>
    <row r="873" spans="9:9" ht="14.25" customHeight="1">
      <c r="I873" s="22"/>
    </row>
    <row r="874" spans="9:9" ht="14.25" customHeight="1">
      <c r="I874" s="22"/>
    </row>
    <row r="875" spans="9:9" ht="14.25" customHeight="1">
      <c r="I875" s="22"/>
    </row>
    <row r="876" spans="9:9" ht="14.25" customHeight="1">
      <c r="I876" s="22"/>
    </row>
    <row r="877" spans="9:9" ht="14.25" customHeight="1">
      <c r="I877" s="22"/>
    </row>
    <row r="878" spans="9:9" ht="14.25" customHeight="1">
      <c r="I878" s="22"/>
    </row>
    <row r="879" spans="9:9" ht="14.25" customHeight="1">
      <c r="I879" s="22"/>
    </row>
    <row r="880" spans="9:9" ht="14.25" customHeight="1">
      <c r="I880" s="22"/>
    </row>
    <row r="881" spans="9:9" ht="14.25" customHeight="1">
      <c r="I881" s="22"/>
    </row>
    <row r="882" spans="9:9" ht="14.25" customHeight="1">
      <c r="I882" s="22"/>
    </row>
    <row r="883" spans="9:9" ht="14.25" customHeight="1">
      <c r="I883" s="22"/>
    </row>
    <row r="884" spans="9:9" ht="14.25" customHeight="1">
      <c r="I884" s="22"/>
    </row>
    <row r="885" spans="9:9" ht="14.25" customHeight="1">
      <c r="I885" s="22"/>
    </row>
    <row r="886" spans="9:9" ht="14.25" customHeight="1">
      <c r="I886" s="22"/>
    </row>
    <row r="887" spans="9:9" ht="14.25" customHeight="1">
      <c r="I887" s="22"/>
    </row>
    <row r="888" spans="9:9" ht="14.25" customHeight="1">
      <c r="I888" s="22"/>
    </row>
    <row r="889" spans="9:9" ht="14.25" customHeight="1">
      <c r="I889" s="22"/>
    </row>
    <row r="890" spans="9:9" ht="14.25" customHeight="1">
      <c r="I890" s="22"/>
    </row>
    <row r="891" spans="9:9" ht="14.25" customHeight="1">
      <c r="I891" s="22"/>
    </row>
    <row r="892" spans="9:9" ht="14.25" customHeight="1">
      <c r="I892" s="22"/>
    </row>
    <row r="893" spans="9:9" ht="14.25" customHeight="1">
      <c r="I893" s="22"/>
    </row>
    <row r="894" spans="9:9" ht="14.25" customHeight="1">
      <c r="I894" s="22"/>
    </row>
    <row r="895" spans="9:9" ht="14.25" customHeight="1">
      <c r="I895" s="22"/>
    </row>
    <row r="896" spans="9:9" ht="14.25" customHeight="1">
      <c r="I896" s="22"/>
    </row>
    <row r="897" spans="9:9" ht="14.25" customHeight="1">
      <c r="I897" s="22"/>
    </row>
    <row r="898" spans="9:9" ht="14.25" customHeight="1">
      <c r="I898" s="22"/>
    </row>
    <row r="899" spans="9:9" ht="14.25" customHeight="1">
      <c r="I899" s="22"/>
    </row>
    <row r="900" spans="9:9" ht="14.25" customHeight="1">
      <c r="I900" s="22"/>
    </row>
    <row r="901" spans="9:9" ht="14.25" customHeight="1">
      <c r="I901" s="22"/>
    </row>
    <row r="902" spans="9:9" ht="14.25" customHeight="1">
      <c r="I902" s="22"/>
    </row>
    <row r="903" spans="9:9" ht="14.25" customHeight="1">
      <c r="I903" s="22"/>
    </row>
    <row r="904" spans="9:9" ht="14.25" customHeight="1">
      <c r="I904" s="22"/>
    </row>
    <row r="905" spans="9:9" ht="14.25" customHeight="1">
      <c r="I905" s="22"/>
    </row>
    <row r="906" spans="9:9" ht="14.25" customHeight="1">
      <c r="I906" s="22"/>
    </row>
    <row r="907" spans="9:9" ht="14.25" customHeight="1">
      <c r="I907" s="22"/>
    </row>
    <row r="908" spans="9:9" ht="14.25" customHeight="1">
      <c r="I908" s="22"/>
    </row>
    <row r="909" spans="9:9" ht="14.25" customHeight="1">
      <c r="I909" s="22"/>
    </row>
    <row r="910" spans="9:9" ht="14.25" customHeight="1">
      <c r="I910" s="22"/>
    </row>
    <row r="911" spans="9:9" ht="14.25" customHeight="1">
      <c r="I911" s="22"/>
    </row>
    <row r="912" spans="9:9" ht="14.25" customHeight="1">
      <c r="I912" s="22"/>
    </row>
    <row r="913" spans="9:9" ht="14.25" customHeight="1">
      <c r="I913" s="22"/>
    </row>
    <row r="914" spans="9:9" ht="14.25" customHeight="1">
      <c r="I914" s="22"/>
    </row>
    <row r="915" spans="9:9" ht="14.25" customHeight="1">
      <c r="I915" s="22"/>
    </row>
    <row r="916" spans="9:9" ht="14.25" customHeight="1">
      <c r="I916" s="22"/>
    </row>
    <row r="917" spans="9:9" ht="14.25" customHeight="1">
      <c r="I917" s="22"/>
    </row>
    <row r="918" spans="9:9" ht="14.25" customHeight="1">
      <c r="I918" s="22"/>
    </row>
    <row r="919" spans="9:9" ht="14.25" customHeight="1">
      <c r="I919" s="22"/>
    </row>
    <row r="920" spans="9:9" ht="14.25" customHeight="1">
      <c r="I920" s="22"/>
    </row>
    <row r="921" spans="9:9" ht="14.25" customHeight="1">
      <c r="I921" s="22"/>
    </row>
    <row r="922" spans="9:9" ht="14.25" customHeight="1">
      <c r="I922" s="22"/>
    </row>
    <row r="923" spans="9:9" ht="14.25" customHeight="1">
      <c r="I923" s="22"/>
    </row>
    <row r="924" spans="9:9" ht="14.25" customHeight="1">
      <c r="I924" s="22"/>
    </row>
    <row r="925" spans="9:9" ht="14.25" customHeight="1">
      <c r="I925" s="22"/>
    </row>
    <row r="926" spans="9:9" ht="14.25" customHeight="1">
      <c r="I926" s="22"/>
    </row>
    <row r="927" spans="9:9" ht="14.25" customHeight="1">
      <c r="I927" s="22"/>
    </row>
    <row r="928" spans="9:9" ht="14.25" customHeight="1">
      <c r="I928" s="22"/>
    </row>
    <row r="929" spans="9:9" ht="14.25" customHeight="1">
      <c r="I929" s="22"/>
    </row>
    <row r="930" spans="9:9" ht="14.25" customHeight="1">
      <c r="I930" s="22"/>
    </row>
    <row r="931" spans="9:9" ht="14.25" customHeight="1">
      <c r="I931" s="22"/>
    </row>
    <row r="932" spans="9:9" ht="14.25" customHeight="1">
      <c r="I932" s="22"/>
    </row>
    <row r="933" spans="9:9" ht="14.25" customHeight="1">
      <c r="I933" s="22"/>
    </row>
    <row r="934" spans="9:9" ht="14.25" customHeight="1">
      <c r="I934" s="22"/>
    </row>
    <row r="935" spans="9:9" ht="14.25" customHeight="1">
      <c r="I935" s="22"/>
    </row>
    <row r="936" spans="9:9" ht="14.25" customHeight="1">
      <c r="I936" s="22"/>
    </row>
    <row r="937" spans="9:9" ht="14.25" customHeight="1">
      <c r="I937" s="22"/>
    </row>
    <row r="938" spans="9:9" ht="14.25" customHeight="1">
      <c r="I938" s="22"/>
    </row>
    <row r="939" spans="9:9" ht="14.25" customHeight="1">
      <c r="I939" s="22"/>
    </row>
    <row r="940" spans="9:9" ht="14.25" customHeight="1">
      <c r="I940" s="22"/>
    </row>
    <row r="941" spans="9:9" ht="14.25" customHeight="1">
      <c r="I941" s="22"/>
    </row>
    <row r="942" spans="9:9" ht="14.25" customHeight="1">
      <c r="I942" s="22"/>
    </row>
    <row r="943" spans="9:9" ht="14.25" customHeight="1">
      <c r="I943" s="22"/>
    </row>
    <row r="944" spans="9:9" ht="14.25" customHeight="1">
      <c r="I944" s="22"/>
    </row>
    <row r="945" spans="9:9" ht="14.25" customHeight="1">
      <c r="I945" s="22"/>
    </row>
    <row r="946" spans="9:9" ht="14.25" customHeight="1">
      <c r="I946" s="22"/>
    </row>
    <row r="947" spans="9:9" ht="14.25" customHeight="1">
      <c r="I947" s="22"/>
    </row>
    <row r="948" spans="9:9" ht="14.25" customHeight="1">
      <c r="I948" s="22"/>
    </row>
    <row r="949" spans="9:9" ht="14.25" customHeight="1">
      <c r="I949" s="22"/>
    </row>
    <row r="950" spans="9:9" ht="14.25" customHeight="1">
      <c r="I950" s="22"/>
    </row>
    <row r="951" spans="9:9" ht="14.25" customHeight="1">
      <c r="I951" s="22"/>
    </row>
    <row r="952" spans="9:9" ht="14.25" customHeight="1">
      <c r="I952" s="22"/>
    </row>
    <row r="953" spans="9:9" ht="14.25" customHeight="1">
      <c r="I953" s="22"/>
    </row>
    <row r="954" spans="9:9" ht="14.25" customHeight="1">
      <c r="I954" s="22"/>
    </row>
    <row r="955" spans="9:9" ht="14.25" customHeight="1">
      <c r="I955" s="22"/>
    </row>
    <row r="956" spans="9:9" ht="14.25" customHeight="1">
      <c r="I956" s="22"/>
    </row>
    <row r="957" spans="9:9" ht="14.25" customHeight="1">
      <c r="I957" s="22"/>
    </row>
    <row r="958" spans="9:9" ht="14.25" customHeight="1">
      <c r="I958" s="22"/>
    </row>
    <row r="959" spans="9:9" ht="14.25" customHeight="1">
      <c r="I959" s="22"/>
    </row>
    <row r="960" spans="9:9" ht="14.25" customHeight="1">
      <c r="I960" s="22"/>
    </row>
    <row r="961" spans="9:9" ht="14.25" customHeight="1">
      <c r="I961" s="22"/>
    </row>
    <row r="962" spans="9:9" ht="14.25" customHeight="1">
      <c r="I962" s="22"/>
    </row>
    <row r="963" spans="9:9" ht="14.25" customHeight="1">
      <c r="I963" s="22"/>
    </row>
    <row r="964" spans="9:9" ht="14.25" customHeight="1">
      <c r="I964" s="22"/>
    </row>
    <row r="965" spans="9:9" ht="14.25" customHeight="1">
      <c r="I965" s="22"/>
    </row>
    <row r="966" spans="9:9" ht="14.25" customHeight="1">
      <c r="I966" s="22"/>
    </row>
    <row r="967" spans="9:9" ht="14.25" customHeight="1">
      <c r="I967" s="22"/>
    </row>
    <row r="968" spans="9:9" ht="14.25" customHeight="1">
      <c r="I968" s="22"/>
    </row>
    <row r="969" spans="9:9" ht="14.25" customHeight="1">
      <c r="I969" s="22"/>
    </row>
    <row r="970" spans="9:9" ht="14.25" customHeight="1">
      <c r="I970" s="22"/>
    </row>
    <row r="971" spans="9:9" ht="14.25" customHeight="1">
      <c r="I971" s="22"/>
    </row>
    <row r="972" spans="9:9" ht="14.25" customHeight="1">
      <c r="I972" s="22"/>
    </row>
    <row r="973" spans="9:9" ht="14.25" customHeight="1">
      <c r="I973" s="22"/>
    </row>
    <row r="974" spans="9:9" ht="14.25" customHeight="1">
      <c r="I974" s="22"/>
    </row>
    <row r="975" spans="9:9" ht="14.25" customHeight="1">
      <c r="I975" s="22"/>
    </row>
    <row r="976" spans="9:9" ht="14.25" customHeight="1">
      <c r="I976" s="22"/>
    </row>
    <row r="977" spans="9:9" ht="14.25" customHeight="1">
      <c r="I977" s="22"/>
    </row>
    <row r="978" spans="9:9" ht="14.25" customHeight="1">
      <c r="I978" s="22"/>
    </row>
    <row r="979" spans="9:9" ht="14.25" customHeight="1">
      <c r="I979" s="22"/>
    </row>
    <row r="980" spans="9:9" ht="14.25" customHeight="1">
      <c r="I980" s="22"/>
    </row>
    <row r="981" spans="9:9" ht="14.25" customHeight="1">
      <c r="I981" s="22"/>
    </row>
    <row r="982" spans="9:9" ht="14.25" customHeight="1">
      <c r="I982" s="22"/>
    </row>
    <row r="983" spans="9:9" ht="14.25" customHeight="1">
      <c r="I983" s="22"/>
    </row>
    <row r="984" spans="9:9" ht="14.25" customHeight="1">
      <c r="I984" s="22"/>
    </row>
    <row r="985" spans="9:9" ht="14.25" customHeight="1">
      <c r="I985" s="22"/>
    </row>
    <row r="986" spans="9:9" ht="14.25" customHeight="1">
      <c r="I986" s="22"/>
    </row>
    <row r="987" spans="9:9" ht="14.25" customHeight="1">
      <c r="I987" s="22"/>
    </row>
    <row r="988" spans="9:9" ht="14.25" customHeight="1">
      <c r="I988" s="22"/>
    </row>
    <row r="989" spans="9:9" ht="14.25" customHeight="1">
      <c r="I989" s="22"/>
    </row>
    <row r="990" spans="9:9" ht="14.25" customHeight="1">
      <c r="I990" s="22"/>
    </row>
    <row r="991" spans="9:9" ht="14.25" customHeight="1">
      <c r="I991" s="22"/>
    </row>
    <row r="992" spans="9:9" ht="14.25" customHeight="1">
      <c r="I992" s="22"/>
    </row>
    <row r="993" spans="9:9" ht="14.25" customHeight="1">
      <c r="I993" s="22"/>
    </row>
    <row r="994" spans="9:9" ht="14.25" customHeight="1">
      <c r="I994" s="22"/>
    </row>
    <row r="995" spans="9:9" ht="14.25" customHeight="1">
      <c r="I995" s="22"/>
    </row>
    <row r="996" spans="9:9" ht="14.25" customHeight="1">
      <c r="I996" s="22"/>
    </row>
    <row r="997" spans="9:9" ht="14.25" customHeight="1">
      <c r="I997" s="22"/>
    </row>
    <row r="998" spans="9:9" ht="14.25" customHeight="1">
      <c r="I998" s="22"/>
    </row>
    <row r="999" spans="9:9" ht="14.25" customHeight="1">
      <c r="I999" s="22"/>
    </row>
    <row r="1000" spans="9:9" ht="14.25" customHeight="1">
      <c r="I1000" s="22"/>
    </row>
  </sheetData>
  <mergeCells count="1">
    <mergeCell ref="A1:M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showGridLines="0" workbookViewId="0">
      <selection sqref="A1:F1"/>
    </sheetView>
  </sheetViews>
  <sheetFormatPr defaultColWidth="12.6640625" defaultRowHeight="15" customHeight="1"/>
  <cols>
    <col min="1" max="6" width="17.109375" customWidth="1"/>
    <col min="7" max="7" width="5" customWidth="1"/>
    <col min="8" max="26" width="8.6640625" customWidth="1"/>
  </cols>
  <sheetData>
    <row r="1" spans="1:7" ht="25.8" customHeight="1">
      <c r="A1" s="412" t="s">
        <v>186</v>
      </c>
      <c r="B1" s="404"/>
      <c r="C1" s="404"/>
      <c r="D1" s="404"/>
      <c r="E1" s="404"/>
      <c r="F1" s="405"/>
      <c r="G1" s="22"/>
    </row>
    <row r="2" spans="1:7" ht="14.25" customHeight="1">
      <c r="A2" s="184" t="s">
        <v>167</v>
      </c>
      <c r="B2" s="185">
        <v>2026</v>
      </c>
      <c r="C2" s="186">
        <v>2027</v>
      </c>
      <c r="D2" s="187">
        <v>2028</v>
      </c>
      <c r="E2" s="186">
        <v>2029</v>
      </c>
      <c r="F2" s="188">
        <v>2030</v>
      </c>
      <c r="G2" s="22"/>
    </row>
    <row r="3" spans="1:7" ht="14.25" customHeight="1">
      <c r="A3" s="189" t="s">
        <v>187</v>
      </c>
      <c r="B3" s="189">
        <v>1</v>
      </c>
      <c r="C3" s="190">
        <v>2</v>
      </c>
      <c r="D3" s="191">
        <v>3</v>
      </c>
      <c r="E3" s="190">
        <v>4</v>
      </c>
      <c r="F3" s="192">
        <v>5</v>
      </c>
      <c r="G3" s="22"/>
    </row>
    <row r="4" spans="1:7" ht="14.25" customHeight="1">
      <c r="A4" s="22" t="s">
        <v>188</v>
      </c>
      <c r="B4" s="79">
        <f>B10</f>
        <v>4870925</v>
      </c>
      <c r="C4" s="193">
        <f t="shared" ref="C4:F4" si="0">B7</f>
        <v>3996162.8173730718</v>
      </c>
      <c r="D4" s="80">
        <f t="shared" si="0"/>
        <v>2927903.2399490671</v>
      </c>
      <c r="E4" s="193">
        <f t="shared" si="0"/>
        <v>1623344.6439988727</v>
      </c>
      <c r="F4" s="80">
        <f t="shared" si="0"/>
        <v>30217.68662449508</v>
      </c>
      <c r="G4" s="22"/>
    </row>
    <row r="5" spans="1:7" ht="14.25" customHeight="1">
      <c r="A5" s="22" t="s">
        <v>189</v>
      </c>
      <c r="B5" s="79">
        <f t="shared" ref="B5:F5" si="1">B4*$B$11</f>
        <v>1077448.6100000001</v>
      </c>
      <c r="C5" s="79">
        <f t="shared" si="1"/>
        <v>883951.21520292351</v>
      </c>
      <c r="D5" s="79">
        <f t="shared" si="1"/>
        <v>647652.19667673367</v>
      </c>
      <c r="E5" s="79">
        <f t="shared" si="1"/>
        <v>359083.83525255066</v>
      </c>
      <c r="F5" s="79">
        <f t="shared" si="1"/>
        <v>6684.1522813383117</v>
      </c>
      <c r="G5" s="22"/>
    </row>
    <row r="6" spans="1:7" ht="14.25" customHeight="1">
      <c r="A6" s="22" t="s">
        <v>190</v>
      </c>
      <c r="B6" s="79">
        <f t="shared" ref="B6:E6" si="2">$B$13</f>
        <v>1952210.7926269283</v>
      </c>
      <c r="C6" s="193">
        <f t="shared" si="2"/>
        <v>1952210.7926269283</v>
      </c>
      <c r="D6" s="80">
        <f t="shared" si="2"/>
        <v>1952210.7926269283</v>
      </c>
      <c r="E6" s="193">
        <f t="shared" si="2"/>
        <v>1952210.7926269283</v>
      </c>
      <c r="F6" s="193">
        <f>($B$13/12)</f>
        <v>162684.2327189107</v>
      </c>
      <c r="G6" s="22"/>
    </row>
    <row r="7" spans="1:7" ht="14.25" customHeight="1">
      <c r="A7" s="194" t="s">
        <v>191</v>
      </c>
      <c r="B7" s="195">
        <f t="shared" ref="B7:F7" si="3">B4+B5-B6</f>
        <v>3996162.8173730718</v>
      </c>
      <c r="C7" s="196">
        <f t="shared" si="3"/>
        <v>2927903.2399490671</v>
      </c>
      <c r="D7" s="197">
        <f t="shared" si="3"/>
        <v>1623344.6439988727</v>
      </c>
      <c r="E7" s="196">
        <f t="shared" si="3"/>
        <v>30217.68662449508</v>
      </c>
      <c r="F7" s="198">
        <f t="shared" si="3"/>
        <v>-125782.3938130773</v>
      </c>
      <c r="G7" s="22"/>
    </row>
    <row r="8" spans="1:7" ht="14.25" customHeight="1"/>
    <row r="9" spans="1:7" ht="14.25" customHeight="1"/>
    <row r="10" spans="1:7" ht="14.25" customHeight="1">
      <c r="A10" s="163" t="s">
        <v>192</v>
      </c>
      <c r="B10" s="199">
        <f>SOFP!H35+SOFP!H47</f>
        <v>4870925</v>
      </c>
    </row>
    <row r="11" spans="1:7" ht="14.25" customHeight="1">
      <c r="A11" s="22" t="s">
        <v>193</v>
      </c>
      <c r="B11" s="200">
        <v>0.22120000000000001</v>
      </c>
      <c r="C11" s="201"/>
    </row>
    <row r="12" spans="1:7" ht="14.25" customHeight="1">
      <c r="A12" s="22" t="s">
        <v>194</v>
      </c>
      <c r="B12" s="202">
        <f>((1500000*3.25)+(2400000*5)+(1900000*1.417))/B10</f>
        <v>4.017163064510334</v>
      </c>
    </row>
    <row r="13" spans="1:7" ht="14.25" customHeight="1">
      <c r="A13" s="168" t="s">
        <v>195</v>
      </c>
      <c r="B13" s="203">
        <f>-PMT(B11,B12,B10,0)</f>
        <v>1952210.7926269283</v>
      </c>
    </row>
    <row r="14" spans="1:7" ht="14.25" customHeight="1"/>
    <row r="15" spans="1:7" ht="14.25" customHeight="1"/>
    <row r="16" spans="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1"/>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1000"/>
  <sheetViews>
    <sheetView showGridLines="0" workbookViewId="0">
      <selection sqref="A1:M1"/>
    </sheetView>
  </sheetViews>
  <sheetFormatPr defaultColWidth="12.6640625" defaultRowHeight="15" customHeight="1"/>
  <cols>
    <col min="1" max="1" width="36.33203125" customWidth="1"/>
    <col min="2" max="7" width="12.88671875" customWidth="1"/>
    <col min="8" max="8" width="12.77734375" customWidth="1"/>
    <col min="9" max="13" width="13.88671875" customWidth="1"/>
    <col min="14" max="33" width="8.6640625" customWidth="1"/>
  </cols>
  <sheetData>
    <row r="1" spans="1:33" ht="33" customHeight="1">
      <c r="A1" s="413" t="s">
        <v>196</v>
      </c>
      <c r="B1" s="404"/>
      <c r="C1" s="404"/>
      <c r="D1" s="404"/>
      <c r="E1" s="404"/>
      <c r="F1" s="404"/>
      <c r="G1" s="404"/>
      <c r="H1" s="404"/>
      <c r="I1" s="404"/>
      <c r="J1" s="404"/>
      <c r="K1" s="404"/>
      <c r="L1" s="404"/>
      <c r="M1" s="405"/>
    </row>
    <row r="2" spans="1:33" ht="14.25" customHeight="1">
      <c r="A2" s="204"/>
      <c r="B2" s="204"/>
      <c r="C2" s="204"/>
      <c r="D2" s="204"/>
      <c r="E2" s="204"/>
      <c r="F2" s="204"/>
      <c r="G2" s="204"/>
      <c r="I2" s="22"/>
    </row>
    <row r="3" spans="1:33" ht="20.25" customHeight="1">
      <c r="A3" s="414" t="s">
        <v>197</v>
      </c>
      <c r="B3" s="416" t="s">
        <v>198</v>
      </c>
      <c r="C3" s="404"/>
      <c r="D3" s="404"/>
      <c r="E3" s="404"/>
      <c r="F3" s="404"/>
      <c r="G3" s="404"/>
      <c r="H3" s="417"/>
      <c r="I3" s="418" t="s">
        <v>199</v>
      </c>
      <c r="J3" s="410"/>
      <c r="K3" s="410"/>
      <c r="L3" s="410"/>
      <c r="M3" s="411"/>
      <c r="N3" s="205"/>
      <c r="O3" s="205"/>
      <c r="P3" s="205"/>
    </row>
    <row r="4" spans="1:33" ht="21" customHeight="1">
      <c r="A4" s="415"/>
      <c r="B4" s="206">
        <v>2019</v>
      </c>
      <c r="C4" s="206">
        <v>2020</v>
      </c>
      <c r="D4" s="207">
        <v>2021</v>
      </c>
      <c r="E4" s="208">
        <v>2022</v>
      </c>
      <c r="F4" s="209">
        <v>2023</v>
      </c>
      <c r="G4" s="208">
        <v>2024</v>
      </c>
      <c r="H4" s="210">
        <v>2025</v>
      </c>
      <c r="I4" s="211">
        <v>2026</v>
      </c>
      <c r="J4" s="212">
        <v>2027</v>
      </c>
      <c r="K4" s="213">
        <v>2028</v>
      </c>
      <c r="L4" s="212">
        <v>2029</v>
      </c>
      <c r="M4" s="214">
        <v>2030</v>
      </c>
    </row>
    <row r="5" spans="1:33" ht="14.25" customHeight="1">
      <c r="A5" s="215" t="s">
        <v>2</v>
      </c>
      <c r="B5" s="216">
        <v>44216827</v>
      </c>
      <c r="C5" s="216">
        <f>'5Y Fin. Summary'!B4</f>
        <v>49215361</v>
      </c>
      <c r="D5" s="8">
        <f>'5Y Fin. Summary'!C4</f>
        <v>51172154</v>
      </c>
      <c r="E5" s="216">
        <f>'5Y Fin. Summary'!D4</f>
        <v>60211220</v>
      </c>
      <c r="F5" s="8">
        <f>'5Y Fin. Summary'!E4</f>
        <v>96938522</v>
      </c>
      <c r="G5" s="216">
        <f>'5Y Fin. Summary'!F4</f>
        <v>111930270</v>
      </c>
      <c r="H5" s="8">
        <f>'5Y Fin. Summary'!G4</f>
        <v>125172015</v>
      </c>
      <c r="I5" s="88">
        <f>IS!I3</f>
        <v>140360013.12</v>
      </c>
      <c r="J5" s="217">
        <f>IS!J3</f>
        <v>157395674.46240002</v>
      </c>
      <c r="K5" s="102">
        <f>IS!K3</f>
        <v>176504484.13108805</v>
      </c>
      <c r="L5" s="217">
        <f>IS!L3</f>
        <v>197939550.26999861</v>
      </c>
      <c r="M5" s="218">
        <f>IS!M3</f>
        <v>221985003.55205548</v>
      </c>
      <c r="N5" s="80"/>
    </row>
    <row r="6" spans="1:33" ht="14.25" customHeight="1">
      <c r="A6" s="215" t="s">
        <v>11</v>
      </c>
      <c r="B6" s="193">
        <f>IS!B15</f>
        <v>6300465</v>
      </c>
      <c r="C6" s="193">
        <f>IS!C15</f>
        <v>5233500</v>
      </c>
      <c r="D6" s="80">
        <f>IS!D15</f>
        <v>5321802</v>
      </c>
      <c r="E6" s="193">
        <f>IS!E15</f>
        <v>5712300</v>
      </c>
      <c r="F6" s="80">
        <f>IS!F15</f>
        <v>13464823</v>
      </c>
      <c r="G6" s="193">
        <f>IS!G15</f>
        <v>15657291</v>
      </c>
      <c r="H6" s="80">
        <f>IS!H15</f>
        <v>16598854</v>
      </c>
      <c r="I6" s="88">
        <f>IS!I15</f>
        <v>19320939.97346998</v>
      </c>
      <c r="J6" s="219">
        <f>IS!J15</f>
        <v>21788217.083648693</v>
      </c>
      <c r="K6" s="89">
        <f>IS!K15</f>
        <v>24412591.309410822</v>
      </c>
      <c r="L6" s="219">
        <f>IS!L15</f>
        <v>27223652.369491987</v>
      </c>
      <c r="M6" s="161">
        <f>IS!M15</f>
        <v>30384954.945251435</v>
      </c>
    </row>
    <row r="7" spans="1:33" ht="14.25" customHeight="1">
      <c r="A7" s="215" t="s">
        <v>200</v>
      </c>
      <c r="B7" s="193">
        <f>IS!B20</f>
        <v>-2150610</v>
      </c>
      <c r="C7" s="193">
        <f>IS!C20</f>
        <v>-1677977</v>
      </c>
      <c r="D7" s="80">
        <f>IS!D20</f>
        <v>-1850010</v>
      </c>
      <c r="E7" s="193">
        <f>IS!E20</f>
        <v>-2063378</v>
      </c>
      <c r="F7" s="80">
        <f>IS!F20</f>
        <v>-4514799</v>
      </c>
      <c r="G7" s="193">
        <f>IS!G20</f>
        <v>-6047684</v>
      </c>
      <c r="H7" s="80">
        <f>IS!H20</f>
        <v>-6378562</v>
      </c>
      <c r="I7" s="88">
        <f>IS!I20</f>
        <v>-7940540.7065893682</v>
      </c>
      <c r="J7" s="219">
        <f>IS!J20</f>
        <v>-9154270.9935222194</v>
      </c>
      <c r="K7" s="89">
        <f>IS!K20</f>
        <v>-10245707.619808972</v>
      </c>
      <c r="L7" s="219">
        <f>IS!L20</f>
        <v>-11663686.943227325</v>
      </c>
      <c r="M7" s="161">
        <f>IS!M20</f>
        <v>-13182984.622007351</v>
      </c>
    </row>
    <row r="8" spans="1:33" ht="14.25" customHeight="1">
      <c r="A8" s="215" t="s">
        <v>15</v>
      </c>
      <c r="B8" s="193">
        <f>IS!B19</f>
        <v>5215873</v>
      </c>
      <c r="C8" s="193">
        <f>IS!C19</f>
        <v>4494240</v>
      </c>
      <c r="D8" s="80">
        <f>IS!D19</f>
        <v>4284507</v>
      </c>
      <c r="E8" s="193">
        <f>IS!E19</f>
        <v>5885176</v>
      </c>
      <c r="F8" s="80">
        <f>IS!F19</f>
        <v>11260903</v>
      </c>
      <c r="G8" s="193">
        <f>IS!G19</f>
        <v>14023293</v>
      </c>
      <c r="H8" s="80">
        <f>IS!H19</f>
        <v>16036224</v>
      </c>
      <c r="I8" s="88">
        <f>IS!I19</f>
        <v>19368016.335264195</v>
      </c>
      <c r="J8" s="219">
        <f>IS!J19</f>
        <v>22165275.77041864</v>
      </c>
      <c r="K8" s="89">
        <f>IS!K19</f>
        <v>25179043.426541552</v>
      </c>
      <c r="L8" s="219">
        <f>IS!L19</f>
        <v>28450404.572841324</v>
      </c>
      <c r="M8" s="89">
        <f>IS!M19</f>
        <v>32156752.24441237</v>
      </c>
      <c r="N8" s="22"/>
    </row>
    <row r="9" spans="1:33" ht="14.25" customHeight="1">
      <c r="A9" s="215" t="s">
        <v>201</v>
      </c>
      <c r="B9" s="220">
        <f t="shared" ref="B9:H9" si="0">ABS(B7/B8)</f>
        <v>0.41232023862544198</v>
      </c>
      <c r="C9" s="220">
        <f t="shared" si="0"/>
        <v>0.37336168072911102</v>
      </c>
      <c r="D9" s="221">
        <f t="shared" si="0"/>
        <v>0.43179063542199836</v>
      </c>
      <c r="E9" s="220">
        <f t="shared" si="0"/>
        <v>0.35060599716983826</v>
      </c>
      <c r="F9" s="221">
        <f t="shared" si="0"/>
        <v>0.40092690612822079</v>
      </c>
      <c r="G9" s="220">
        <f t="shared" si="0"/>
        <v>0.43125990450317198</v>
      </c>
      <c r="H9" s="221">
        <f t="shared" si="0"/>
        <v>0.39775959727177668</v>
      </c>
      <c r="I9" s="222">
        <f>Assumptions!I29</f>
        <v>0.40998213596772315</v>
      </c>
      <c r="J9" s="223">
        <f>Assumptions!J29</f>
        <v>0.41300054591422392</v>
      </c>
      <c r="K9" s="224">
        <f>Assumptions!K29</f>
        <v>0.40691409305124121</v>
      </c>
      <c r="L9" s="223">
        <f>Assumptions!L29</f>
        <v>0.40996559164439605</v>
      </c>
      <c r="M9" s="224">
        <f>Assumptions!M29</f>
        <v>0.40996007686995367</v>
      </c>
      <c r="N9" s="22"/>
    </row>
    <row r="10" spans="1:33" ht="14.25" customHeight="1">
      <c r="A10" s="225" t="s">
        <v>202</v>
      </c>
      <c r="B10" s="226">
        <f t="shared" ref="B10:M10" si="1">B6*(1-B9)</f>
        <v>3702655.7677487545</v>
      </c>
      <c r="C10" s="226">
        <f t="shared" si="1"/>
        <v>3279511.6439041975</v>
      </c>
      <c r="D10" s="225">
        <f t="shared" si="1"/>
        <v>3023897.7328299382</v>
      </c>
      <c r="E10" s="226">
        <f t="shared" si="1"/>
        <v>3709533.3623667327</v>
      </c>
      <c r="F10" s="225">
        <f t="shared" si="1"/>
        <v>8066413.1730458913</v>
      </c>
      <c r="G10" s="226">
        <f t="shared" si="1"/>
        <v>8904929.178561626</v>
      </c>
      <c r="H10" s="225">
        <f t="shared" si="1"/>
        <v>9996500.5177869815</v>
      </c>
      <c r="I10" s="227">
        <f t="shared" si="1"/>
        <v>11399699.734242594</v>
      </c>
      <c r="J10" s="228">
        <f t="shared" si="1"/>
        <v>12789671.533604164</v>
      </c>
      <c r="K10" s="229">
        <f t="shared" si="1"/>
        <v>14478763.857711306</v>
      </c>
      <c r="L10" s="228">
        <f t="shared" si="1"/>
        <v>16062891.61911184</v>
      </c>
      <c r="M10" s="230">
        <f t="shared" si="1"/>
        <v>17928336.48020608</v>
      </c>
      <c r="N10" s="231"/>
      <c r="O10" s="225"/>
      <c r="P10" s="225"/>
      <c r="Q10" s="225"/>
      <c r="R10" s="225"/>
      <c r="S10" s="225"/>
      <c r="T10" s="225"/>
      <c r="U10" s="225"/>
      <c r="V10" s="225"/>
      <c r="W10" s="225"/>
      <c r="X10" s="225"/>
      <c r="Y10" s="225"/>
      <c r="Z10" s="225"/>
      <c r="AA10" s="225"/>
      <c r="AB10" s="225"/>
      <c r="AC10" s="225"/>
      <c r="AD10" s="225"/>
      <c r="AE10" s="225"/>
      <c r="AF10" s="225"/>
      <c r="AG10" s="225"/>
    </row>
    <row r="11" spans="1:33" ht="14.25" customHeight="1">
      <c r="A11" s="215" t="s">
        <v>203</v>
      </c>
      <c r="B11" s="193">
        <f>CF!B9</f>
        <v>53515</v>
      </c>
      <c r="C11" s="193">
        <f>CF!C9</f>
        <v>4850</v>
      </c>
      <c r="D11" s="80">
        <f>CF!D9</f>
        <v>7437</v>
      </c>
      <c r="E11" s="193">
        <f>CF!E9</f>
        <v>12360</v>
      </c>
      <c r="F11" s="80">
        <f>CF!F9</f>
        <v>12101</v>
      </c>
      <c r="G11" s="193">
        <f>CF!G9</f>
        <v>13463</v>
      </c>
      <c r="H11" s="80">
        <f>CF!H9</f>
        <v>16157</v>
      </c>
      <c r="I11" s="88">
        <f>-CapEx!I14</f>
        <v>42445.8</v>
      </c>
      <c r="J11" s="219">
        <f>-CapEx!J14</f>
        <v>47992.641312000007</v>
      </c>
      <c r="K11" s="89">
        <f>-CapEx!K14</f>
        <v>54133.68049584001</v>
      </c>
      <c r="L11" s="219">
        <f>-CapEx!L14</f>
        <v>60957.392809780809</v>
      </c>
      <c r="M11" s="89">
        <f>-CapEx!M14</f>
        <v>68559.869274824508</v>
      </c>
      <c r="N11" s="22"/>
    </row>
    <row r="12" spans="1:33" ht="14.25" customHeight="1">
      <c r="A12" s="215" t="s">
        <v>204</v>
      </c>
      <c r="B12" s="193">
        <f>-(CapEx!B5+CapEx!B22)</f>
        <v>1224466</v>
      </c>
      <c r="C12" s="193">
        <f>-(CapEx!C5+CapEx!C22)</f>
        <v>1302355</v>
      </c>
      <c r="D12" s="80">
        <f>-(CapEx!D5+CapEx!D22)</f>
        <v>1396924</v>
      </c>
      <c r="E12" s="193">
        <f>-(CapEx!E5+CapEx!E22)</f>
        <v>1603144</v>
      </c>
      <c r="F12" s="80">
        <f>-(CapEx!F5+CapEx!F22)</f>
        <v>1862455</v>
      </c>
      <c r="G12" s="193">
        <f>-(CapEx!G5+CapEx!G22)</f>
        <v>2422957</v>
      </c>
      <c r="H12" s="80">
        <f>-(CapEx!H5+CapEx!H22)</f>
        <v>2835055</v>
      </c>
      <c r="I12" s="88">
        <f>-(CapEx!I5+CapEx!I22)</f>
        <v>2949894.4041791796</v>
      </c>
      <c r="J12" s="219">
        <f>-(CapEx!J5+CapEx!J22)</f>
        <v>3132995.4674857729</v>
      </c>
      <c r="K12" s="89">
        <f>-(CapEx!K5+CapEx!K22)</f>
        <v>3315275.9396189582</v>
      </c>
      <c r="L12" s="219">
        <f>-(CapEx!L5+CapEx!L22)</f>
        <v>3496423.5284308963</v>
      </c>
      <c r="M12" s="89">
        <f>-(CapEx!M5+CapEx!M22)</f>
        <v>3676364.3935363065</v>
      </c>
      <c r="N12" s="22"/>
    </row>
    <row r="13" spans="1:33" ht="14.25" customHeight="1">
      <c r="A13" s="215" t="s">
        <v>205</v>
      </c>
      <c r="B13" s="193">
        <f>-(CapEx!B4+CapEx!B13)</f>
        <v>-1072089</v>
      </c>
      <c r="C13" s="193">
        <f>-(CapEx!C4+CapEx!C13)</f>
        <v>-1895397</v>
      </c>
      <c r="D13" s="80">
        <f>-(CapEx!D4+CapEx!D13)</f>
        <v>-1188403</v>
      </c>
      <c r="E13" s="193">
        <f>-(CapEx!E4+CapEx!E13)</f>
        <v>-2100337</v>
      </c>
      <c r="F13" s="80">
        <f>-(CapEx!F4+CapEx!F13)</f>
        <v>-4303743</v>
      </c>
      <c r="G13" s="193">
        <f>-(CapEx!G4+CapEx!G13)</f>
        <v>-5439515</v>
      </c>
      <c r="H13" s="80">
        <f>-(CapEx!H4+CapEx!H13)</f>
        <v>-4853727</v>
      </c>
      <c r="I13" s="88">
        <f>-(CapEx!I4+CapEx!I13)</f>
        <v>-5018451.5565599995</v>
      </c>
      <c r="J13" s="219">
        <f>-(CapEx!J4+CapEx!J13)</f>
        <v>-5150676.1759811994</v>
      </c>
      <c r="K13" s="89">
        <f>-(CapEx!K4+CapEx!K13)</f>
        <v>-5287030.0392842926</v>
      </c>
      <c r="L13" s="219">
        <f>-(CapEx!L4+CapEx!L13)</f>
        <v>-5427717.0172842164</v>
      </c>
      <c r="M13" s="89">
        <f>-(CapEx!M4+CapEx!M13)</f>
        <v>-5572958.4249789743</v>
      </c>
      <c r="N13" s="22"/>
    </row>
    <row r="14" spans="1:33" ht="14.25" customHeight="1">
      <c r="A14" s="215" t="s">
        <v>176</v>
      </c>
      <c r="B14" s="203">
        <f>-WC!B7</f>
        <v>0</v>
      </c>
      <c r="C14" s="203">
        <f>-WC!C7</f>
        <v>363985</v>
      </c>
      <c r="D14" s="80">
        <f>-WC!D7</f>
        <v>-375212</v>
      </c>
      <c r="E14" s="203">
        <f>-WC!E7</f>
        <v>69022</v>
      </c>
      <c r="F14" s="80">
        <f>-WC!F7</f>
        <v>-4701814</v>
      </c>
      <c r="G14" s="203">
        <f>-WC!G7</f>
        <v>-2425328</v>
      </c>
      <c r="H14" s="80">
        <f>-WC!H7</f>
        <v>2208933</v>
      </c>
      <c r="I14" s="88">
        <f>-WC!I7</f>
        <v>-1004368.2960648388</v>
      </c>
      <c r="J14" s="232">
        <f>-WC!J7</f>
        <v>-1137625.6400593929</v>
      </c>
      <c r="K14" s="89">
        <f>-WC!K7</f>
        <v>-1276068.559546262</v>
      </c>
      <c r="L14" s="232">
        <f>-WC!L7</f>
        <v>-1431413.8057735134</v>
      </c>
      <c r="M14" s="89">
        <f>-WC!M7</f>
        <v>-1605733.0344102997</v>
      </c>
      <c r="N14" s="22"/>
    </row>
    <row r="15" spans="1:33" ht="14.25" customHeight="1">
      <c r="A15" s="233" t="s">
        <v>206</v>
      </c>
      <c r="B15" s="234">
        <f t="shared" ref="B15:M15" si="2">SUM(B10:B14)</f>
        <v>3908547.7677487545</v>
      </c>
      <c r="C15" s="233">
        <f t="shared" si="2"/>
        <v>3055304.643904198</v>
      </c>
      <c r="D15" s="233">
        <f t="shared" si="2"/>
        <v>2864643.7328299377</v>
      </c>
      <c r="E15" s="233">
        <f t="shared" si="2"/>
        <v>3293722.3623667322</v>
      </c>
      <c r="F15" s="233">
        <f t="shared" si="2"/>
        <v>935412.17304589227</v>
      </c>
      <c r="G15" s="233">
        <f t="shared" si="2"/>
        <v>3476506.178561626</v>
      </c>
      <c r="H15" s="233">
        <f t="shared" si="2"/>
        <v>10202918.517786982</v>
      </c>
      <c r="I15" s="234">
        <f t="shared" si="2"/>
        <v>8369220.0857969373</v>
      </c>
      <c r="J15" s="233">
        <f t="shared" si="2"/>
        <v>9682357.8263613433</v>
      </c>
      <c r="K15" s="233">
        <f t="shared" si="2"/>
        <v>11285074.878995549</v>
      </c>
      <c r="L15" s="233">
        <f t="shared" si="2"/>
        <v>12761141.717294786</v>
      </c>
      <c r="M15" s="233">
        <f t="shared" si="2"/>
        <v>14494569.283627937</v>
      </c>
      <c r="N15" s="22"/>
    </row>
    <row r="16" spans="1:33" ht="14.25" customHeight="1">
      <c r="A16" s="235"/>
      <c r="B16" s="235"/>
      <c r="C16" s="235"/>
      <c r="D16" s="235"/>
      <c r="E16" s="235"/>
      <c r="F16" s="235"/>
      <c r="G16" s="235"/>
      <c r="H16" s="235"/>
      <c r="I16" s="236"/>
      <c r="J16" s="235"/>
      <c r="K16" s="235"/>
      <c r="L16" s="235"/>
      <c r="M16" s="235"/>
    </row>
    <row r="17" spans="1:13" ht="14.25" customHeight="1">
      <c r="A17" s="235"/>
      <c r="B17" s="235"/>
      <c r="C17" s="235"/>
      <c r="D17" s="235"/>
      <c r="E17" s="235"/>
      <c r="F17" s="235"/>
      <c r="G17" s="235"/>
      <c r="H17" s="235"/>
      <c r="I17" s="236"/>
      <c r="J17" s="235"/>
      <c r="K17" s="235"/>
      <c r="L17" s="235"/>
      <c r="M17" s="235"/>
    </row>
    <row r="18" spans="1:13" ht="14.25" customHeight="1">
      <c r="A18" s="235"/>
      <c r="B18" s="235"/>
      <c r="C18" s="235"/>
      <c r="D18" s="235"/>
      <c r="E18" s="235"/>
      <c r="F18" s="235"/>
      <c r="G18" s="235"/>
      <c r="H18" s="235"/>
      <c r="I18" s="236"/>
      <c r="J18" s="235"/>
      <c r="K18" s="235"/>
      <c r="L18" s="235"/>
      <c r="M18" s="235"/>
    </row>
    <row r="19" spans="1:13" ht="14.25" customHeight="1">
      <c r="A19" s="235"/>
      <c r="B19" s="235"/>
      <c r="C19" s="235"/>
      <c r="D19" s="235"/>
      <c r="E19" s="235"/>
      <c r="F19" s="235"/>
      <c r="G19" s="235"/>
      <c r="H19" s="235"/>
      <c r="I19" s="236"/>
      <c r="J19" s="235"/>
      <c r="K19" s="235"/>
      <c r="L19" s="235"/>
      <c r="M19" s="235"/>
    </row>
    <row r="20" spans="1:13" ht="14.25" customHeight="1">
      <c r="C20" s="237"/>
      <c r="I20" s="22"/>
    </row>
    <row r="21" spans="1:13" ht="14.25" customHeight="1">
      <c r="A21" s="238"/>
      <c r="B21" s="238"/>
      <c r="C21" s="239"/>
      <c r="D21" s="239"/>
      <c r="E21" s="239"/>
      <c r="F21" s="239"/>
      <c r="G21" s="239"/>
      <c r="H21" s="239"/>
      <c r="I21" s="37"/>
    </row>
    <row r="22" spans="1:13" ht="14.25" customHeight="1">
      <c r="I22" s="22"/>
    </row>
    <row r="23" spans="1:13" ht="14.25" customHeight="1">
      <c r="A23" s="181"/>
      <c r="B23" s="181"/>
      <c r="C23" s="181"/>
      <c r="D23" s="181"/>
      <c r="E23" s="181"/>
      <c r="F23" s="181"/>
      <c r="G23" s="181"/>
      <c r="H23" s="181"/>
      <c r="I23" s="22"/>
    </row>
    <row r="24" spans="1:13" ht="14.25" customHeight="1">
      <c r="A24" s="181"/>
      <c r="B24" s="181"/>
      <c r="C24" s="181"/>
      <c r="D24" s="181"/>
      <c r="E24" s="181"/>
      <c r="F24" s="181"/>
      <c r="G24" s="181"/>
      <c r="H24" s="181"/>
      <c r="I24" s="22"/>
    </row>
    <row r="25" spans="1:13" ht="14.25" customHeight="1">
      <c r="A25" s="181"/>
      <c r="B25" s="181"/>
      <c r="C25" s="181"/>
      <c r="D25" s="181"/>
      <c r="E25" s="181"/>
      <c r="F25" s="181"/>
      <c r="G25" s="181"/>
      <c r="H25" s="181"/>
      <c r="I25" s="240"/>
      <c r="J25" s="181"/>
      <c r="K25" s="181"/>
      <c r="L25" s="181"/>
      <c r="M25" s="181"/>
    </row>
    <row r="26" spans="1:13" ht="14.25" customHeight="1">
      <c r="A26" s="181"/>
      <c r="B26" s="181"/>
      <c r="C26" s="181"/>
      <c r="D26" s="181"/>
      <c r="E26" s="181"/>
      <c r="F26" s="181"/>
      <c r="G26" s="181"/>
      <c r="H26" s="181"/>
      <c r="I26" s="240"/>
    </row>
    <row r="27" spans="1:13" ht="14.25" customHeight="1">
      <c r="A27" s="181"/>
      <c r="B27" s="181"/>
      <c r="C27" s="181"/>
      <c r="D27" s="181"/>
      <c r="E27" s="181"/>
      <c r="F27" s="181"/>
      <c r="G27" s="181"/>
      <c r="H27" s="181"/>
      <c r="I27" s="240"/>
    </row>
    <row r="28" spans="1:13" ht="14.25" customHeight="1">
      <c r="A28" s="181"/>
      <c r="B28" s="181"/>
      <c r="C28" s="181"/>
      <c r="D28" s="181"/>
      <c r="E28" s="181"/>
      <c r="F28" s="181"/>
      <c r="G28" s="181"/>
      <c r="H28" s="181"/>
      <c r="I28" s="240"/>
    </row>
    <row r="29" spans="1:13" ht="14.25" customHeight="1">
      <c r="A29" s="181"/>
      <c r="B29" s="181"/>
      <c r="C29" s="181"/>
      <c r="D29" s="181"/>
      <c r="E29" s="181"/>
      <c r="F29" s="181"/>
      <c r="G29" s="181"/>
      <c r="H29" s="181"/>
      <c r="I29" s="240"/>
    </row>
    <row r="30" spans="1:13" ht="14.25" customHeight="1">
      <c r="I30" s="22"/>
    </row>
    <row r="31" spans="1:13" ht="14.25" customHeight="1">
      <c r="A31" s="181"/>
      <c r="B31" s="181"/>
      <c r="C31" s="181"/>
      <c r="D31" s="181"/>
      <c r="E31" s="181"/>
      <c r="F31" s="181"/>
      <c r="G31" s="181"/>
      <c r="H31" s="181"/>
      <c r="I31" s="240"/>
    </row>
    <row r="32" spans="1:13" ht="14.25" customHeight="1">
      <c r="A32" s="181"/>
      <c r="B32" s="181"/>
      <c r="C32" s="181"/>
      <c r="D32" s="181"/>
      <c r="E32" s="181"/>
      <c r="F32" s="181"/>
      <c r="G32" s="181"/>
      <c r="H32" s="181"/>
      <c r="I32" s="240"/>
    </row>
    <row r="33" spans="1:9" ht="14.25" customHeight="1">
      <c r="A33" s="181"/>
      <c r="B33" s="181"/>
      <c r="C33" s="181"/>
      <c r="D33" s="181"/>
      <c r="E33" s="181"/>
      <c r="F33" s="181"/>
      <c r="G33" s="181"/>
      <c r="H33" s="181"/>
      <c r="I33" s="240"/>
    </row>
    <row r="34" spans="1:9" ht="14.25" customHeight="1">
      <c r="A34" s="181"/>
      <c r="B34" s="181"/>
      <c r="C34" s="181"/>
      <c r="D34" s="181"/>
      <c r="E34" s="181"/>
      <c r="F34" s="181"/>
      <c r="G34" s="181"/>
      <c r="H34" s="181"/>
      <c r="I34" s="240"/>
    </row>
    <row r="35" spans="1:9" ht="14.25" customHeight="1">
      <c r="I35" s="22"/>
    </row>
    <row r="36" spans="1:9" ht="14.25" customHeight="1">
      <c r="I36" s="22"/>
    </row>
    <row r="37" spans="1:9" ht="14.25" customHeight="1">
      <c r="I37" s="22"/>
    </row>
    <row r="38" spans="1:9" ht="14.25" customHeight="1">
      <c r="I38" s="22"/>
    </row>
    <row r="39" spans="1:9" ht="14.25" customHeight="1">
      <c r="I39" s="22"/>
    </row>
    <row r="40" spans="1:9" ht="14.25" customHeight="1">
      <c r="I40" s="22"/>
    </row>
    <row r="41" spans="1:9" ht="14.25" customHeight="1">
      <c r="I41" s="22"/>
    </row>
    <row r="42" spans="1:9" ht="14.25" customHeight="1">
      <c r="I42" s="22"/>
    </row>
    <row r="43" spans="1:9" ht="14.25" customHeight="1">
      <c r="I43" s="22"/>
    </row>
    <row r="44" spans="1:9" ht="14.25" customHeight="1">
      <c r="I44" s="22"/>
    </row>
    <row r="45" spans="1:9" ht="14.25" customHeight="1">
      <c r="I45" s="22"/>
    </row>
    <row r="46" spans="1:9" ht="14.25" customHeight="1">
      <c r="I46" s="22"/>
    </row>
    <row r="47" spans="1:9" ht="14.25" customHeight="1">
      <c r="I47" s="22"/>
    </row>
    <row r="48" spans="1:9" ht="14.25" customHeight="1">
      <c r="I48" s="22"/>
    </row>
    <row r="49" spans="1:9" ht="14.25" customHeight="1">
      <c r="A49" s="235"/>
      <c r="I49" s="22"/>
    </row>
    <row r="50" spans="1:9" ht="14.25" customHeight="1">
      <c r="A50" s="235"/>
      <c r="I50" s="22"/>
    </row>
    <row r="51" spans="1:9" ht="14.25" customHeight="1">
      <c r="A51" s="235"/>
      <c r="I51" s="22"/>
    </row>
    <row r="52" spans="1:9" ht="14.25" customHeight="1">
      <c r="A52" s="235"/>
      <c r="I52" s="22"/>
    </row>
    <row r="53" spans="1:9" ht="14.25" customHeight="1">
      <c r="A53" s="235"/>
      <c r="I53" s="22"/>
    </row>
    <row r="54" spans="1:9" ht="14.25" customHeight="1">
      <c r="A54" s="235"/>
      <c r="I54" s="22"/>
    </row>
    <row r="55" spans="1:9" ht="14.25" customHeight="1">
      <c r="A55" s="235"/>
      <c r="I55" s="22"/>
    </row>
    <row r="56" spans="1:9" ht="14.25" customHeight="1">
      <c r="A56" s="235"/>
      <c r="I56" s="22"/>
    </row>
    <row r="57" spans="1:9" ht="14.25" customHeight="1">
      <c r="A57" s="235"/>
      <c r="I57" s="22"/>
    </row>
    <row r="58" spans="1:9" ht="14.25" customHeight="1">
      <c r="A58" s="235"/>
      <c r="I58" s="22"/>
    </row>
    <row r="59" spans="1:9" ht="14.25" customHeight="1">
      <c r="A59" s="235"/>
      <c r="I59" s="22"/>
    </row>
    <row r="60" spans="1:9" ht="14.25" customHeight="1">
      <c r="A60" s="235"/>
      <c r="I60" s="22"/>
    </row>
    <row r="61" spans="1:9" ht="14.25" customHeight="1">
      <c r="A61" s="235"/>
      <c r="I61" s="22"/>
    </row>
    <row r="62" spans="1:9" ht="14.25" customHeight="1">
      <c r="A62" s="235"/>
      <c r="I62" s="22"/>
    </row>
    <row r="63" spans="1:9" ht="14.25" customHeight="1">
      <c r="A63" s="235"/>
      <c r="I63" s="22"/>
    </row>
    <row r="64" spans="1:9" ht="14.25" customHeight="1">
      <c r="A64" s="235"/>
      <c r="I64" s="22"/>
    </row>
    <row r="65" spans="1:9" ht="14.25" customHeight="1">
      <c r="A65" s="235"/>
      <c r="I65" s="22"/>
    </row>
    <row r="66" spans="1:9" ht="14.25" customHeight="1">
      <c r="A66" s="235"/>
      <c r="I66" s="22"/>
    </row>
    <row r="67" spans="1:9" ht="14.25" customHeight="1">
      <c r="A67" s="235"/>
      <c r="I67" s="22"/>
    </row>
    <row r="68" spans="1:9" ht="14.25" customHeight="1">
      <c r="A68" s="235"/>
      <c r="I68" s="22"/>
    </row>
    <row r="69" spans="1:9" ht="14.25" customHeight="1">
      <c r="A69" s="235"/>
      <c r="I69" s="22"/>
    </row>
    <row r="70" spans="1:9" ht="14.25" customHeight="1">
      <c r="A70" s="235"/>
      <c r="I70" s="22"/>
    </row>
    <row r="71" spans="1:9" ht="14.25" customHeight="1">
      <c r="A71" s="235"/>
      <c r="I71" s="22"/>
    </row>
    <row r="72" spans="1:9" ht="14.25" customHeight="1">
      <c r="A72" s="235"/>
      <c r="I72" s="22"/>
    </row>
    <row r="73" spans="1:9" ht="14.25" customHeight="1">
      <c r="A73" s="235"/>
      <c r="I73" s="22"/>
    </row>
    <row r="74" spans="1:9" ht="14.25" customHeight="1">
      <c r="A74" s="235"/>
      <c r="I74" s="22"/>
    </row>
    <row r="75" spans="1:9" ht="14.25" customHeight="1">
      <c r="A75" s="235"/>
      <c r="I75" s="22"/>
    </row>
    <row r="76" spans="1:9" ht="14.25" customHeight="1">
      <c r="A76" s="235"/>
      <c r="I76" s="22"/>
    </row>
    <row r="77" spans="1:9" ht="14.25" customHeight="1">
      <c r="A77" s="235"/>
      <c r="I77" s="22"/>
    </row>
    <row r="78" spans="1:9" ht="14.25" customHeight="1">
      <c r="A78" s="235"/>
      <c r="I78" s="22"/>
    </row>
    <row r="79" spans="1:9" ht="14.25" customHeight="1">
      <c r="A79" s="235"/>
      <c r="I79" s="22"/>
    </row>
    <row r="80" spans="1:9" ht="14.25" customHeight="1">
      <c r="A80" s="235"/>
      <c r="I80" s="22"/>
    </row>
    <row r="81" spans="1:9" ht="14.25" customHeight="1">
      <c r="A81" s="235"/>
      <c r="I81" s="22"/>
    </row>
    <row r="82" spans="1:9" ht="14.25" customHeight="1">
      <c r="A82" s="235"/>
      <c r="I82" s="22"/>
    </row>
    <row r="83" spans="1:9" ht="14.25" customHeight="1">
      <c r="A83" s="235"/>
      <c r="I83" s="22"/>
    </row>
    <row r="84" spans="1:9" ht="14.25" customHeight="1">
      <c r="A84" s="235"/>
      <c r="I84" s="22"/>
    </row>
    <row r="85" spans="1:9" ht="14.25" customHeight="1">
      <c r="A85" s="235"/>
      <c r="I85" s="22"/>
    </row>
    <row r="86" spans="1:9" ht="14.25" customHeight="1">
      <c r="A86" s="235"/>
      <c r="I86" s="22"/>
    </row>
    <row r="87" spans="1:9" ht="14.25" customHeight="1">
      <c r="A87" s="235"/>
      <c r="I87" s="22"/>
    </row>
    <row r="88" spans="1:9" ht="14.25" customHeight="1">
      <c r="A88" s="235"/>
      <c r="I88" s="22"/>
    </row>
    <row r="89" spans="1:9" ht="14.25" customHeight="1">
      <c r="A89" s="235"/>
      <c r="I89" s="22"/>
    </row>
    <row r="90" spans="1:9" ht="14.25" customHeight="1">
      <c r="A90" s="235"/>
      <c r="I90" s="22"/>
    </row>
    <row r="91" spans="1:9" ht="14.25" customHeight="1">
      <c r="A91" s="235"/>
      <c r="I91" s="22"/>
    </row>
    <row r="92" spans="1:9" ht="14.25" customHeight="1">
      <c r="A92" s="235"/>
      <c r="I92" s="22"/>
    </row>
    <row r="93" spans="1:9" ht="14.25" customHeight="1">
      <c r="A93" s="235"/>
      <c r="I93" s="22"/>
    </row>
    <row r="94" spans="1:9" ht="14.25" customHeight="1">
      <c r="A94" s="235"/>
      <c r="I94" s="22"/>
    </row>
    <row r="95" spans="1:9" ht="14.25" customHeight="1">
      <c r="A95" s="235"/>
      <c r="I95" s="22"/>
    </row>
    <row r="96" spans="1:9" ht="14.25" customHeight="1">
      <c r="A96" s="235"/>
      <c r="I96" s="22"/>
    </row>
    <row r="97" spans="1:9" ht="14.25" customHeight="1">
      <c r="A97" s="235"/>
      <c r="I97" s="22"/>
    </row>
    <row r="98" spans="1:9" ht="14.25" customHeight="1">
      <c r="A98" s="235"/>
      <c r="I98" s="22"/>
    </row>
    <row r="99" spans="1:9" ht="14.25" customHeight="1">
      <c r="A99" s="235"/>
      <c r="I99" s="22"/>
    </row>
    <row r="100" spans="1:9" ht="14.25" customHeight="1">
      <c r="A100" s="235"/>
      <c r="I100" s="22"/>
    </row>
    <row r="101" spans="1:9" ht="14.25" customHeight="1">
      <c r="A101" s="235"/>
      <c r="I101" s="22"/>
    </row>
    <row r="102" spans="1:9" ht="14.25" customHeight="1">
      <c r="A102" s="235"/>
      <c r="I102" s="22"/>
    </row>
    <row r="103" spans="1:9" ht="14.25" customHeight="1">
      <c r="A103" s="235"/>
      <c r="I103" s="22"/>
    </row>
    <row r="104" spans="1:9" ht="14.25" customHeight="1">
      <c r="A104" s="235"/>
      <c r="I104" s="22"/>
    </row>
    <row r="105" spans="1:9" ht="14.25" customHeight="1">
      <c r="A105" s="235"/>
      <c r="I105" s="22"/>
    </row>
    <row r="106" spans="1:9" ht="14.25" customHeight="1">
      <c r="A106" s="235"/>
      <c r="I106" s="22"/>
    </row>
    <row r="107" spans="1:9" ht="14.25" customHeight="1">
      <c r="A107" s="235"/>
      <c r="I107" s="22"/>
    </row>
    <row r="108" spans="1:9" ht="14.25" customHeight="1">
      <c r="A108" s="235"/>
      <c r="I108" s="22"/>
    </row>
    <row r="109" spans="1:9" ht="14.25" customHeight="1">
      <c r="A109" s="235"/>
      <c r="I109" s="22"/>
    </row>
    <row r="110" spans="1:9" ht="14.25" customHeight="1">
      <c r="A110" s="235"/>
      <c r="I110" s="22"/>
    </row>
    <row r="111" spans="1:9" ht="14.25" customHeight="1">
      <c r="A111" s="235"/>
      <c r="I111" s="22"/>
    </row>
    <row r="112" spans="1:9" ht="14.25" customHeight="1">
      <c r="A112" s="235"/>
      <c r="I112" s="22"/>
    </row>
    <row r="113" spans="1:9" ht="14.25" customHeight="1">
      <c r="A113" s="235"/>
      <c r="I113" s="22"/>
    </row>
    <row r="114" spans="1:9" ht="14.25" customHeight="1">
      <c r="A114" s="235"/>
      <c r="I114" s="22"/>
    </row>
    <row r="115" spans="1:9" ht="14.25" customHeight="1">
      <c r="A115" s="235"/>
      <c r="I115" s="22"/>
    </row>
    <row r="116" spans="1:9" ht="14.25" customHeight="1">
      <c r="A116" s="235"/>
      <c r="I116" s="22"/>
    </row>
    <row r="117" spans="1:9" ht="14.25" customHeight="1">
      <c r="A117" s="235"/>
      <c r="I117" s="22"/>
    </row>
    <row r="118" spans="1:9" ht="14.25" customHeight="1">
      <c r="A118" s="235"/>
      <c r="I118" s="22"/>
    </row>
    <row r="119" spans="1:9" ht="14.25" customHeight="1">
      <c r="A119" s="235"/>
      <c r="I119" s="22"/>
    </row>
    <row r="120" spans="1:9" ht="14.25" customHeight="1">
      <c r="A120" s="235"/>
      <c r="I120" s="22"/>
    </row>
    <row r="121" spans="1:9" ht="14.25" customHeight="1">
      <c r="A121" s="235"/>
      <c r="I121" s="22"/>
    </row>
    <row r="122" spans="1:9" ht="14.25" customHeight="1">
      <c r="A122" s="235"/>
      <c r="I122" s="22"/>
    </row>
    <row r="123" spans="1:9" ht="14.25" customHeight="1">
      <c r="A123" s="235"/>
      <c r="I123" s="22"/>
    </row>
    <row r="124" spans="1:9" ht="14.25" customHeight="1">
      <c r="A124" s="235"/>
      <c r="I124" s="22"/>
    </row>
    <row r="125" spans="1:9" ht="14.25" customHeight="1">
      <c r="A125" s="235"/>
      <c r="I125" s="22"/>
    </row>
    <row r="126" spans="1:9" ht="14.25" customHeight="1">
      <c r="A126" s="235"/>
      <c r="I126" s="22"/>
    </row>
    <row r="127" spans="1:9" ht="14.25" customHeight="1">
      <c r="A127" s="235"/>
      <c r="I127" s="22"/>
    </row>
    <row r="128" spans="1:9" ht="14.25" customHeight="1">
      <c r="A128" s="235"/>
      <c r="I128" s="22"/>
    </row>
    <row r="129" spans="1:9" ht="14.25" customHeight="1">
      <c r="A129" s="235"/>
      <c r="I129" s="22"/>
    </row>
    <row r="130" spans="1:9" ht="14.25" customHeight="1">
      <c r="A130" s="235"/>
      <c r="I130" s="22"/>
    </row>
    <row r="131" spans="1:9" ht="14.25" customHeight="1">
      <c r="A131" s="235"/>
      <c r="I131" s="22"/>
    </row>
    <row r="132" spans="1:9" ht="14.25" customHeight="1">
      <c r="A132" s="235"/>
      <c r="I132" s="22"/>
    </row>
    <row r="133" spans="1:9" ht="14.25" customHeight="1">
      <c r="A133" s="235"/>
      <c r="I133" s="22"/>
    </row>
    <row r="134" spans="1:9" ht="14.25" customHeight="1">
      <c r="A134" s="235"/>
      <c r="I134" s="22"/>
    </row>
    <row r="135" spans="1:9" ht="14.25" customHeight="1">
      <c r="A135" s="235"/>
      <c r="I135" s="22"/>
    </row>
    <row r="136" spans="1:9" ht="14.25" customHeight="1">
      <c r="A136" s="235"/>
      <c r="I136" s="22"/>
    </row>
    <row r="137" spans="1:9" ht="14.25" customHeight="1">
      <c r="A137" s="235"/>
      <c r="I137" s="22"/>
    </row>
    <row r="138" spans="1:9" ht="14.25" customHeight="1">
      <c r="A138" s="235"/>
      <c r="I138" s="22"/>
    </row>
    <row r="139" spans="1:9" ht="14.25" customHeight="1">
      <c r="A139" s="235"/>
      <c r="I139" s="22"/>
    </row>
    <row r="140" spans="1:9" ht="14.25" customHeight="1">
      <c r="A140" s="235"/>
      <c r="I140" s="22"/>
    </row>
    <row r="141" spans="1:9" ht="14.25" customHeight="1">
      <c r="A141" s="235"/>
      <c r="I141" s="22"/>
    </row>
    <row r="142" spans="1:9" ht="14.25" customHeight="1">
      <c r="A142" s="235"/>
      <c r="I142" s="22"/>
    </row>
    <row r="143" spans="1:9" ht="14.25" customHeight="1">
      <c r="A143" s="235"/>
      <c r="I143" s="22"/>
    </row>
    <row r="144" spans="1:9" ht="14.25" customHeight="1">
      <c r="A144" s="235"/>
      <c r="I144" s="22"/>
    </row>
    <row r="145" spans="1:9" ht="14.25" customHeight="1">
      <c r="A145" s="235"/>
      <c r="I145" s="22"/>
    </row>
    <row r="146" spans="1:9" ht="14.25" customHeight="1">
      <c r="A146" s="235"/>
      <c r="I146" s="22"/>
    </row>
    <row r="147" spans="1:9" ht="14.25" customHeight="1">
      <c r="A147" s="235"/>
      <c r="I147" s="22"/>
    </row>
    <row r="148" spans="1:9" ht="14.25" customHeight="1">
      <c r="A148" s="235"/>
      <c r="I148" s="22"/>
    </row>
    <row r="149" spans="1:9" ht="14.25" customHeight="1">
      <c r="A149" s="235"/>
      <c r="I149" s="22"/>
    </row>
    <row r="150" spans="1:9" ht="14.25" customHeight="1">
      <c r="A150" s="235"/>
      <c r="I150" s="22"/>
    </row>
    <row r="151" spans="1:9" ht="14.25" customHeight="1">
      <c r="A151" s="235"/>
      <c r="I151" s="22"/>
    </row>
    <row r="152" spans="1:9" ht="14.25" customHeight="1">
      <c r="A152" s="235"/>
      <c r="I152" s="22"/>
    </row>
    <row r="153" spans="1:9" ht="14.25" customHeight="1">
      <c r="A153" s="235"/>
      <c r="I153" s="22"/>
    </row>
    <row r="154" spans="1:9" ht="14.25" customHeight="1">
      <c r="A154" s="235"/>
      <c r="I154" s="22"/>
    </row>
    <row r="155" spans="1:9" ht="14.25" customHeight="1">
      <c r="A155" s="235"/>
      <c r="I155" s="22"/>
    </row>
    <row r="156" spans="1:9" ht="14.25" customHeight="1">
      <c r="A156" s="235"/>
      <c r="I156" s="22"/>
    </row>
    <row r="157" spans="1:9" ht="14.25" customHeight="1">
      <c r="A157" s="235"/>
      <c r="I157" s="22"/>
    </row>
    <row r="158" spans="1:9" ht="14.25" customHeight="1">
      <c r="A158" s="235"/>
      <c r="I158" s="22"/>
    </row>
    <row r="159" spans="1:9" ht="14.25" customHeight="1">
      <c r="A159" s="235"/>
      <c r="I159" s="22"/>
    </row>
    <row r="160" spans="1:9" ht="14.25" customHeight="1">
      <c r="A160" s="235"/>
      <c r="I160" s="22"/>
    </row>
    <row r="161" spans="1:9" ht="14.25" customHeight="1">
      <c r="A161" s="235"/>
      <c r="I161" s="22"/>
    </row>
    <row r="162" spans="1:9" ht="14.25" customHeight="1">
      <c r="A162" s="235"/>
      <c r="I162" s="22"/>
    </row>
    <row r="163" spans="1:9" ht="14.25" customHeight="1">
      <c r="A163" s="235"/>
      <c r="I163" s="22"/>
    </row>
    <row r="164" spans="1:9" ht="14.25" customHeight="1">
      <c r="A164" s="235"/>
      <c r="I164" s="22"/>
    </row>
    <row r="165" spans="1:9" ht="14.25" customHeight="1">
      <c r="A165" s="235"/>
      <c r="I165" s="22"/>
    </row>
    <row r="166" spans="1:9" ht="14.25" customHeight="1">
      <c r="A166" s="235"/>
      <c r="I166" s="22"/>
    </row>
    <row r="167" spans="1:9" ht="14.25" customHeight="1">
      <c r="A167" s="235"/>
      <c r="I167" s="22"/>
    </row>
    <row r="168" spans="1:9" ht="14.25" customHeight="1">
      <c r="A168" s="235"/>
      <c r="I168" s="22"/>
    </row>
    <row r="169" spans="1:9" ht="14.25" customHeight="1">
      <c r="A169" s="235"/>
      <c r="I169" s="22"/>
    </row>
    <row r="170" spans="1:9" ht="14.25" customHeight="1">
      <c r="A170" s="235"/>
      <c r="I170" s="22"/>
    </row>
    <row r="171" spans="1:9" ht="14.25" customHeight="1">
      <c r="A171" s="235"/>
      <c r="I171" s="22"/>
    </row>
    <row r="172" spans="1:9" ht="14.25" customHeight="1">
      <c r="A172" s="235"/>
      <c r="I172" s="22"/>
    </row>
    <row r="173" spans="1:9" ht="14.25" customHeight="1">
      <c r="A173" s="235"/>
      <c r="I173" s="22"/>
    </row>
    <row r="174" spans="1:9" ht="14.25" customHeight="1">
      <c r="A174" s="235"/>
      <c r="I174" s="22"/>
    </row>
    <row r="175" spans="1:9" ht="14.25" customHeight="1">
      <c r="A175" s="235"/>
      <c r="I175" s="22"/>
    </row>
    <row r="176" spans="1:9" ht="14.25" customHeight="1">
      <c r="A176" s="235"/>
      <c r="I176" s="22"/>
    </row>
    <row r="177" spans="1:9" ht="14.25" customHeight="1">
      <c r="A177" s="235"/>
      <c r="I177" s="22"/>
    </row>
    <row r="178" spans="1:9" ht="14.25" customHeight="1">
      <c r="A178" s="235"/>
      <c r="I178" s="22"/>
    </row>
    <row r="179" spans="1:9" ht="14.25" customHeight="1">
      <c r="A179" s="235"/>
      <c r="I179" s="22"/>
    </row>
    <row r="180" spans="1:9" ht="14.25" customHeight="1">
      <c r="A180" s="235"/>
      <c r="I180" s="22"/>
    </row>
    <row r="181" spans="1:9" ht="14.25" customHeight="1">
      <c r="A181" s="235"/>
      <c r="I181" s="22"/>
    </row>
    <row r="182" spans="1:9" ht="14.25" customHeight="1">
      <c r="A182" s="235"/>
      <c r="I182" s="22"/>
    </row>
    <row r="183" spans="1:9" ht="14.25" customHeight="1">
      <c r="A183" s="235"/>
      <c r="I183" s="22"/>
    </row>
    <row r="184" spans="1:9" ht="14.25" customHeight="1">
      <c r="A184" s="235"/>
      <c r="I184" s="22"/>
    </row>
    <row r="185" spans="1:9" ht="14.25" customHeight="1">
      <c r="A185" s="235"/>
      <c r="I185" s="22"/>
    </row>
    <row r="186" spans="1:9" ht="14.25" customHeight="1">
      <c r="A186" s="235"/>
      <c r="I186" s="22"/>
    </row>
    <row r="187" spans="1:9" ht="14.25" customHeight="1">
      <c r="A187" s="235"/>
      <c r="I187" s="22"/>
    </row>
    <row r="188" spans="1:9" ht="14.25" customHeight="1">
      <c r="A188" s="235"/>
      <c r="I188" s="22"/>
    </row>
    <row r="189" spans="1:9" ht="14.25" customHeight="1">
      <c r="A189" s="235"/>
      <c r="I189" s="22"/>
    </row>
    <row r="190" spans="1:9" ht="14.25" customHeight="1">
      <c r="A190" s="235"/>
      <c r="I190" s="22"/>
    </row>
    <row r="191" spans="1:9" ht="14.25" customHeight="1">
      <c r="A191" s="235"/>
      <c r="I191" s="22"/>
    </row>
    <row r="192" spans="1:9" ht="14.25" customHeight="1">
      <c r="A192" s="235"/>
      <c r="I192" s="22"/>
    </row>
    <row r="193" spans="1:9" ht="14.25" customHeight="1">
      <c r="A193" s="235"/>
      <c r="I193" s="22"/>
    </row>
    <row r="194" spans="1:9" ht="14.25" customHeight="1">
      <c r="A194" s="235"/>
      <c r="I194" s="22"/>
    </row>
    <row r="195" spans="1:9" ht="14.25" customHeight="1">
      <c r="A195" s="235"/>
      <c r="I195" s="22"/>
    </row>
    <row r="196" spans="1:9" ht="14.25" customHeight="1">
      <c r="A196" s="235"/>
      <c r="I196" s="22"/>
    </row>
    <row r="197" spans="1:9" ht="14.25" customHeight="1">
      <c r="A197" s="235"/>
      <c r="I197" s="22"/>
    </row>
    <row r="198" spans="1:9" ht="14.25" customHeight="1">
      <c r="A198" s="235"/>
      <c r="I198" s="22"/>
    </row>
    <row r="199" spans="1:9" ht="14.25" customHeight="1">
      <c r="A199" s="235"/>
      <c r="I199" s="22"/>
    </row>
    <row r="200" spans="1:9" ht="14.25" customHeight="1">
      <c r="A200" s="235"/>
      <c r="I200" s="22"/>
    </row>
    <row r="201" spans="1:9" ht="14.25" customHeight="1">
      <c r="A201" s="235"/>
      <c r="I201" s="22"/>
    </row>
    <row r="202" spans="1:9" ht="14.25" customHeight="1">
      <c r="A202" s="235"/>
      <c r="I202" s="22"/>
    </row>
    <row r="203" spans="1:9" ht="14.25" customHeight="1">
      <c r="I203" s="22"/>
    </row>
    <row r="204" spans="1:9" ht="14.25" customHeight="1">
      <c r="I204" s="22"/>
    </row>
    <row r="205" spans="1:9" ht="14.25" customHeight="1">
      <c r="I205" s="22"/>
    </row>
    <row r="206" spans="1:9" ht="14.25" customHeight="1">
      <c r="I206" s="22"/>
    </row>
    <row r="207" spans="1:9" ht="14.25" customHeight="1">
      <c r="I207" s="22"/>
    </row>
    <row r="208" spans="1:9" ht="14.25" customHeight="1">
      <c r="I208" s="22"/>
    </row>
    <row r="209" spans="9:9" ht="14.25" customHeight="1">
      <c r="I209" s="22"/>
    </row>
    <row r="210" spans="9:9" ht="14.25" customHeight="1">
      <c r="I210" s="22"/>
    </row>
    <row r="211" spans="9:9" ht="14.25" customHeight="1">
      <c r="I211" s="22"/>
    </row>
    <row r="212" spans="9:9" ht="14.25" customHeight="1">
      <c r="I212" s="22"/>
    </row>
    <row r="213" spans="9:9" ht="14.25" customHeight="1">
      <c r="I213" s="22"/>
    </row>
    <row r="214" spans="9:9" ht="14.25" customHeight="1">
      <c r="I214" s="22"/>
    </row>
    <row r="215" spans="9:9" ht="14.25" customHeight="1">
      <c r="I215" s="22"/>
    </row>
    <row r="216" spans="9:9" ht="14.25" customHeight="1">
      <c r="I216" s="22"/>
    </row>
    <row r="217" spans="9:9" ht="14.25" customHeight="1">
      <c r="I217" s="22"/>
    </row>
    <row r="218" spans="9:9" ht="14.25" customHeight="1">
      <c r="I218" s="22"/>
    </row>
    <row r="219" spans="9:9" ht="14.25" customHeight="1">
      <c r="I219" s="22"/>
    </row>
    <row r="220" spans="9:9" ht="14.25" customHeight="1">
      <c r="I220" s="22"/>
    </row>
    <row r="221" spans="9:9" ht="14.25" customHeight="1">
      <c r="I221" s="22"/>
    </row>
    <row r="222" spans="9:9" ht="14.25" customHeight="1">
      <c r="I222" s="22"/>
    </row>
    <row r="223" spans="9:9" ht="14.25" customHeight="1">
      <c r="I223" s="22"/>
    </row>
    <row r="224" spans="9:9" ht="14.25" customHeight="1">
      <c r="I224" s="22"/>
    </row>
    <row r="225" spans="9:9" ht="14.25" customHeight="1">
      <c r="I225" s="22"/>
    </row>
    <row r="226" spans="9:9" ht="14.25" customHeight="1">
      <c r="I226" s="22"/>
    </row>
    <row r="227" spans="9:9" ht="14.25" customHeight="1">
      <c r="I227" s="22"/>
    </row>
    <row r="228" spans="9:9" ht="14.25" customHeight="1">
      <c r="I228" s="22"/>
    </row>
    <row r="229" spans="9:9" ht="14.25" customHeight="1">
      <c r="I229" s="22"/>
    </row>
    <row r="230" spans="9:9" ht="14.25" customHeight="1">
      <c r="I230" s="22"/>
    </row>
    <row r="231" spans="9:9" ht="14.25" customHeight="1">
      <c r="I231" s="22"/>
    </row>
    <row r="232" spans="9:9" ht="14.25" customHeight="1">
      <c r="I232" s="22"/>
    </row>
    <row r="233" spans="9:9" ht="14.25" customHeight="1">
      <c r="I233" s="22"/>
    </row>
    <row r="234" spans="9:9" ht="14.25" customHeight="1">
      <c r="I234" s="22"/>
    </row>
    <row r="235" spans="9:9" ht="14.25" customHeight="1">
      <c r="I235" s="22"/>
    </row>
    <row r="236" spans="9:9" ht="14.25" customHeight="1">
      <c r="I236" s="22"/>
    </row>
    <row r="237" spans="9:9" ht="14.25" customHeight="1">
      <c r="I237" s="22"/>
    </row>
    <row r="238" spans="9:9" ht="14.25" customHeight="1">
      <c r="I238" s="22"/>
    </row>
    <row r="239" spans="9:9" ht="14.25" customHeight="1">
      <c r="I239" s="22"/>
    </row>
    <row r="240" spans="9:9" ht="14.25" customHeight="1">
      <c r="I240" s="22"/>
    </row>
    <row r="241" spans="9:9" ht="14.25" customHeight="1">
      <c r="I241" s="22"/>
    </row>
    <row r="242" spans="9:9" ht="14.25" customHeight="1">
      <c r="I242" s="22"/>
    </row>
    <row r="243" spans="9:9" ht="14.25" customHeight="1">
      <c r="I243" s="22"/>
    </row>
    <row r="244" spans="9:9" ht="14.25" customHeight="1">
      <c r="I244" s="22"/>
    </row>
    <row r="245" spans="9:9" ht="14.25" customHeight="1">
      <c r="I245" s="22"/>
    </row>
    <row r="246" spans="9:9" ht="14.25" customHeight="1">
      <c r="I246" s="22"/>
    </row>
    <row r="247" spans="9:9" ht="14.25" customHeight="1">
      <c r="I247" s="22"/>
    </row>
    <row r="248" spans="9:9" ht="14.25" customHeight="1">
      <c r="I248" s="22"/>
    </row>
    <row r="249" spans="9:9" ht="14.25" customHeight="1">
      <c r="I249" s="22"/>
    </row>
    <row r="250" spans="9:9" ht="14.25" customHeight="1">
      <c r="I250" s="22"/>
    </row>
    <row r="251" spans="9:9" ht="14.25" customHeight="1">
      <c r="I251" s="22"/>
    </row>
    <row r="252" spans="9:9" ht="14.25" customHeight="1">
      <c r="I252" s="22"/>
    </row>
    <row r="253" spans="9:9" ht="14.25" customHeight="1">
      <c r="I253" s="22"/>
    </row>
    <row r="254" spans="9:9" ht="14.25" customHeight="1">
      <c r="I254" s="22"/>
    </row>
    <row r="255" spans="9:9" ht="14.25" customHeight="1">
      <c r="I255" s="22"/>
    </row>
    <row r="256" spans="9:9" ht="14.25" customHeight="1">
      <c r="I256" s="22"/>
    </row>
    <row r="257" spans="9:9" ht="14.25" customHeight="1">
      <c r="I257" s="22"/>
    </row>
    <row r="258" spans="9:9" ht="14.25" customHeight="1">
      <c r="I258" s="22"/>
    </row>
    <row r="259" spans="9:9" ht="14.25" customHeight="1">
      <c r="I259" s="22"/>
    </row>
    <row r="260" spans="9:9" ht="14.25" customHeight="1">
      <c r="I260" s="22"/>
    </row>
    <row r="261" spans="9:9" ht="14.25" customHeight="1">
      <c r="I261" s="22"/>
    </row>
    <row r="262" spans="9:9" ht="14.25" customHeight="1">
      <c r="I262" s="22"/>
    </row>
    <row r="263" spans="9:9" ht="14.25" customHeight="1">
      <c r="I263" s="22"/>
    </row>
    <row r="264" spans="9:9" ht="14.25" customHeight="1">
      <c r="I264" s="22"/>
    </row>
    <row r="265" spans="9:9" ht="14.25" customHeight="1">
      <c r="I265" s="22"/>
    </row>
    <row r="266" spans="9:9" ht="14.25" customHeight="1">
      <c r="I266" s="22"/>
    </row>
    <row r="267" spans="9:9" ht="14.25" customHeight="1">
      <c r="I267" s="22"/>
    </row>
    <row r="268" spans="9:9" ht="14.25" customHeight="1">
      <c r="I268" s="22"/>
    </row>
    <row r="269" spans="9:9" ht="14.25" customHeight="1">
      <c r="I269" s="22"/>
    </row>
    <row r="270" spans="9:9" ht="14.25" customHeight="1">
      <c r="I270" s="22"/>
    </row>
    <row r="271" spans="9:9" ht="14.25" customHeight="1">
      <c r="I271" s="22"/>
    </row>
    <row r="272" spans="9:9" ht="14.25" customHeight="1">
      <c r="I272" s="22"/>
    </row>
    <row r="273" spans="9:9" ht="14.25" customHeight="1">
      <c r="I273" s="22"/>
    </row>
    <row r="274" spans="9:9" ht="14.25" customHeight="1">
      <c r="I274" s="22"/>
    </row>
    <row r="275" spans="9:9" ht="14.25" customHeight="1">
      <c r="I275" s="22"/>
    </row>
    <row r="276" spans="9:9" ht="14.25" customHeight="1">
      <c r="I276" s="22"/>
    </row>
    <row r="277" spans="9:9" ht="14.25" customHeight="1">
      <c r="I277" s="22"/>
    </row>
    <row r="278" spans="9:9" ht="14.25" customHeight="1">
      <c r="I278" s="22"/>
    </row>
    <row r="279" spans="9:9" ht="14.25" customHeight="1">
      <c r="I279" s="22"/>
    </row>
    <row r="280" spans="9:9" ht="14.25" customHeight="1">
      <c r="I280" s="22"/>
    </row>
    <row r="281" spans="9:9" ht="14.25" customHeight="1">
      <c r="I281" s="22"/>
    </row>
    <row r="282" spans="9:9" ht="14.25" customHeight="1">
      <c r="I282" s="22"/>
    </row>
    <row r="283" spans="9:9" ht="14.25" customHeight="1">
      <c r="I283" s="22"/>
    </row>
    <row r="284" spans="9:9" ht="14.25" customHeight="1">
      <c r="I284" s="22"/>
    </row>
    <row r="285" spans="9:9" ht="14.25" customHeight="1">
      <c r="I285" s="22"/>
    </row>
    <row r="286" spans="9:9" ht="14.25" customHeight="1">
      <c r="I286" s="22"/>
    </row>
    <row r="287" spans="9:9" ht="14.25" customHeight="1">
      <c r="I287" s="22"/>
    </row>
    <row r="288" spans="9:9" ht="14.25" customHeight="1">
      <c r="I288" s="22"/>
    </row>
    <row r="289" spans="9:9" ht="14.25" customHeight="1">
      <c r="I289" s="22"/>
    </row>
    <row r="290" spans="9:9" ht="14.25" customHeight="1">
      <c r="I290" s="22"/>
    </row>
    <row r="291" spans="9:9" ht="14.25" customHeight="1">
      <c r="I291" s="22"/>
    </row>
    <row r="292" spans="9:9" ht="14.25" customHeight="1">
      <c r="I292" s="22"/>
    </row>
    <row r="293" spans="9:9" ht="14.25" customHeight="1">
      <c r="I293" s="22"/>
    </row>
    <row r="294" spans="9:9" ht="14.25" customHeight="1">
      <c r="I294" s="22"/>
    </row>
    <row r="295" spans="9:9" ht="14.25" customHeight="1">
      <c r="I295" s="22"/>
    </row>
    <row r="296" spans="9:9" ht="14.25" customHeight="1">
      <c r="I296" s="22"/>
    </row>
    <row r="297" spans="9:9" ht="14.25" customHeight="1">
      <c r="I297" s="22"/>
    </row>
    <row r="298" spans="9:9" ht="14.25" customHeight="1">
      <c r="I298" s="22"/>
    </row>
    <row r="299" spans="9:9" ht="14.25" customHeight="1">
      <c r="I299" s="22"/>
    </row>
    <row r="300" spans="9:9" ht="14.25" customHeight="1">
      <c r="I300" s="22"/>
    </row>
    <row r="301" spans="9:9" ht="14.25" customHeight="1">
      <c r="I301" s="22"/>
    </row>
    <row r="302" spans="9:9" ht="14.25" customHeight="1">
      <c r="I302" s="22"/>
    </row>
    <row r="303" spans="9:9" ht="14.25" customHeight="1">
      <c r="I303" s="22"/>
    </row>
    <row r="304" spans="9:9" ht="14.25" customHeight="1">
      <c r="I304" s="22"/>
    </row>
    <row r="305" spans="9:9" ht="14.25" customHeight="1">
      <c r="I305" s="22"/>
    </row>
    <row r="306" spans="9:9" ht="14.25" customHeight="1">
      <c r="I306" s="22"/>
    </row>
    <row r="307" spans="9:9" ht="14.25" customHeight="1">
      <c r="I307" s="22"/>
    </row>
    <row r="308" spans="9:9" ht="14.25" customHeight="1">
      <c r="I308" s="22"/>
    </row>
    <row r="309" spans="9:9" ht="14.25" customHeight="1">
      <c r="I309" s="22"/>
    </row>
    <row r="310" spans="9:9" ht="14.25" customHeight="1">
      <c r="I310" s="22"/>
    </row>
    <row r="311" spans="9:9" ht="14.25" customHeight="1">
      <c r="I311" s="22"/>
    </row>
    <row r="312" spans="9:9" ht="14.25" customHeight="1">
      <c r="I312" s="22"/>
    </row>
    <row r="313" spans="9:9" ht="14.25" customHeight="1">
      <c r="I313" s="22"/>
    </row>
    <row r="314" spans="9:9" ht="14.25" customHeight="1">
      <c r="I314" s="22"/>
    </row>
    <row r="315" spans="9:9" ht="14.25" customHeight="1">
      <c r="I315" s="22"/>
    </row>
    <row r="316" spans="9:9" ht="14.25" customHeight="1">
      <c r="I316" s="22"/>
    </row>
    <row r="317" spans="9:9" ht="14.25" customHeight="1">
      <c r="I317" s="22"/>
    </row>
    <row r="318" spans="9:9" ht="14.25" customHeight="1">
      <c r="I318" s="22"/>
    </row>
    <row r="319" spans="9:9" ht="14.25" customHeight="1">
      <c r="I319" s="22"/>
    </row>
    <row r="320" spans="9:9" ht="14.25" customHeight="1">
      <c r="I320" s="22"/>
    </row>
    <row r="321" spans="9:9" ht="14.25" customHeight="1">
      <c r="I321" s="22"/>
    </row>
    <row r="322" spans="9:9" ht="14.25" customHeight="1">
      <c r="I322" s="22"/>
    </row>
    <row r="323" spans="9:9" ht="14.25" customHeight="1">
      <c r="I323" s="22"/>
    </row>
    <row r="324" spans="9:9" ht="14.25" customHeight="1">
      <c r="I324" s="22"/>
    </row>
    <row r="325" spans="9:9" ht="14.25" customHeight="1">
      <c r="I325" s="22"/>
    </row>
    <row r="326" spans="9:9" ht="14.25" customHeight="1">
      <c r="I326" s="22"/>
    </row>
    <row r="327" spans="9:9" ht="14.25" customHeight="1">
      <c r="I327" s="22"/>
    </row>
    <row r="328" spans="9:9" ht="14.25" customHeight="1">
      <c r="I328" s="22"/>
    </row>
    <row r="329" spans="9:9" ht="14.25" customHeight="1">
      <c r="I329" s="22"/>
    </row>
    <row r="330" spans="9:9" ht="14.25" customHeight="1">
      <c r="I330" s="22"/>
    </row>
    <row r="331" spans="9:9" ht="14.25" customHeight="1">
      <c r="I331" s="22"/>
    </row>
    <row r="332" spans="9:9" ht="14.25" customHeight="1">
      <c r="I332" s="22"/>
    </row>
    <row r="333" spans="9:9" ht="14.25" customHeight="1">
      <c r="I333" s="22"/>
    </row>
    <row r="334" spans="9:9" ht="14.25" customHeight="1">
      <c r="I334" s="22"/>
    </row>
    <row r="335" spans="9:9" ht="14.25" customHeight="1">
      <c r="I335" s="22"/>
    </row>
    <row r="336" spans="9:9" ht="14.25" customHeight="1">
      <c r="I336" s="22"/>
    </row>
    <row r="337" spans="9:9" ht="14.25" customHeight="1">
      <c r="I337" s="22"/>
    </row>
    <row r="338" spans="9:9" ht="14.25" customHeight="1">
      <c r="I338" s="22"/>
    </row>
    <row r="339" spans="9:9" ht="14.25" customHeight="1">
      <c r="I339" s="22"/>
    </row>
    <row r="340" spans="9:9" ht="14.25" customHeight="1">
      <c r="I340" s="22"/>
    </row>
    <row r="341" spans="9:9" ht="14.25" customHeight="1">
      <c r="I341" s="22"/>
    </row>
    <row r="342" spans="9:9" ht="14.25" customHeight="1">
      <c r="I342" s="22"/>
    </row>
    <row r="343" spans="9:9" ht="14.25" customHeight="1">
      <c r="I343" s="22"/>
    </row>
    <row r="344" spans="9:9" ht="14.25" customHeight="1">
      <c r="I344" s="22"/>
    </row>
    <row r="345" spans="9:9" ht="14.25" customHeight="1">
      <c r="I345" s="22"/>
    </row>
    <row r="346" spans="9:9" ht="14.25" customHeight="1">
      <c r="I346" s="22"/>
    </row>
    <row r="347" spans="9:9" ht="14.25" customHeight="1">
      <c r="I347" s="22"/>
    </row>
    <row r="348" spans="9:9" ht="14.25" customHeight="1">
      <c r="I348" s="22"/>
    </row>
    <row r="349" spans="9:9" ht="14.25" customHeight="1">
      <c r="I349" s="22"/>
    </row>
    <row r="350" spans="9:9" ht="14.25" customHeight="1">
      <c r="I350" s="22"/>
    </row>
    <row r="351" spans="9:9" ht="14.25" customHeight="1">
      <c r="I351" s="22"/>
    </row>
    <row r="352" spans="9:9" ht="14.25" customHeight="1">
      <c r="I352" s="22"/>
    </row>
    <row r="353" spans="9:9" ht="14.25" customHeight="1">
      <c r="I353" s="22"/>
    </row>
    <row r="354" spans="9:9" ht="14.25" customHeight="1">
      <c r="I354" s="22"/>
    </row>
    <row r="355" spans="9:9" ht="14.25" customHeight="1">
      <c r="I355" s="22"/>
    </row>
    <row r="356" spans="9:9" ht="14.25" customHeight="1">
      <c r="I356" s="22"/>
    </row>
    <row r="357" spans="9:9" ht="14.25" customHeight="1">
      <c r="I357" s="22"/>
    </row>
    <row r="358" spans="9:9" ht="14.25" customHeight="1">
      <c r="I358" s="22"/>
    </row>
    <row r="359" spans="9:9" ht="14.25" customHeight="1">
      <c r="I359" s="22"/>
    </row>
    <row r="360" spans="9:9" ht="14.25" customHeight="1">
      <c r="I360" s="22"/>
    </row>
    <row r="361" spans="9:9" ht="14.25" customHeight="1">
      <c r="I361" s="22"/>
    </row>
    <row r="362" spans="9:9" ht="14.25" customHeight="1">
      <c r="I362" s="22"/>
    </row>
    <row r="363" spans="9:9" ht="14.25" customHeight="1">
      <c r="I363" s="22"/>
    </row>
    <row r="364" spans="9:9" ht="14.25" customHeight="1">
      <c r="I364" s="22"/>
    </row>
    <row r="365" spans="9:9" ht="14.25" customHeight="1">
      <c r="I365" s="22"/>
    </row>
    <row r="366" spans="9:9" ht="14.25" customHeight="1">
      <c r="I366" s="22"/>
    </row>
    <row r="367" spans="9:9" ht="14.25" customHeight="1">
      <c r="I367" s="22"/>
    </row>
    <row r="368" spans="9:9" ht="14.25" customHeight="1">
      <c r="I368" s="22"/>
    </row>
    <row r="369" spans="9:9" ht="14.25" customHeight="1">
      <c r="I369" s="22"/>
    </row>
    <row r="370" spans="9:9" ht="14.25" customHeight="1">
      <c r="I370" s="22"/>
    </row>
    <row r="371" spans="9:9" ht="14.25" customHeight="1">
      <c r="I371" s="22"/>
    </row>
    <row r="372" spans="9:9" ht="14.25" customHeight="1">
      <c r="I372" s="22"/>
    </row>
    <row r="373" spans="9:9" ht="14.25" customHeight="1">
      <c r="I373" s="22"/>
    </row>
    <row r="374" spans="9:9" ht="14.25" customHeight="1">
      <c r="I374" s="22"/>
    </row>
    <row r="375" spans="9:9" ht="14.25" customHeight="1">
      <c r="I375" s="22"/>
    </row>
    <row r="376" spans="9:9" ht="14.25" customHeight="1">
      <c r="I376" s="22"/>
    </row>
    <row r="377" spans="9:9" ht="14.25" customHeight="1">
      <c r="I377" s="22"/>
    </row>
    <row r="378" spans="9:9" ht="14.25" customHeight="1">
      <c r="I378" s="22"/>
    </row>
    <row r="379" spans="9:9" ht="14.25" customHeight="1">
      <c r="I379" s="22"/>
    </row>
    <row r="380" spans="9:9" ht="14.25" customHeight="1">
      <c r="I380" s="22"/>
    </row>
    <row r="381" spans="9:9" ht="14.25" customHeight="1">
      <c r="I381" s="22"/>
    </row>
    <row r="382" spans="9:9" ht="14.25" customHeight="1">
      <c r="I382" s="22"/>
    </row>
    <row r="383" spans="9:9" ht="14.25" customHeight="1">
      <c r="I383" s="22"/>
    </row>
    <row r="384" spans="9:9" ht="14.25" customHeight="1">
      <c r="I384" s="22"/>
    </row>
    <row r="385" spans="9:9" ht="14.25" customHeight="1">
      <c r="I385" s="22"/>
    </row>
    <row r="386" spans="9:9" ht="14.25" customHeight="1">
      <c r="I386" s="22"/>
    </row>
    <row r="387" spans="9:9" ht="14.25" customHeight="1">
      <c r="I387" s="22"/>
    </row>
    <row r="388" spans="9:9" ht="14.25" customHeight="1">
      <c r="I388" s="22"/>
    </row>
    <row r="389" spans="9:9" ht="14.25" customHeight="1">
      <c r="I389" s="22"/>
    </row>
    <row r="390" spans="9:9" ht="14.25" customHeight="1">
      <c r="I390" s="22"/>
    </row>
    <row r="391" spans="9:9" ht="14.25" customHeight="1">
      <c r="I391" s="22"/>
    </row>
    <row r="392" spans="9:9" ht="14.25" customHeight="1">
      <c r="I392" s="22"/>
    </row>
    <row r="393" spans="9:9" ht="14.25" customHeight="1">
      <c r="I393" s="22"/>
    </row>
    <row r="394" spans="9:9" ht="14.25" customHeight="1">
      <c r="I394" s="22"/>
    </row>
    <row r="395" spans="9:9" ht="14.25" customHeight="1">
      <c r="I395" s="22"/>
    </row>
    <row r="396" spans="9:9" ht="14.25" customHeight="1">
      <c r="I396" s="22"/>
    </row>
    <row r="397" spans="9:9" ht="14.25" customHeight="1">
      <c r="I397" s="22"/>
    </row>
    <row r="398" spans="9:9" ht="14.25" customHeight="1">
      <c r="I398" s="22"/>
    </row>
    <row r="399" spans="9:9" ht="14.25" customHeight="1">
      <c r="I399" s="22"/>
    </row>
    <row r="400" spans="9:9" ht="14.25" customHeight="1">
      <c r="I400" s="22"/>
    </row>
    <row r="401" spans="9:9" ht="14.25" customHeight="1">
      <c r="I401" s="22"/>
    </row>
    <row r="402" spans="9:9" ht="14.25" customHeight="1">
      <c r="I402" s="22"/>
    </row>
    <row r="403" spans="9:9" ht="14.25" customHeight="1">
      <c r="I403" s="22"/>
    </row>
    <row r="404" spans="9:9" ht="14.25" customHeight="1">
      <c r="I404" s="22"/>
    </row>
    <row r="405" spans="9:9" ht="14.25" customHeight="1">
      <c r="I405" s="22"/>
    </row>
    <row r="406" spans="9:9" ht="14.25" customHeight="1">
      <c r="I406" s="22"/>
    </row>
    <row r="407" spans="9:9" ht="14.25" customHeight="1">
      <c r="I407" s="22"/>
    </row>
    <row r="408" spans="9:9" ht="14.25" customHeight="1">
      <c r="I408" s="22"/>
    </row>
    <row r="409" spans="9:9" ht="14.25" customHeight="1">
      <c r="I409" s="22"/>
    </row>
    <row r="410" spans="9:9" ht="14.25" customHeight="1">
      <c r="I410" s="22"/>
    </row>
    <row r="411" spans="9:9" ht="14.25" customHeight="1">
      <c r="I411" s="22"/>
    </row>
    <row r="412" spans="9:9" ht="14.25" customHeight="1">
      <c r="I412" s="22"/>
    </row>
    <row r="413" spans="9:9" ht="14.25" customHeight="1">
      <c r="I413" s="22"/>
    </row>
    <row r="414" spans="9:9" ht="14.25" customHeight="1">
      <c r="I414" s="22"/>
    </row>
    <row r="415" spans="9:9" ht="14.25" customHeight="1">
      <c r="I415" s="22"/>
    </row>
    <row r="416" spans="9:9" ht="14.25" customHeight="1">
      <c r="I416" s="22"/>
    </row>
    <row r="417" spans="9:9" ht="14.25" customHeight="1">
      <c r="I417" s="22"/>
    </row>
    <row r="418" spans="9:9" ht="14.25" customHeight="1">
      <c r="I418" s="22"/>
    </row>
    <row r="419" spans="9:9" ht="14.25" customHeight="1">
      <c r="I419" s="22"/>
    </row>
    <row r="420" spans="9:9" ht="14.25" customHeight="1">
      <c r="I420" s="22"/>
    </row>
    <row r="421" spans="9:9" ht="14.25" customHeight="1">
      <c r="I421" s="22"/>
    </row>
    <row r="422" spans="9:9" ht="14.25" customHeight="1">
      <c r="I422" s="22"/>
    </row>
    <row r="423" spans="9:9" ht="14.25" customHeight="1">
      <c r="I423" s="22"/>
    </row>
    <row r="424" spans="9:9" ht="14.25" customHeight="1">
      <c r="I424" s="22"/>
    </row>
    <row r="425" spans="9:9" ht="14.25" customHeight="1">
      <c r="I425" s="22"/>
    </row>
    <row r="426" spans="9:9" ht="14.25" customHeight="1">
      <c r="I426" s="22"/>
    </row>
    <row r="427" spans="9:9" ht="14.25" customHeight="1">
      <c r="I427" s="22"/>
    </row>
    <row r="428" spans="9:9" ht="14.25" customHeight="1">
      <c r="I428" s="22"/>
    </row>
    <row r="429" spans="9:9" ht="14.25" customHeight="1">
      <c r="I429" s="22"/>
    </row>
    <row r="430" spans="9:9" ht="14.25" customHeight="1">
      <c r="I430" s="22"/>
    </row>
    <row r="431" spans="9:9" ht="14.25" customHeight="1">
      <c r="I431" s="22"/>
    </row>
    <row r="432" spans="9:9" ht="14.25" customHeight="1">
      <c r="I432" s="22"/>
    </row>
    <row r="433" spans="9:9" ht="14.25" customHeight="1">
      <c r="I433" s="22"/>
    </row>
    <row r="434" spans="9:9" ht="14.25" customHeight="1">
      <c r="I434" s="22"/>
    </row>
    <row r="435" spans="9:9" ht="14.25" customHeight="1">
      <c r="I435" s="22"/>
    </row>
    <row r="436" spans="9:9" ht="14.25" customHeight="1">
      <c r="I436" s="22"/>
    </row>
    <row r="437" spans="9:9" ht="14.25" customHeight="1">
      <c r="I437" s="22"/>
    </row>
    <row r="438" spans="9:9" ht="14.25" customHeight="1">
      <c r="I438" s="22"/>
    </row>
    <row r="439" spans="9:9" ht="14.25" customHeight="1">
      <c r="I439" s="22"/>
    </row>
    <row r="440" spans="9:9" ht="14.25" customHeight="1">
      <c r="I440" s="22"/>
    </row>
    <row r="441" spans="9:9" ht="14.25" customHeight="1">
      <c r="I441" s="22"/>
    </row>
    <row r="442" spans="9:9" ht="14.25" customHeight="1">
      <c r="I442" s="22"/>
    </row>
    <row r="443" spans="9:9" ht="14.25" customHeight="1">
      <c r="I443" s="22"/>
    </row>
    <row r="444" spans="9:9" ht="14.25" customHeight="1">
      <c r="I444" s="22"/>
    </row>
    <row r="445" spans="9:9" ht="14.25" customHeight="1">
      <c r="I445" s="22"/>
    </row>
    <row r="446" spans="9:9" ht="14.25" customHeight="1">
      <c r="I446" s="22"/>
    </row>
    <row r="447" spans="9:9" ht="14.25" customHeight="1">
      <c r="I447" s="22"/>
    </row>
    <row r="448" spans="9:9" ht="14.25" customHeight="1">
      <c r="I448" s="22"/>
    </row>
    <row r="449" spans="9:9" ht="14.25" customHeight="1">
      <c r="I449" s="22"/>
    </row>
    <row r="450" spans="9:9" ht="14.25" customHeight="1">
      <c r="I450" s="22"/>
    </row>
    <row r="451" spans="9:9" ht="14.25" customHeight="1">
      <c r="I451" s="22"/>
    </row>
    <row r="452" spans="9:9" ht="14.25" customHeight="1">
      <c r="I452" s="22"/>
    </row>
    <row r="453" spans="9:9" ht="14.25" customHeight="1">
      <c r="I453" s="22"/>
    </row>
    <row r="454" spans="9:9" ht="14.25" customHeight="1">
      <c r="I454" s="22"/>
    </row>
    <row r="455" spans="9:9" ht="14.25" customHeight="1">
      <c r="I455" s="22"/>
    </row>
    <row r="456" spans="9:9" ht="14.25" customHeight="1">
      <c r="I456" s="22"/>
    </row>
    <row r="457" spans="9:9" ht="14.25" customHeight="1">
      <c r="I457" s="22"/>
    </row>
    <row r="458" spans="9:9" ht="14.25" customHeight="1">
      <c r="I458" s="22"/>
    </row>
    <row r="459" spans="9:9" ht="14.25" customHeight="1">
      <c r="I459" s="22"/>
    </row>
    <row r="460" spans="9:9" ht="14.25" customHeight="1">
      <c r="I460" s="22"/>
    </row>
    <row r="461" spans="9:9" ht="14.25" customHeight="1">
      <c r="I461" s="22"/>
    </row>
    <row r="462" spans="9:9" ht="14.25" customHeight="1">
      <c r="I462" s="22"/>
    </row>
    <row r="463" spans="9:9" ht="14.25" customHeight="1">
      <c r="I463" s="22"/>
    </row>
    <row r="464" spans="9:9" ht="14.25" customHeight="1">
      <c r="I464" s="22"/>
    </row>
    <row r="465" spans="9:9" ht="14.25" customHeight="1">
      <c r="I465" s="22"/>
    </row>
    <row r="466" spans="9:9" ht="14.25" customHeight="1">
      <c r="I466" s="22"/>
    </row>
    <row r="467" spans="9:9" ht="14.25" customHeight="1">
      <c r="I467" s="22"/>
    </row>
    <row r="468" spans="9:9" ht="14.25" customHeight="1">
      <c r="I468" s="22"/>
    </row>
    <row r="469" spans="9:9" ht="14.25" customHeight="1">
      <c r="I469" s="22"/>
    </row>
    <row r="470" spans="9:9" ht="14.25" customHeight="1">
      <c r="I470" s="22"/>
    </row>
    <row r="471" spans="9:9" ht="14.25" customHeight="1">
      <c r="I471" s="22"/>
    </row>
    <row r="472" spans="9:9" ht="14.25" customHeight="1">
      <c r="I472" s="22"/>
    </row>
    <row r="473" spans="9:9" ht="14.25" customHeight="1">
      <c r="I473" s="22"/>
    </row>
    <row r="474" spans="9:9" ht="14.25" customHeight="1">
      <c r="I474" s="22"/>
    </row>
    <row r="475" spans="9:9" ht="14.25" customHeight="1">
      <c r="I475" s="22"/>
    </row>
    <row r="476" spans="9:9" ht="14.25" customHeight="1">
      <c r="I476" s="22"/>
    </row>
    <row r="477" spans="9:9" ht="14.25" customHeight="1">
      <c r="I477" s="22"/>
    </row>
    <row r="478" spans="9:9" ht="14.25" customHeight="1">
      <c r="I478" s="22"/>
    </row>
    <row r="479" spans="9:9" ht="14.25" customHeight="1">
      <c r="I479" s="22"/>
    </row>
    <row r="480" spans="9:9" ht="14.25" customHeight="1">
      <c r="I480" s="22"/>
    </row>
    <row r="481" spans="9:9" ht="14.25" customHeight="1">
      <c r="I481" s="22"/>
    </row>
    <row r="482" spans="9:9" ht="14.25" customHeight="1">
      <c r="I482" s="22"/>
    </row>
    <row r="483" spans="9:9" ht="14.25" customHeight="1">
      <c r="I483" s="22"/>
    </row>
    <row r="484" spans="9:9" ht="14.25" customHeight="1">
      <c r="I484" s="22"/>
    </row>
    <row r="485" spans="9:9" ht="14.25" customHeight="1">
      <c r="I485" s="22"/>
    </row>
    <row r="486" spans="9:9" ht="14.25" customHeight="1">
      <c r="I486" s="22"/>
    </row>
    <row r="487" spans="9:9" ht="14.25" customHeight="1">
      <c r="I487" s="22"/>
    </row>
    <row r="488" spans="9:9" ht="14.25" customHeight="1">
      <c r="I488" s="22"/>
    </row>
    <row r="489" spans="9:9" ht="14.25" customHeight="1">
      <c r="I489" s="22"/>
    </row>
    <row r="490" spans="9:9" ht="14.25" customHeight="1">
      <c r="I490" s="22"/>
    </row>
    <row r="491" spans="9:9" ht="14.25" customHeight="1">
      <c r="I491" s="22"/>
    </row>
    <row r="492" spans="9:9" ht="14.25" customHeight="1">
      <c r="I492" s="22"/>
    </row>
    <row r="493" spans="9:9" ht="14.25" customHeight="1">
      <c r="I493" s="22"/>
    </row>
    <row r="494" spans="9:9" ht="14.25" customHeight="1">
      <c r="I494" s="22"/>
    </row>
    <row r="495" spans="9:9" ht="14.25" customHeight="1">
      <c r="I495" s="22"/>
    </row>
    <row r="496" spans="9:9" ht="14.25" customHeight="1">
      <c r="I496" s="22"/>
    </row>
    <row r="497" spans="9:9" ht="14.25" customHeight="1">
      <c r="I497" s="22"/>
    </row>
    <row r="498" spans="9:9" ht="14.25" customHeight="1">
      <c r="I498" s="22"/>
    </row>
    <row r="499" spans="9:9" ht="14.25" customHeight="1">
      <c r="I499" s="22"/>
    </row>
    <row r="500" spans="9:9" ht="14.25" customHeight="1">
      <c r="I500" s="22"/>
    </row>
    <row r="501" spans="9:9" ht="14.25" customHeight="1">
      <c r="I501" s="22"/>
    </row>
    <row r="502" spans="9:9" ht="14.25" customHeight="1">
      <c r="I502" s="22"/>
    </row>
    <row r="503" spans="9:9" ht="14.25" customHeight="1">
      <c r="I503" s="22"/>
    </row>
    <row r="504" spans="9:9" ht="14.25" customHeight="1">
      <c r="I504" s="22"/>
    </row>
    <row r="505" spans="9:9" ht="14.25" customHeight="1">
      <c r="I505" s="22"/>
    </row>
    <row r="506" spans="9:9" ht="14.25" customHeight="1">
      <c r="I506" s="22"/>
    </row>
    <row r="507" spans="9:9" ht="14.25" customHeight="1">
      <c r="I507" s="22"/>
    </row>
    <row r="508" spans="9:9" ht="14.25" customHeight="1">
      <c r="I508" s="22"/>
    </row>
    <row r="509" spans="9:9" ht="14.25" customHeight="1">
      <c r="I509" s="22"/>
    </row>
    <row r="510" spans="9:9" ht="14.25" customHeight="1">
      <c r="I510" s="22"/>
    </row>
    <row r="511" spans="9:9" ht="14.25" customHeight="1">
      <c r="I511" s="22"/>
    </row>
    <row r="512" spans="9:9" ht="14.25" customHeight="1">
      <c r="I512" s="22"/>
    </row>
    <row r="513" spans="9:9" ht="14.25" customHeight="1">
      <c r="I513" s="22"/>
    </row>
    <row r="514" spans="9:9" ht="14.25" customHeight="1">
      <c r="I514" s="22"/>
    </row>
    <row r="515" spans="9:9" ht="14.25" customHeight="1">
      <c r="I515" s="22"/>
    </row>
    <row r="516" spans="9:9" ht="14.25" customHeight="1">
      <c r="I516" s="22"/>
    </row>
    <row r="517" spans="9:9" ht="14.25" customHeight="1">
      <c r="I517" s="22"/>
    </row>
    <row r="518" spans="9:9" ht="14.25" customHeight="1">
      <c r="I518" s="22"/>
    </row>
    <row r="519" spans="9:9" ht="14.25" customHeight="1">
      <c r="I519" s="22"/>
    </row>
    <row r="520" spans="9:9" ht="14.25" customHeight="1">
      <c r="I520" s="22"/>
    </row>
    <row r="521" spans="9:9" ht="14.25" customHeight="1">
      <c r="I521" s="22"/>
    </row>
    <row r="522" spans="9:9" ht="14.25" customHeight="1">
      <c r="I522" s="22"/>
    </row>
    <row r="523" spans="9:9" ht="14.25" customHeight="1">
      <c r="I523" s="22"/>
    </row>
    <row r="524" spans="9:9" ht="14.25" customHeight="1">
      <c r="I524" s="22"/>
    </row>
    <row r="525" spans="9:9" ht="14.25" customHeight="1">
      <c r="I525" s="22"/>
    </row>
    <row r="526" spans="9:9" ht="14.25" customHeight="1">
      <c r="I526" s="22"/>
    </row>
    <row r="527" spans="9:9" ht="14.25" customHeight="1">
      <c r="I527" s="22"/>
    </row>
    <row r="528" spans="9:9" ht="14.25" customHeight="1">
      <c r="I528" s="22"/>
    </row>
    <row r="529" spans="9:9" ht="14.25" customHeight="1">
      <c r="I529" s="22"/>
    </row>
    <row r="530" spans="9:9" ht="14.25" customHeight="1">
      <c r="I530" s="22"/>
    </row>
    <row r="531" spans="9:9" ht="14.25" customHeight="1">
      <c r="I531" s="22"/>
    </row>
    <row r="532" spans="9:9" ht="14.25" customHeight="1">
      <c r="I532" s="22"/>
    </row>
    <row r="533" spans="9:9" ht="14.25" customHeight="1">
      <c r="I533" s="22"/>
    </row>
    <row r="534" spans="9:9" ht="14.25" customHeight="1">
      <c r="I534" s="22"/>
    </row>
    <row r="535" spans="9:9" ht="14.25" customHeight="1">
      <c r="I535" s="22"/>
    </row>
    <row r="536" spans="9:9" ht="14.25" customHeight="1">
      <c r="I536" s="22"/>
    </row>
    <row r="537" spans="9:9" ht="14.25" customHeight="1">
      <c r="I537" s="22"/>
    </row>
    <row r="538" spans="9:9" ht="14.25" customHeight="1">
      <c r="I538" s="22"/>
    </row>
    <row r="539" spans="9:9" ht="14.25" customHeight="1">
      <c r="I539" s="22"/>
    </row>
    <row r="540" spans="9:9" ht="14.25" customHeight="1">
      <c r="I540" s="22"/>
    </row>
    <row r="541" spans="9:9" ht="14.25" customHeight="1">
      <c r="I541" s="22"/>
    </row>
    <row r="542" spans="9:9" ht="14.25" customHeight="1">
      <c r="I542" s="22"/>
    </row>
    <row r="543" spans="9:9" ht="14.25" customHeight="1">
      <c r="I543" s="22"/>
    </row>
    <row r="544" spans="9:9" ht="14.25" customHeight="1">
      <c r="I544" s="22"/>
    </row>
    <row r="545" spans="9:9" ht="14.25" customHeight="1">
      <c r="I545" s="22"/>
    </row>
    <row r="546" spans="9:9" ht="14.25" customHeight="1">
      <c r="I546" s="22"/>
    </row>
    <row r="547" spans="9:9" ht="14.25" customHeight="1">
      <c r="I547" s="22"/>
    </row>
    <row r="548" spans="9:9" ht="14.25" customHeight="1">
      <c r="I548" s="22"/>
    </row>
    <row r="549" spans="9:9" ht="14.25" customHeight="1">
      <c r="I549" s="22"/>
    </row>
    <row r="550" spans="9:9" ht="14.25" customHeight="1">
      <c r="I550" s="22"/>
    </row>
    <row r="551" spans="9:9" ht="14.25" customHeight="1">
      <c r="I551" s="22"/>
    </row>
    <row r="552" spans="9:9" ht="14.25" customHeight="1">
      <c r="I552" s="22"/>
    </row>
    <row r="553" spans="9:9" ht="14.25" customHeight="1">
      <c r="I553" s="22"/>
    </row>
    <row r="554" spans="9:9" ht="14.25" customHeight="1">
      <c r="I554" s="22"/>
    </row>
    <row r="555" spans="9:9" ht="14.25" customHeight="1">
      <c r="I555" s="22"/>
    </row>
    <row r="556" spans="9:9" ht="14.25" customHeight="1">
      <c r="I556" s="22"/>
    </row>
    <row r="557" spans="9:9" ht="14.25" customHeight="1">
      <c r="I557" s="22"/>
    </row>
    <row r="558" spans="9:9" ht="14.25" customHeight="1">
      <c r="I558" s="22"/>
    </row>
    <row r="559" spans="9:9" ht="14.25" customHeight="1">
      <c r="I559" s="22"/>
    </row>
    <row r="560" spans="9:9" ht="14.25" customHeight="1">
      <c r="I560" s="22"/>
    </row>
    <row r="561" spans="9:9" ht="14.25" customHeight="1">
      <c r="I561" s="22"/>
    </row>
    <row r="562" spans="9:9" ht="14.25" customHeight="1">
      <c r="I562" s="22"/>
    </row>
    <row r="563" spans="9:9" ht="14.25" customHeight="1">
      <c r="I563" s="22"/>
    </row>
    <row r="564" spans="9:9" ht="14.25" customHeight="1">
      <c r="I564" s="22"/>
    </row>
    <row r="565" spans="9:9" ht="14.25" customHeight="1">
      <c r="I565" s="22"/>
    </row>
    <row r="566" spans="9:9" ht="14.25" customHeight="1">
      <c r="I566" s="22"/>
    </row>
    <row r="567" spans="9:9" ht="14.25" customHeight="1">
      <c r="I567" s="22"/>
    </row>
    <row r="568" spans="9:9" ht="14.25" customHeight="1">
      <c r="I568" s="22"/>
    </row>
    <row r="569" spans="9:9" ht="14.25" customHeight="1">
      <c r="I569" s="22"/>
    </row>
    <row r="570" spans="9:9" ht="14.25" customHeight="1">
      <c r="I570" s="22"/>
    </row>
    <row r="571" spans="9:9" ht="14.25" customHeight="1">
      <c r="I571" s="22"/>
    </row>
    <row r="572" spans="9:9" ht="14.25" customHeight="1">
      <c r="I572" s="22"/>
    </row>
    <row r="573" spans="9:9" ht="14.25" customHeight="1">
      <c r="I573" s="22"/>
    </row>
    <row r="574" spans="9:9" ht="14.25" customHeight="1">
      <c r="I574" s="22"/>
    </row>
    <row r="575" spans="9:9" ht="14.25" customHeight="1">
      <c r="I575" s="22"/>
    </row>
    <row r="576" spans="9:9" ht="14.25" customHeight="1">
      <c r="I576" s="22"/>
    </row>
    <row r="577" spans="9:9" ht="14.25" customHeight="1">
      <c r="I577" s="22"/>
    </row>
    <row r="578" spans="9:9" ht="14.25" customHeight="1">
      <c r="I578" s="22"/>
    </row>
    <row r="579" spans="9:9" ht="14.25" customHeight="1">
      <c r="I579" s="22"/>
    </row>
    <row r="580" spans="9:9" ht="14.25" customHeight="1">
      <c r="I580" s="22"/>
    </row>
    <row r="581" spans="9:9" ht="14.25" customHeight="1">
      <c r="I581" s="22"/>
    </row>
    <row r="582" spans="9:9" ht="14.25" customHeight="1">
      <c r="I582" s="22"/>
    </row>
    <row r="583" spans="9:9" ht="14.25" customHeight="1">
      <c r="I583" s="22"/>
    </row>
    <row r="584" spans="9:9" ht="14.25" customHeight="1">
      <c r="I584" s="22"/>
    </row>
    <row r="585" spans="9:9" ht="14.25" customHeight="1">
      <c r="I585" s="22"/>
    </row>
    <row r="586" spans="9:9" ht="14.25" customHeight="1">
      <c r="I586" s="22"/>
    </row>
    <row r="587" spans="9:9" ht="14.25" customHeight="1">
      <c r="I587" s="22"/>
    </row>
    <row r="588" spans="9:9" ht="14.25" customHeight="1">
      <c r="I588" s="22"/>
    </row>
    <row r="589" spans="9:9" ht="14.25" customHeight="1">
      <c r="I589" s="22"/>
    </row>
    <row r="590" spans="9:9" ht="14.25" customHeight="1">
      <c r="I590" s="22"/>
    </row>
    <row r="591" spans="9:9" ht="14.25" customHeight="1">
      <c r="I591" s="22"/>
    </row>
    <row r="592" spans="9:9" ht="14.25" customHeight="1">
      <c r="I592" s="22"/>
    </row>
    <row r="593" spans="9:9" ht="14.25" customHeight="1">
      <c r="I593" s="22"/>
    </row>
    <row r="594" spans="9:9" ht="14.25" customHeight="1">
      <c r="I594" s="22"/>
    </row>
    <row r="595" spans="9:9" ht="14.25" customHeight="1">
      <c r="I595" s="22"/>
    </row>
    <row r="596" spans="9:9" ht="14.25" customHeight="1">
      <c r="I596" s="22"/>
    </row>
    <row r="597" spans="9:9" ht="14.25" customHeight="1">
      <c r="I597" s="22"/>
    </row>
    <row r="598" spans="9:9" ht="14.25" customHeight="1">
      <c r="I598" s="22"/>
    </row>
    <row r="599" spans="9:9" ht="14.25" customHeight="1">
      <c r="I599" s="22"/>
    </row>
    <row r="600" spans="9:9" ht="14.25" customHeight="1">
      <c r="I600" s="22"/>
    </row>
    <row r="601" spans="9:9" ht="14.25" customHeight="1">
      <c r="I601" s="22"/>
    </row>
    <row r="602" spans="9:9" ht="14.25" customHeight="1">
      <c r="I602" s="22"/>
    </row>
    <row r="603" spans="9:9" ht="14.25" customHeight="1">
      <c r="I603" s="22"/>
    </row>
    <row r="604" spans="9:9" ht="14.25" customHeight="1">
      <c r="I604" s="22"/>
    </row>
    <row r="605" spans="9:9" ht="14.25" customHeight="1">
      <c r="I605" s="22"/>
    </row>
    <row r="606" spans="9:9" ht="14.25" customHeight="1">
      <c r="I606" s="22"/>
    </row>
    <row r="607" spans="9:9" ht="14.25" customHeight="1">
      <c r="I607" s="22"/>
    </row>
    <row r="608" spans="9:9" ht="14.25" customHeight="1">
      <c r="I608" s="22"/>
    </row>
    <row r="609" spans="9:9" ht="14.25" customHeight="1">
      <c r="I609" s="22"/>
    </row>
    <row r="610" spans="9:9" ht="14.25" customHeight="1">
      <c r="I610" s="22"/>
    </row>
    <row r="611" spans="9:9" ht="14.25" customHeight="1">
      <c r="I611" s="22"/>
    </row>
    <row r="612" spans="9:9" ht="14.25" customHeight="1">
      <c r="I612" s="22"/>
    </row>
    <row r="613" spans="9:9" ht="14.25" customHeight="1">
      <c r="I613" s="22"/>
    </row>
    <row r="614" spans="9:9" ht="14.25" customHeight="1">
      <c r="I614" s="22"/>
    </row>
    <row r="615" spans="9:9" ht="14.25" customHeight="1">
      <c r="I615" s="22"/>
    </row>
    <row r="616" spans="9:9" ht="14.25" customHeight="1">
      <c r="I616" s="22"/>
    </row>
    <row r="617" spans="9:9" ht="14.25" customHeight="1">
      <c r="I617" s="22"/>
    </row>
    <row r="618" spans="9:9" ht="14.25" customHeight="1">
      <c r="I618" s="22"/>
    </row>
    <row r="619" spans="9:9" ht="14.25" customHeight="1">
      <c r="I619" s="22"/>
    </row>
    <row r="620" spans="9:9" ht="14.25" customHeight="1">
      <c r="I620" s="22"/>
    </row>
    <row r="621" spans="9:9" ht="14.25" customHeight="1">
      <c r="I621" s="22"/>
    </row>
    <row r="622" spans="9:9" ht="14.25" customHeight="1">
      <c r="I622" s="22"/>
    </row>
    <row r="623" spans="9:9" ht="14.25" customHeight="1">
      <c r="I623" s="22"/>
    </row>
    <row r="624" spans="9:9" ht="14.25" customHeight="1">
      <c r="I624" s="22"/>
    </row>
    <row r="625" spans="9:9" ht="14.25" customHeight="1">
      <c r="I625" s="22"/>
    </row>
    <row r="626" spans="9:9" ht="14.25" customHeight="1">
      <c r="I626" s="22"/>
    </row>
    <row r="627" spans="9:9" ht="14.25" customHeight="1">
      <c r="I627" s="22"/>
    </row>
    <row r="628" spans="9:9" ht="14.25" customHeight="1">
      <c r="I628" s="22"/>
    </row>
    <row r="629" spans="9:9" ht="14.25" customHeight="1">
      <c r="I629" s="22"/>
    </row>
    <row r="630" spans="9:9" ht="14.25" customHeight="1">
      <c r="I630" s="22"/>
    </row>
    <row r="631" spans="9:9" ht="14.25" customHeight="1">
      <c r="I631" s="22"/>
    </row>
    <row r="632" spans="9:9" ht="14.25" customHeight="1">
      <c r="I632" s="22"/>
    </row>
    <row r="633" spans="9:9" ht="14.25" customHeight="1">
      <c r="I633" s="22"/>
    </row>
    <row r="634" spans="9:9" ht="14.25" customHeight="1">
      <c r="I634" s="22"/>
    </row>
    <row r="635" spans="9:9" ht="14.25" customHeight="1">
      <c r="I635" s="22"/>
    </row>
    <row r="636" spans="9:9" ht="14.25" customHeight="1">
      <c r="I636" s="22"/>
    </row>
    <row r="637" spans="9:9" ht="14.25" customHeight="1">
      <c r="I637" s="22"/>
    </row>
    <row r="638" spans="9:9" ht="14.25" customHeight="1">
      <c r="I638" s="22"/>
    </row>
    <row r="639" spans="9:9" ht="14.25" customHeight="1">
      <c r="I639" s="22"/>
    </row>
    <row r="640" spans="9:9" ht="14.25" customHeight="1">
      <c r="I640" s="22"/>
    </row>
    <row r="641" spans="9:9" ht="14.25" customHeight="1">
      <c r="I641" s="22"/>
    </row>
    <row r="642" spans="9:9" ht="14.25" customHeight="1">
      <c r="I642" s="22"/>
    </row>
    <row r="643" spans="9:9" ht="14.25" customHeight="1">
      <c r="I643" s="22"/>
    </row>
    <row r="644" spans="9:9" ht="14.25" customHeight="1">
      <c r="I644" s="22"/>
    </row>
    <row r="645" spans="9:9" ht="14.25" customHeight="1">
      <c r="I645" s="22"/>
    </row>
    <row r="646" spans="9:9" ht="14.25" customHeight="1">
      <c r="I646" s="22"/>
    </row>
    <row r="647" spans="9:9" ht="14.25" customHeight="1">
      <c r="I647" s="22"/>
    </row>
    <row r="648" spans="9:9" ht="14.25" customHeight="1">
      <c r="I648" s="22"/>
    </row>
    <row r="649" spans="9:9" ht="14.25" customHeight="1">
      <c r="I649" s="22"/>
    </row>
    <row r="650" spans="9:9" ht="14.25" customHeight="1">
      <c r="I650" s="22"/>
    </row>
    <row r="651" spans="9:9" ht="14.25" customHeight="1">
      <c r="I651" s="22"/>
    </row>
    <row r="652" spans="9:9" ht="14.25" customHeight="1">
      <c r="I652" s="22"/>
    </row>
    <row r="653" spans="9:9" ht="14.25" customHeight="1">
      <c r="I653" s="22"/>
    </row>
    <row r="654" spans="9:9" ht="14.25" customHeight="1">
      <c r="I654" s="22"/>
    </row>
    <row r="655" spans="9:9" ht="14.25" customHeight="1">
      <c r="I655" s="22"/>
    </row>
    <row r="656" spans="9:9" ht="14.25" customHeight="1">
      <c r="I656" s="22"/>
    </row>
    <row r="657" spans="9:9" ht="14.25" customHeight="1">
      <c r="I657" s="22"/>
    </row>
    <row r="658" spans="9:9" ht="14.25" customHeight="1">
      <c r="I658" s="22"/>
    </row>
    <row r="659" spans="9:9" ht="14.25" customHeight="1">
      <c r="I659" s="22"/>
    </row>
    <row r="660" spans="9:9" ht="14.25" customHeight="1">
      <c r="I660" s="22"/>
    </row>
    <row r="661" spans="9:9" ht="14.25" customHeight="1">
      <c r="I661" s="22"/>
    </row>
    <row r="662" spans="9:9" ht="14.25" customHeight="1">
      <c r="I662" s="22"/>
    </row>
    <row r="663" spans="9:9" ht="14.25" customHeight="1">
      <c r="I663" s="22"/>
    </row>
    <row r="664" spans="9:9" ht="14.25" customHeight="1">
      <c r="I664" s="22"/>
    </row>
    <row r="665" spans="9:9" ht="14.25" customHeight="1">
      <c r="I665" s="22"/>
    </row>
    <row r="666" spans="9:9" ht="14.25" customHeight="1">
      <c r="I666" s="22"/>
    </row>
    <row r="667" spans="9:9" ht="14.25" customHeight="1">
      <c r="I667" s="22"/>
    </row>
    <row r="668" spans="9:9" ht="14.25" customHeight="1">
      <c r="I668" s="22"/>
    </row>
    <row r="669" spans="9:9" ht="14.25" customHeight="1">
      <c r="I669" s="22"/>
    </row>
    <row r="670" spans="9:9" ht="14.25" customHeight="1">
      <c r="I670" s="22"/>
    </row>
    <row r="671" spans="9:9" ht="14.25" customHeight="1">
      <c r="I671" s="22"/>
    </row>
    <row r="672" spans="9:9" ht="14.25" customHeight="1">
      <c r="I672" s="22"/>
    </row>
    <row r="673" spans="9:9" ht="14.25" customHeight="1">
      <c r="I673" s="22"/>
    </row>
    <row r="674" spans="9:9" ht="14.25" customHeight="1">
      <c r="I674" s="22"/>
    </row>
    <row r="675" spans="9:9" ht="14.25" customHeight="1">
      <c r="I675" s="22"/>
    </row>
    <row r="676" spans="9:9" ht="14.25" customHeight="1">
      <c r="I676" s="22"/>
    </row>
    <row r="677" spans="9:9" ht="14.25" customHeight="1">
      <c r="I677" s="22"/>
    </row>
    <row r="678" spans="9:9" ht="14.25" customHeight="1">
      <c r="I678" s="22"/>
    </row>
    <row r="679" spans="9:9" ht="14.25" customHeight="1">
      <c r="I679" s="22"/>
    </row>
    <row r="680" spans="9:9" ht="14.25" customHeight="1">
      <c r="I680" s="22"/>
    </row>
    <row r="681" spans="9:9" ht="14.25" customHeight="1">
      <c r="I681" s="22"/>
    </row>
    <row r="682" spans="9:9" ht="14.25" customHeight="1">
      <c r="I682" s="22"/>
    </row>
    <row r="683" spans="9:9" ht="14.25" customHeight="1">
      <c r="I683" s="22"/>
    </row>
    <row r="684" spans="9:9" ht="14.25" customHeight="1">
      <c r="I684" s="22"/>
    </row>
    <row r="685" spans="9:9" ht="14.25" customHeight="1">
      <c r="I685" s="22"/>
    </row>
    <row r="686" spans="9:9" ht="14.25" customHeight="1">
      <c r="I686" s="22"/>
    </row>
    <row r="687" spans="9:9" ht="14.25" customHeight="1">
      <c r="I687" s="22"/>
    </row>
    <row r="688" spans="9:9" ht="14.25" customHeight="1">
      <c r="I688" s="22"/>
    </row>
    <row r="689" spans="9:9" ht="14.25" customHeight="1">
      <c r="I689" s="22"/>
    </row>
    <row r="690" spans="9:9" ht="14.25" customHeight="1">
      <c r="I690" s="22"/>
    </row>
    <row r="691" spans="9:9" ht="14.25" customHeight="1">
      <c r="I691" s="22"/>
    </row>
    <row r="692" spans="9:9" ht="14.25" customHeight="1">
      <c r="I692" s="22"/>
    </row>
    <row r="693" spans="9:9" ht="14.25" customHeight="1">
      <c r="I693" s="22"/>
    </row>
    <row r="694" spans="9:9" ht="14.25" customHeight="1">
      <c r="I694" s="22"/>
    </row>
    <row r="695" spans="9:9" ht="14.25" customHeight="1">
      <c r="I695" s="22"/>
    </row>
    <row r="696" spans="9:9" ht="14.25" customHeight="1">
      <c r="I696" s="22"/>
    </row>
    <row r="697" spans="9:9" ht="14.25" customHeight="1">
      <c r="I697" s="22"/>
    </row>
    <row r="698" spans="9:9" ht="14.25" customHeight="1">
      <c r="I698" s="22"/>
    </row>
    <row r="699" spans="9:9" ht="14.25" customHeight="1">
      <c r="I699" s="22"/>
    </row>
    <row r="700" spans="9:9" ht="14.25" customHeight="1">
      <c r="I700" s="22"/>
    </row>
    <row r="701" spans="9:9" ht="14.25" customHeight="1">
      <c r="I701" s="22"/>
    </row>
    <row r="702" spans="9:9" ht="14.25" customHeight="1">
      <c r="I702" s="22"/>
    </row>
    <row r="703" spans="9:9" ht="14.25" customHeight="1">
      <c r="I703" s="22"/>
    </row>
    <row r="704" spans="9:9" ht="14.25" customHeight="1">
      <c r="I704" s="22"/>
    </row>
    <row r="705" spans="9:9" ht="14.25" customHeight="1">
      <c r="I705" s="22"/>
    </row>
    <row r="706" spans="9:9" ht="14.25" customHeight="1">
      <c r="I706" s="22"/>
    </row>
    <row r="707" spans="9:9" ht="14.25" customHeight="1">
      <c r="I707" s="22"/>
    </row>
    <row r="708" spans="9:9" ht="14.25" customHeight="1">
      <c r="I708" s="22"/>
    </row>
    <row r="709" spans="9:9" ht="14.25" customHeight="1">
      <c r="I709" s="22"/>
    </row>
    <row r="710" spans="9:9" ht="14.25" customHeight="1">
      <c r="I710" s="22"/>
    </row>
    <row r="711" spans="9:9" ht="14.25" customHeight="1">
      <c r="I711" s="22"/>
    </row>
    <row r="712" spans="9:9" ht="14.25" customHeight="1">
      <c r="I712" s="22"/>
    </row>
    <row r="713" spans="9:9" ht="14.25" customHeight="1">
      <c r="I713" s="22"/>
    </row>
    <row r="714" spans="9:9" ht="14.25" customHeight="1">
      <c r="I714" s="22"/>
    </row>
    <row r="715" spans="9:9" ht="14.25" customHeight="1">
      <c r="I715" s="22"/>
    </row>
    <row r="716" spans="9:9" ht="14.25" customHeight="1">
      <c r="I716" s="22"/>
    </row>
    <row r="717" spans="9:9" ht="14.25" customHeight="1">
      <c r="I717" s="22"/>
    </row>
    <row r="718" spans="9:9" ht="14.25" customHeight="1">
      <c r="I718" s="22"/>
    </row>
    <row r="719" spans="9:9" ht="14.25" customHeight="1">
      <c r="I719" s="22"/>
    </row>
    <row r="720" spans="9:9" ht="14.25" customHeight="1">
      <c r="I720" s="22"/>
    </row>
    <row r="721" spans="9:9" ht="14.25" customHeight="1">
      <c r="I721" s="22"/>
    </row>
    <row r="722" spans="9:9" ht="14.25" customHeight="1">
      <c r="I722" s="22"/>
    </row>
    <row r="723" spans="9:9" ht="14.25" customHeight="1">
      <c r="I723" s="22"/>
    </row>
    <row r="724" spans="9:9" ht="14.25" customHeight="1">
      <c r="I724" s="22"/>
    </row>
    <row r="725" spans="9:9" ht="14.25" customHeight="1">
      <c r="I725" s="22"/>
    </row>
    <row r="726" spans="9:9" ht="14.25" customHeight="1">
      <c r="I726" s="22"/>
    </row>
    <row r="727" spans="9:9" ht="14.25" customHeight="1">
      <c r="I727" s="22"/>
    </row>
    <row r="728" spans="9:9" ht="14.25" customHeight="1">
      <c r="I728" s="22"/>
    </row>
    <row r="729" spans="9:9" ht="14.25" customHeight="1">
      <c r="I729" s="22"/>
    </row>
    <row r="730" spans="9:9" ht="14.25" customHeight="1">
      <c r="I730" s="22"/>
    </row>
    <row r="731" spans="9:9" ht="14.25" customHeight="1">
      <c r="I731" s="22"/>
    </row>
    <row r="732" spans="9:9" ht="14.25" customHeight="1">
      <c r="I732" s="22"/>
    </row>
    <row r="733" spans="9:9" ht="14.25" customHeight="1">
      <c r="I733" s="22"/>
    </row>
    <row r="734" spans="9:9" ht="14.25" customHeight="1">
      <c r="I734" s="22"/>
    </row>
    <row r="735" spans="9:9" ht="14.25" customHeight="1">
      <c r="I735" s="22"/>
    </row>
    <row r="736" spans="9:9" ht="14.25" customHeight="1">
      <c r="I736" s="22"/>
    </row>
    <row r="737" spans="9:9" ht="14.25" customHeight="1">
      <c r="I737" s="22"/>
    </row>
    <row r="738" spans="9:9" ht="14.25" customHeight="1">
      <c r="I738" s="22"/>
    </row>
    <row r="739" spans="9:9" ht="14.25" customHeight="1">
      <c r="I739" s="22"/>
    </row>
    <row r="740" spans="9:9" ht="14.25" customHeight="1">
      <c r="I740" s="22"/>
    </row>
    <row r="741" spans="9:9" ht="14.25" customHeight="1">
      <c r="I741" s="22"/>
    </row>
    <row r="742" spans="9:9" ht="14.25" customHeight="1">
      <c r="I742" s="22"/>
    </row>
    <row r="743" spans="9:9" ht="14.25" customHeight="1">
      <c r="I743" s="22"/>
    </row>
    <row r="744" spans="9:9" ht="14.25" customHeight="1">
      <c r="I744" s="22"/>
    </row>
    <row r="745" spans="9:9" ht="14.25" customHeight="1">
      <c r="I745" s="22"/>
    </row>
    <row r="746" spans="9:9" ht="14.25" customHeight="1">
      <c r="I746" s="22"/>
    </row>
    <row r="747" spans="9:9" ht="14.25" customHeight="1">
      <c r="I747" s="22"/>
    </row>
    <row r="748" spans="9:9" ht="14.25" customHeight="1">
      <c r="I748" s="22"/>
    </row>
    <row r="749" spans="9:9" ht="14.25" customHeight="1">
      <c r="I749" s="22"/>
    </row>
    <row r="750" spans="9:9" ht="14.25" customHeight="1">
      <c r="I750" s="22"/>
    </row>
    <row r="751" spans="9:9" ht="14.25" customHeight="1">
      <c r="I751" s="22"/>
    </row>
    <row r="752" spans="9:9" ht="14.25" customHeight="1">
      <c r="I752" s="22"/>
    </row>
    <row r="753" spans="9:9" ht="14.25" customHeight="1">
      <c r="I753" s="22"/>
    </row>
    <row r="754" spans="9:9" ht="14.25" customHeight="1">
      <c r="I754" s="22"/>
    </row>
    <row r="755" spans="9:9" ht="14.25" customHeight="1">
      <c r="I755" s="22"/>
    </row>
    <row r="756" spans="9:9" ht="14.25" customHeight="1">
      <c r="I756" s="22"/>
    </row>
    <row r="757" spans="9:9" ht="14.25" customHeight="1">
      <c r="I757" s="22"/>
    </row>
    <row r="758" spans="9:9" ht="14.25" customHeight="1">
      <c r="I758" s="22"/>
    </row>
    <row r="759" spans="9:9" ht="14.25" customHeight="1">
      <c r="I759" s="22"/>
    </row>
    <row r="760" spans="9:9" ht="14.25" customHeight="1">
      <c r="I760" s="22"/>
    </row>
    <row r="761" spans="9:9" ht="14.25" customHeight="1">
      <c r="I761" s="22"/>
    </row>
    <row r="762" spans="9:9" ht="14.25" customHeight="1">
      <c r="I762" s="22"/>
    </row>
    <row r="763" spans="9:9" ht="14.25" customHeight="1">
      <c r="I763" s="22"/>
    </row>
    <row r="764" spans="9:9" ht="14.25" customHeight="1">
      <c r="I764" s="22"/>
    </row>
    <row r="765" spans="9:9" ht="14.25" customHeight="1">
      <c r="I765" s="22"/>
    </row>
    <row r="766" spans="9:9" ht="14.25" customHeight="1">
      <c r="I766" s="22"/>
    </row>
    <row r="767" spans="9:9" ht="14.25" customHeight="1">
      <c r="I767" s="22"/>
    </row>
    <row r="768" spans="9:9" ht="14.25" customHeight="1">
      <c r="I768" s="22"/>
    </row>
    <row r="769" spans="9:9" ht="14.25" customHeight="1">
      <c r="I769" s="22"/>
    </row>
    <row r="770" spans="9:9" ht="14.25" customHeight="1">
      <c r="I770" s="22"/>
    </row>
    <row r="771" spans="9:9" ht="14.25" customHeight="1">
      <c r="I771" s="22"/>
    </row>
    <row r="772" spans="9:9" ht="14.25" customHeight="1">
      <c r="I772" s="22"/>
    </row>
    <row r="773" spans="9:9" ht="14.25" customHeight="1">
      <c r="I773" s="22"/>
    </row>
    <row r="774" spans="9:9" ht="14.25" customHeight="1">
      <c r="I774" s="22"/>
    </row>
    <row r="775" spans="9:9" ht="14.25" customHeight="1">
      <c r="I775" s="22"/>
    </row>
    <row r="776" spans="9:9" ht="14.25" customHeight="1">
      <c r="I776" s="22"/>
    </row>
    <row r="777" spans="9:9" ht="14.25" customHeight="1">
      <c r="I777" s="22"/>
    </row>
    <row r="778" spans="9:9" ht="14.25" customHeight="1">
      <c r="I778" s="22"/>
    </row>
    <row r="779" spans="9:9" ht="14.25" customHeight="1">
      <c r="I779" s="22"/>
    </row>
    <row r="780" spans="9:9" ht="14.25" customHeight="1">
      <c r="I780" s="22"/>
    </row>
    <row r="781" spans="9:9" ht="14.25" customHeight="1">
      <c r="I781" s="22"/>
    </row>
    <row r="782" spans="9:9" ht="14.25" customHeight="1">
      <c r="I782" s="22"/>
    </row>
    <row r="783" spans="9:9" ht="14.25" customHeight="1">
      <c r="I783" s="22"/>
    </row>
    <row r="784" spans="9:9" ht="14.25" customHeight="1">
      <c r="I784" s="22"/>
    </row>
    <row r="785" spans="9:9" ht="14.25" customHeight="1">
      <c r="I785" s="22"/>
    </row>
    <row r="786" spans="9:9" ht="14.25" customHeight="1">
      <c r="I786" s="22"/>
    </row>
    <row r="787" spans="9:9" ht="14.25" customHeight="1">
      <c r="I787" s="22"/>
    </row>
    <row r="788" spans="9:9" ht="14.25" customHeight="1">
      <c r="I788" s="22"/>
    </row>
    <row r="789" spans="9:9" ht="14.25" customHeight="1">
      <c r="I789" s="22"/>
    </row>
    <row r="790" spans="9:9" ht="14.25" customHeight="1">
      <c r="I790" s="22"/>
    </row>
    <row r="791" spans="9:9" ht="14.25" customHeight="1">
      <c r="I791" s="22"/>
    </row>
    <row r="792" spans="9:9" ht="14.25" customHeight="1">
      <c r="I792" s="22"/>
    </row>
    <row r="793" spans="9:9" ht="14.25" customHeight="1">
      <c r="I793" s="22"/>
    </row>
    <row r="794" spans="9:9" ht="14.25" customHeight="1">
      <c r="I794" s="22"/>
    </row>
    <row r="795" spans="9:9" ht="14.25" customHeight="1">
      <c r="I795" s="22"/>
    </row>
    <row r="796" spans="9:9" ht="14.25" customHeight="1">
      <c r="I796" s="22"/>
    </row>
    <row r="797" spans="9:9" ht="14.25" customHeight="1">
      <c r="I797" s="22"/>
    </row>
    <row r="798" spans="9:9" ht="14.25" customHeight="1">
      <c r="I798" s="22"/>
    </row>
    <row r="799" spans="9:9" ht="14.25" customHeight="1">
      <c r="I799" s="22"/>
    </row>
    <row r="800" spans="9:9" ht="14.25" customHeight="1">
      <c r="I800" s="22"/>
    </row>
    <row r="801" spans="9:9" ht="14.25" customHeight="1">
      <c r="I801" s="22"/>
    </row>
    <row r="802" spans="9:9" ht="14.25" customHeight="1">
      <c r="I802" s="22"/>
    </row>
    <row r="803" spans="9:9" ht="14.25" customHeight="1">
      <c r="I803" s="22"/>
    </row>
    <row r="804" spans="9:9" ht="14.25" customHeight="1">
      <c r="I804" s="22"/>
    </row>
    <row r="805" spans="9:9" ht="14.25" customHeight="1">
      <c r="I805" s="22"/>
    </row>
    <row r="806" spans="9:9" ht="14.25" customHeight="1">
      <c r="I806" s="22"/>
    </row>
    <row r="807" spans="9:9" ht="14.25" customHeight="1">
      <c r="I807" s="22"/>
    </row>
    <row r="808" spans="9:9" ht="14.25" customHeight="1">
      <c r="I808" s="22"/>
    </row>
    <row r="809" spans="9:9" ht="14.25" customHeight="1">
      <c r="I809" s="22"/>
    </row>
    <row r="810" spans="9:9" ht="14.25" customHeight="1">
      <c r="I810" s="22"/>
    </row>
    <row r="811" spans="9:9" ht="14.25" customHeight="1">
      <c r="I811" s="22"/>
    </row>
    <row r="812" spans="9:9" ht="14.25" customHeight="1">
      <c r="I812" s="22"/>
    </row>
    <row r="813" spans="9:9" ht="14.25" customHeight="1">
      <c r="I813" s="22"/>
    </row>
    <row r="814" spans="9:9" ht="14.25" customHeight="1">
      <c r="I814" s="22"/>
    </row>
    <row r="815" spans="9:9" ht="14.25" customHeight="1">
      <c r="I815" s="22"/>
    </row>
    <row r="816" spans="9:9" ht="14.25" customHeight="1">
      <c r="I816" s="22"/>
    </row>
    <row r="817" spans="9:9" ht="14.25" customHeight="1">
      <c r="I817" s="22"/>
    </row>
    <row r="818" spans="9:9" ht="14.25" customHeight="1">
      <c r="I818" s="22"/>
    </row>
    <row r="819" spans="9:9" ht="14.25" customHeight="1">
      <c r="I819" s="22"/>
    </row>
    <row r="820" spans="9:9" ht="14.25" customHeight="1">
      <c r="I820" s="22"/>
    </row>
    <row r="821" spans="9:9" ht="14.25" customHeight="1">
      <c r="I821" s="22"/>
    </row>
    <row r="822" spans="9:9" ht="14.25" customHeight="1">
      <c r="I822" s="22"/>
    </row>
    <row r="823" spans="9:9" ht="14.25" customHeight="1">
      <c r="I823" s="22"/>
    </row>
    <row r="824" spans="9:9" ht="14.25" customHeight="1">
      <c r="I824" s="22"/>
    </row>
    <row r="825" spans="9:9" ht="14.25" customHeight="1">
      <c r="I825" s="22"/>
    </row>
    <row r="826" spans="9:9" ht="14.25" customHeight="1">
      <c r="I826" s="22"/>
    </row>
    <row r="827" spans="9:9" ht="14.25" customHeight="1">
      <c r="I827" s="22"/>
    </row>
    <row r="828" spans="9:9" ht="14.25" customHeight="1">
      <c r="I828" s="22"/>
    </row>
    <row r="829" spans="9:9" ht="14.25" customHeight="1">
      <c r="I829" s="22"/>
    </row>
    <row r="830" spans="9:9" ht="14.25" customHeight="1">
      <c r="I830" s="22"/>
    </row>
    <row r="831" spans="9:9" ht="14.25" customHeight="1">
      <c r="I831" s="22"/>
    </row>
    <row r="832" spans="9:9" ht="14.25" customHeight="1">
      <c r="I832" s="22"/>
    </row>
    <row r="833" spans="9:9" ht="14.25" customHeight="1">
      <c r="I833" s="22"/>
    </row>
    <row r="834" spans="9:9" ht="14.25" customHeight="1">
      <c r="I834" s="22"/>
    </row>
    <row r="835" spans="9:9" ht="14.25" customHeight="1">
      <c r="I835" s="22"/>
    </row>
    <row r="836" spans="9:9" ht="14.25" customHeight="1">
      <c r="I836" s="22"/>
    </row>
    <row r="837" spans="9:9" ht="14.25" customHeight="1">
      <c r="I837" s="22"/>
    </row>
    <row r="838" spans="9:9" ht="14.25" customHeight="1">
      <c r="I838" s="22"/>
    </row>
    <row r="839" spans="9:9" ht="14.25" customHeight="1">
      <c r="I839" s="22"/>
    </row>
    <row r="840" spans="9:9" ht="14.25" customHeight="1">
      <c r="I840" s="22"/>
    </row>
    <row r="841" spans="9:9" ht="14.25" customHeight="1">
      <c r="I841" s="22"/>
    </row>
    <row r="842" spans="9:9" ht="14.25" customHeight="1">
      <c r="I842" s="22"/>
    </row>
    <row r="843" spans="9:9" ht="14.25" customHeight="1">
      <c r="I843" s="22"/>
    </row>
    <row r="844" spans="9:9" ht="14.25" customHeight="1">
      <c r="I844" s="22"/>
    </row>
    <row r="845" spans="9:9" ht="14.25" customHeight="1">
      <c r="I845" s="22"/>
    </row>
    <row r="846" spans="9:9" ht="14.25" customHeight="1">
      <c r="I846" s="22"/>
    </row>
    <row r="847" spans="9:9" ht="14.25" customHeight="1">
      <c r="I847" s="22"/>
    </row>
    <row r="848" spans="9:9" ht="14.25" customHeight="1">
      <c r="I848" s="22"/>
    </row>
    <row r="849" spans="9:9" ht="14.25" customHeight="1">
      <c r="I849" s="22"/>
    </row>
    <row r="850" spans="9:9" ht="14.25" customHeight="1">
      <c r="I850" s="22"/>
    </row>
    <row r="851" spans="9:9" ht="14.25" customHeight="1">
      <c r="I851" s="22"/>
    </row>
    <row r="852" spans="9:9" ht="14.25" customHeight="1">
      <c r="I852" s="22"/>
    </row>
    <row r="853" spans="9:9" ht="14.25" customHeight="1">
      <c r="I853" s="22"/>
    </row>
    <row r="854" spans="9:9" ht="14.25" customHeight="1">
      <c r="I854" s="22"/>
    </row>
    <row r="855" spans="9:9" ht="14.25" customHeight="1">
      <c r="I855" s="22"/>
    </row>
    <row r="856" spans="9:9" ht="14.25" customHeight="1">
      <c r="I856" s="22"/>
    </row>
    <row r="857" spans="9:9" ht="14.25" customHeight="1">
      <c r="I857" s="22"/>
    </row>
    <row r="858" spans="9:9" ht="14.25" customHeight="1">
      <c r="I858" s="22"/>
    </row>
    <row r="859" spans="9:9" ht="14.25" customHeight="1">
      <c r="I859" s="22"/>
    </row>
    <row r="860" spans="9:9" ht="14.25" customHeight="1">
      <c r="I860" s="22"/>
    </row>
    <row r="861" spans="9:9" ht="14.25" customHeight="1">
      <c r="I861" s="22"/>
    </row>
    <row r="862" spans="9:9" ht="14.25" customHeight="1">
      <c r="I862" s="22"/>
    </row>
    <row r="863" spans="9:9" ht="14.25" customHeight="1">
      <c r="I863" s="22"/>
    </row>
    <row r="864" spans="9:9" ht="14.25" customHeight="1">
      <c r="I864" s="22"/>
    </row>
    <row r="865" spans="9:9" ht="14.25" customHeight="1">
      <c r="I865" s="22"/>
    </row>
    <row r="866" spans="9:9" ht="14.25" customHeight="1">
      <c r="I866" s="22"/>
    </row>
    <row r="867" spans="9:9" ht="14.25" customHeight="1">
      <c r="I867" s="22"/>
    </row>
    <row r="868" spans="9:9" ht="14.25" customHeight="1">
      <c r="I868" s="22"/>
    </row>
    <row r="869" spans="9:9" ht="14.25" customHeight="1">
      <c r="I869" s="22"/>
    </row>
    <row r="870" spans="9:9" ht="14.25" customHeight="1">
      <c r="I870" s="22"/>
    </row>
    <row r="871" spans="9:9" ht="14.25" customHeight="1">
      <c r="I871" s="22"/>
    </row>
    <row r="872" spans="9:9" ht="14.25" customHeight="1">
      <c r="I872" s="22"/>
    </row>
    <row r="873" spans="9:9" ht="14.25" customHeight="1">
      <c r="I873" s="22"/>
    </row>
    <row r="874" spans="9:9" ht="14.25" customHeight="1">
      <c r="I874" s="22"/>
    </row>
    <row r="875" spans="9:9" ht="14.25" customHeight="1">
      <c r="I875" s="22"/>
    </row>
    <row r="876" spans="9:9" ht="14.25" customHeight="1">
      <c r="I876" s="22"/>
    </row>
    <row r="877" spans="9:9" ht="14.25" customHeight="1">
      <c r="I877" s="22"/>
    </row>
    <row r="878" spans="9:9" ht="14.25" customHeight="1">
      <c r="I878" s="22"/>
    </row>
    <row r="879" spans="9:9" ht="14.25" customHeight="1">
      <c r="I879" s="22"/>
    </row>
    <row r="880" spans="9:9" ht="14.25" customHeight="1">
      <c r="I880" s="22"/>
    </row>
    <row r="881" spans="9:9" ht="14.25" customHeight="1">
      <c r="I881" s="22"/>
    </row>
    <row r="882" spans="9:9" ht="14.25" customHeight="1">
      <c r="I882" s="22"/>
    </row>
    <row r="883" spans="9:9" ht="14.25" customHeight="1">
      <c r="I883" s="22"/>
    </row>
    <row r="884" spans="9:9" ht="14.25" customHeight="1">
      <c r="I884" s="22"/>
    </row>
    <row r="885" spans="9:9" ht="14.25" customHeight="1">
      <c r="I885" s="22"/>
    </row>
    <row r="886" spans="9:9" ht="14.25" customHeight="1">
      <c r="I886" s="22"/>
    </row>
    <row r="887" spans="9:9" ht="14.25" customHeight="1">
      <c r="I887" s="22"/>
    </row>
    <row r="888" spans="9:9" ht="14.25" customHeight="1">
      <c r="I888" s="22"/>
    </row>
    <row r="889" spans="9:9" ht="14.25" customHeight="1">
      <c r="I889" s="22"/>
    </row>
    <row r="890" spans="9:9" ht="14.25" customHeight="1">
      <c r="I890" s="22"/>
    </row>
    <row r="891" spans="9:9" ht="14.25" customHeight="1">
      <c r="I891" s="22"/>
    </row>
    <row r="892" spans="9:9" ht="14.25" customHeight="1">
      <c r="I892" s="22"/>
    </row>
    <row r="893" spans="9:9" ht="14.25" customHeight="1">
      <c r="I893" s="22"/>
    </row>
    <row r="894" spans="9:9" ht="14.25" customHeight="1">
      <c r="I894" s="22"/>
    </row>
    <row r="895" spans="9:9" ht="14.25" customHeight="1">
      <c r="I895" s="22"/>
    </row>
    <row r="896" spans="9:9" ht="14.25" customHeight="1">
      <c r="I896" s="22"/>
    </row>
    <row r="897" spans="9:9" ht="14.25" customHeight="1">
      <c r="I897" s="22"/>
    </row>
    <row r="898" spans="9:9" ht="14.25" customHeight="1">
      <c r="I898" s="22"/>
    </row>
    <row r="899" spans="9:9" ht="14.25" customHeight="1">
      <c r="I899" s="22"/>
    </row>
    <row r="900" spans="9:9" ht="14.25" customHeight="1">
      <c r="I900" s="22"/>
    </row>
    <row r="901" spans="9:9" ht="14.25" customHeight="1">
      <c r="I901" s="22"/>
    </row>
    <row r="902" spans="9:9" ht="14.25" customHeight="1">
      <c r="I902" s="22"/>
    </row>
    <row r="903" spans="9:9" ht="14.25" customHeight="1">
      <c r="I903" s="22"/>
    </row>
    <row r="904" spans="9:9" ht="14.25" customHeight="1">
      <c r="I904" s="22"/>
    </row>
    <row r="905" spans="9:9" ht="14.25" customHeight="1">
      <c r="I905" s="22"/>
    </row>
    <row r="906" spans="9:9" ht="14.25" customHeight="1">
      <c r="I906" s="22"/>
    </row>
    <row r="907" spans="9:9" ht="14.25" customHeight="1">
      <c r="I907" s="22"/>
    </row>
    <row r="908" spans="9:9" ht="14.25" customHeight="1">
      <c r="I908" s="22"/>
    </row>
    <row r="909" spans="9:9" ht="14.25" customHeight="1">
      <c r="I909" s="22"/>
    </row>
    <row r="910" spans="9:9" ht="14.25" customHeight="1">
      <c r="I910" s="22"/>
    </row>
    <row r="911" spans="9:9" ht="14.25" customHeight="1">
      <c r="I911" s="22"/>
    </row>
    <row r="912" spans="9:9" ht="14.25" customHeight="1">
      <c r="I912" s="22"/>
    </row>
    <row r="913" spans="9:9" ht="14.25" customHeight="1">
      <c r="I913" s="22"/>
    </row>
    <row r="914" spans="9:9" ht="14.25" customHeight="1">
      <c r="I914" s="22"/>
    </row>
    <row r="915" spans="9:9" ht="14.25" customHeight="1">
      <c r="I915" s="22"/>
    </row>
    <row r="916" spans="9:9" ht="14.25" customHeight="1">
      <c r="I916" s="22"/>
    </row>
    <row r="917" spans="9:9" ht="14.25" customHeight="1">
      <c r="I917" s="22"/>
    </row>
    <row r="918" spans="9:9" ht="14.25" customHeight="1">
      <c r="I918" s="22"/>
    </row>
    <row r="919" spans="9:9" ht="14.25" customHeight="1">
      <c r="I919" s="22"/>
    </row>
    <row r="920" spans="9:9" ht="14.25" customHeight="1">
      <c r="I920" s="22"/>
    </row>
    <row r="921" spans="9:9" ht="14.25" customHeight="1">
      <c r="I921" s="22"/>
    </row>
    <row r="922" spans="9:9" ht="14.25" customHeight="1">
      <c r="I922" s="22"/>
    </row>
    <row r="923" spans="9:9" ht="14.25" customHeight="1">
      <c r="I923" s="22"/>
    </row>
    <row r="924" spans="9:9" ht="14.25" customHeight="1">
      <c r="I924" s="22"/>
    </row>
    <row r="925" spans="9:9" ht="14.25" customHeight="1">
      <c r="I925" s="22"/>
    </row>
    <row r="926" spans="9:9" ht="14.25" customHeight="1">
      <c r="I926" s="22"/>
    </row>
    <row r="927" spans="9:9" ht="14.25" customHeight="1">
      <c r="I927" s="22"/>
    </row>
    <row r="928" spans="9:9" ht="14.25" customHeight="1">
      <c r="I928" s="22"/>
    </row>
    <row r="929" spans="9:9" ht="14.25" customHeight="1">
      <c r="I929" s="22"/>
    </row>
    <row r="930" spans="9:9" ht="14.25" customHeight="1">
      <c r="I930" s="22"/>
    </row>
    <row r="931" spans="9:9" ht="14.25" customHeight="1">
      <c r="I931" s="22"/>
    </row>
    <row r="932" spans="9:9" ht="14.25" customHeight="1">
      <c r="I932" s="22"/>
    </row>
    <row r="933" spans="9:9" ht="14.25" customHeight="1">
      <c r="I933" s="22"/>
    </row>
    <row r="934" spans="9:9" ht="14.25" customHeight="1">
      <c r="I934" s="22"/>
    </row>
    <row r="935" spans="9:9" ht="14.25" customHeight="1">
      <c r="I935" s="22"/>
    </row>
    <row r="936" spans="9:9" ht="14.25" customHeight="1">
      <c r="I936" s="22"/>
    </row>
    <row r="937" spans="9:9" ht="14.25" customHeight="1">
      <c r="I937" s="22"/>
    </row>
    <row r="938" spans="9:9" ht="14.25" customHeight="1">
      <c r="I938" s="22"/>
    </row>
    <row r="939" spans="9:9" ht="14.25" customHeight="1">
      <c r="I939" s="22"/>
    </row>
    <row r="940" spans="9:9" ht="14.25" customHeight="1">
      <c r="I940" s="22"/>
    </row>
    <row r="941" spans="9:9" ht="14.25" customHeight="1">
      <c r="I941" s="22"/>
    </row>
    <row r="942" spans="9:9" ht="14.25" customHeight="1">
      <c r="I942" s="22"/>
    </row>
    <row r="943" spans="9:9" ht="14.25" customHeight="1">
      <c r="I943" s="22"/>
    </row>
    <row r="944" spans="9:9" ht="14.25" customHeight="1">
      <c r="I944" s="22"/>
    </row>
    <row r="945" spans="9:9" ht="14.25" customHeight="1">
      <c r="I945" s="22"/>
    </row>
    <row r="946" spans="9:9" ht="14.25" customHeight="1">
      <c r="I946" s="22"/>
    </row>
    <row r="947" spans="9:9" ht="14.25" customHeight="1">
      <c r="I947" s="22"/>
    </row>
    <row r="948" spans="9:9" ht="14.25" customHeight="1">
      <c r="I948" s="22"/>
    </row>
    <row r="949" spans="9:9" ht="14.25" customHeight="1">
      <c r="I949" s="22"/>
    </row>
    <row r="950" spans="9:9" ht="14.25" customHeight="1">
      <c r="I950" s="22"/>
    </row>
    <row r="951" spans="9:9" ht="14.25" customHeight="1">
      <c r="I951" s="22"/>
    </row>
    <row r="952" spans="9:9" ht="14.25" customHeight="1">
      <c r="I952" s="22"/>
    </row>
    <row r="953" spans="9:9" ht="14.25" customHeight="1">
      <c r="I953" s="22"/>
    </row>
    <row r="954" spans="9:9" ht="14.25" customHeight="1">
      <c r="I954" s="22"/>
    </row>
    <row r="955" spans="9:9" ht="14.25" customHeight="1">
      <c r="I955" s="22"/>
    </row>
    <row r="956" spans="9:9" ht="14.25" customHeight="1">
      <c r="I956" s="22"/>
    </row>
    <row r="957" spans="9:9" ht="14.25" customHeight="1">
      <c r="I957" s="22"/>
    </row>
    <row r="958" spans="9:9" ht="14.25" customHeight="1">
      <c r="I958" s="22"/>
    </row>
    <row r="959" spans="9:9" ht="14.25" customHeight="1">
      <c r="I959" s="22"/>
    </row>
    <row r="960" spans="9:9" ht="14.25" customHeight="1">
      <c r="I960" s="22"/>
    </row>
    <row r="961" spans="9:9" ht="14.25" customHeight="1">
      <c r="I961" s="22"/>
    </row>
    <row r="962" spans="9:9" ht="14.25" customHeight="1">
      <c r="I962" s="22"/>
    </row>
    <row r="963" spans="9:9" ht="14.25" customHeight="1">
      <c r="I963" s="22"/>
    </row>
    <row r="964" spans="9:9" ht="14.25" customHeight="1">
      <c r="I964" s="22"/>
    </row>
    <row r="965" spans="9:9" ht="14.25" customHeight="1">
      <c r="I965" s="22"/>
    </row>
    <row r="966" spans="9:9" ht="14.25" customHeight="1">
      <c r="I966" s="22"/>
    </row>
    <row r="967" spans="9:9" ht="14.25" customHeight="1">
      <c r="I967" s="22"/>
    </row>
    <row r="968" spans="9:9" ht="14.25" customHeight="1">
      <c r="I968" s="22"/>
    </row>
    <row r="969" spans="9:9" ht="14.25" customHeight="1">
      <c r="I969" s="22"/>
    </row>
    <row r="970" spans="9:9" ht="14.25" customHeight="1">
      <c r="I970" s="22"/>
    </row>
    <row r="971" spans="9:9" ht="14.25" customHeight="1">
      <c r="I971" s="22"/>
    </row>
    <row r="972" spans="9:9" ht="14.25" customHeight="1">
      <c r="I972" s="22"/>
    </row>
    <row r="973" spans="9:9" ht="14.25" customHeight="1">
      <c r="I973" s="22"/>
    </row>
    <row r="974" spans="9:9" ht="14.25" customHeight="1">
      <c r="I974" s="22"/>
    </row>
    <row r="975" spans="9:9" ht="14.25" customHeight="1">
      <c r="I975" s="22"/>
    </row>
    <row r="976" spans="9:9" ht="14.25" customHeight="1">
      <c r="I976" s="22"/>
    </row>
    <row r="977" spans="9:9" ht="14.25" customHeight="1">
      <c r="I977" s="22"/>
    </row>
    <row r="978" spans="9:9" ht="14.25" customHeight="1">
      <c r="I978" s="22"/>
    </row>
    <row r="979" spans="9:9" ht="14.25" customHeight="1">
      <c r="I979" s="22"/>
    </row>
    <row r="980" spans="9:9" ht="14.25" customHeight="1">
      <c r="I980" s="22"/>
    </row>
    <row r="981" spans="9:9" ht="14.25" customHeight="1">
      <c r="I981" s="22"/>
    </row>
    <row r="982" spans="9:9" ht="14.25" customHeight="1">
      <c r="I982" s="22"/>
    </row>
    <row r="983" spans="9:9" ht="14.25" customHeight="1">
      <c r="I983" s="22"/>
    </row>
    <row r="984" spans="9:9" ht="14.25" customHeight="1">
      <c r="I984" s="22"/>
    </row>
    <row r="985" spans="9:9" ht="14.25" customHeight="1">
      <c r="I985" s="22"/>
    </row>
    <row r="986" spans="9:9" ht="14.25" customHeight="1">
      <c r="I986" s="22"/>
    </row>
    <row r="987" spans="9:9" ht="14.25" customHeight="1">
      <c r="I987" s="22"/>
    </row>
    <row r="988" spans="9:9" ht="14.25" customHeight="1">
      <c r="I988" s="22"/>
    </row>
    <row r="989" spans="9:9" ht="14.25" customHeight="1">
      <c r="I989" s="22"/>
    </row>
    <row r="990" spans="9:9" ht="14.25" customHeight="1">
      <c r="I990" s="22"/>
    </row>
    <row r="991" spans="9:9" ht="14.25" customHeight="1">
      <c r="I991" s="22"/>
    </row>
    <row r="992" spans="9:9" ht="14.25" customHeight="1">
      <c r="I992" s="22"/>
    </row>
    <row r="993" spans="9:9" ht="14.25" customHeight="1">
      <c r="I993" s="22"/>
    </row>
    <row r="994" spans="9:9" ht="14.25" customHeight="1">
      <c r="I994" s="22"/>
    </row>
    <row r="995" spans="9:9" ht="14.25" customHeight="1">
      <c r="I995" s="22"/>
    </row>
    <row r="996" spans="9:9" ht="14.25" customHeight="1">
      <c r="I996" s="22"/>
    </row>
    <row r="997" spans="9:9" ht="14.25" customHeight="1">
      <c r="I997" s="22"/>
    </row>
    <row r="998" spans="9:9" ht="14.25" customHeight="1">
      <c r="I998" s="22"/>
    </row>
    <row r="999" spans="9:9" ht="14.25" customHeight="1">
      <c r="I999" s="22"/>
    </row>
    <row r="1000" spans="9:9" ht="14.25" customHeight="1">
      <c r="I1000" s="22"/>
    </row>
  </sheetData>
  <mergeCells count="4">
    <mergeCell ref="A1:M1"/>
    <mergeCell ref="A3:A4"/>
    <mergeCell ref="B3:H3"/>
    <mergeCell ref="I3:M3"/>
  </mergeCells>
  <pageMargins left="0.7" right="0.7" top="0.75" bottom="0.75" header="0" footer="0"/>
  <pageSetup orientation="portrait"/>
  <colBreaks count="1" manualBreakCount="1">
    <brk id="20" man="1"/>
  </colBreak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2.6640625" defaultRowHeight="15" customHeight="1"/>
  <cols>
    <col min="1" max="1" width="11.44140625" customWidth="1"/>
    <col min="2" max="2" width="22.88671875" customWidth="1"/>
    <col min="3" max="3" width="18.44140625" customWidth="1"/>
    <col min="4" max="4" width="8.88671875" customWidth="1"/>
    <col min="5" max="5" width="9.21875" customWidth="1"/>
    <col min="6" max="6" width="21.44140625" customWidth="1"/>
    <col min="7" max="7" width="22.44140625" customWidth="1"/>
    <col min="8" max="8" width="19.21875" customWidth="1"/>
    <col min="9" max="9" width="8.77734375" customWidth="1"/>
    <col min="10" max="11" width="11.109375" customWidth="1"/>
    <col min="12" max="12" width="10.33203125" customWidth="1"/>
    <col min="13" max="13" width="4.109375" customWidth="1"/>
    <col min="14" max="14" width="18.88671875" customWidth="1"/>
    <col min="15" max="15" width="9.44140625" customWidth="1"/>
    <col min="16" max="26" width="8.6640625" customWidth="1"/>
  </cols>
  <sheetData>
    <row r="1" spans="1:26" ht="14.25" customHeight="1">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row>
    <row r="2" spans="1:26" ht="24.75" customHeight="1">
      <c r="A2" s="241"/>
      <c r="B2" s="419" t="s">
        <v>207</v>
      </c>
      <c r="C2" s="411"/>
      <c r="D2" s="242"/>
      <c r="E2" s="241"/>
      <c r="F2" s="241"/>
      <c r="G2" s="241"/>
      <c r="H2" s="241"/>
      <c r="I2" s="241"/>
      <c r="J2" s="241"/>
      <c r="K2" s="241"/>
      <c r="L2" s="241"/>
      <c r="M2" s="241"/>
      <c r="N2" s="241"/>
      <c r="O2" s="241"/>
      <c r="P2" s="241"/>
      <c r="Q2" s="241"/>
      <c r="R2" s="241"/>
      <c r="S2" s="241"/>
      <c r="T2" s="241"/>
      <c r="U2" s="241"/>
      <c r="V2" s="241"/>
      <c r="W2" s="241"/>
      <c r="X2" s="241"/>
      <c r="Y2" s="241"/>
      <c r="Z2" s="241"/>
    </row>
    <row r="3" spans="1:26" ht="14.25" customHeight="1">
      <c r="A3" s="241"/>
      <c r="B3" s="243" t="s">
        <v>208</v>
      </c>
      <c r="C3" s="244"/>
      <c r="D3" s="245"/>
      <c r="E3" s="241"/>
      <c r="F3" s="246" t="s">
        <v>84</v>
      </c>
      <c r="G3" s="247" t="s">
        <v>209</v>
      </c>
      <c r="H3" s="241"/>
      <c r="I3" s="241"/>
      <c r="J3" s="248" t="s">
        <v>210</v>
      </c>
      <c r="K3" s="241"/>
      <c r="L3" s="241"/>
      <c r="M3" s="241"/>
      <c r="N3" s="241"/>
      <c r="O3" s="241"/>
      <c r="P3" s="241"/>
      <c r="Q3" s="241"/>
      <c r="R3" s="241"/>
      <c r="S3" s="241"/>
      <c r="T3" s="241"/>
      <c r="U3" s="241"/>
      <c r="V3" s="241"/>
      <c r="W3" s="241"/>
      <c r="X3" s="241"/>
      <c r="Y3" s="241"/>
      <c r="Z3" s="241"/>
    </row>
    <row r="4" spans="1:26" ht="15" customHeight="1">
      <c r="A4" s="241"/>
      <c r="B4" s="249" t="s">
        <v>93</v>
      </c>
      <c r="C4" s="250">
        <v>2236667</v>
      </c>
      <c r="D4" s="251"/>
      <c r="E4" s="241"/>
      <c r="F4" s="241"/>
      <c r="G4" s="252" t="s">
        <v>211</v>
      </c>
      <c r="H4" s="241"/>
      <c r="I4" s="241"/>
      <c r="J4" s="253" t="s">
        <v>212</v>
      </c>
      <c r="K4" s="253" t="s">
        <v>213</v>
      </c>
      <c r="L4" s="254" t="s">
        <v>214</v>
      </c>
      <c r="M4" s="241"/>
      <c r="N4" s="241"/>
      <c r="O4" s="241"/>
      <c r="P4" s="241"/>
      <c r="Q4" s="241"/>
      <c r="R4" s="241"/>
      <c r="S4" s="241"/>
      <c r="T4" s="241"/>
      <c r="U4" s="241"/>
      <c r="V4" s="241"/>
      <c r="W4" s="241"/>
      <c r="X4" s="241"/>
      <c r="Y4" s="241"/>
      <c r="Z4" s="241"/>
    </row>
    <row r="5" spans="1:26" ht="14.25" customHeight="1">
      <c r="A5" s="241"/>
      <c r="B5" s="255" t="s">
        <v>94</v>
      </c>
      <c r="C5" s="256">
        <v>231728</v>
      </c>
      <c r="D5" s="251"/>
      <c r="E5" s="241"/>
      <c r="F5" s="241"/>
      <c r="G5" s="257">
        <f>2625.75*20988.09</f>
        <v>55109477.317500003</v>
      </c>
      <c r="H5" s="241"/>
      <c r="I5" s="241"/>
      <c r="J5" s="258">
        <v>43952</v>
      </c>
      <c r="K5" s="259">
        <v>2016.08</v>
      </c>
      <c r="L5" s="260"/>
      <c r="M5" s="241"/>
      <c r="N5" s="241"/>
      <c r="O5" s="241"/>
      <c r="P5" s="241"/>
      <c r="Q5" s="241"/>
      <c r="R5" s="241"/>
      <c r="S5" s="241"/>
      <c r="T5" s="241"/>
      <c r="U5" s="241"/>
      <c r="V5" s="241"/>
      <c r="W5" s="241"/>
      <c r="X5" s="241"/>
      <c r="Y5" s="241"/>
      <c r="Z5" s="241"/>
    </row>
    <row r="6" spans="1:26" ht="14.25" customHeight="1">
      <c r="A6" s="241"/>
      <c r="B6" s="249" t="s">
        <v>215</v>
      </c>
      <c r="C6" s="261">
        <f>SUM(C4:C5)</f>
        <v>2468395</v>
      </c>
      <c r="D6" s="136"/>
      <c r="E6" s="241"/>
      <c r="F6" s="241"/>
      <c r="G6" s="241"/>
      <c r="H6" s="241"/>
      <c r="I6" s="241"/>
      <c r="J6" s="258">
        <v>43983</v>
      </c>
      <c r="K6" s="259">
        <v>2268.77</v>
      </c>
      <c r="L6" s="262">
        <f t="shared" ref="L6:L65" si="0">LN(K6/K5)</f>
        <v>0.11808280245769195</v>
      </c>
      <c r="M6" s="241"/>
      <c r="N6" s="241"/>
      <c r="O6" s="241"/>
      <c r="P6" s="241"/>
      <c r="Q6" s="241"/>
      <c r="R6" s="241"/>
      <c r="S6" s="241"/>
      <c r="T6" s="241"/>
      <c r="U6" s="241"/>
      <c r="V6" s="241"/>
      <c r="W6" s="241"/>
      <c r="X6" s="241"/>
      <c r="Y6" s="241"/>
      <c r="Z6" s="241"/>
    </row>
    <row r="7" spans="1:26" ht="14.25" customHeight="1">
      <c r="A7" s="241"/>
      <c r="B7" s="249" t="s">
        <v>103</v>
      </c>
      <c r="C7" s="263" t="s">
        <v>5</v>
      </c>
      <c r="D7" s="241"/>
      <c r="E7" s="241"/>
      <c r="F7" s="264" t="s">
        <v>216</v>
      </c>
      <c r="G7" s="245" t="s">
        <v>217</v>
      </c>
      <c r="H7" s="241"/>
      <c r="I7" s="241"/>
      <c r="J7" s="258">
        <v>44013</v>
      </c>
      <c r="K7" s="259">
        <v>2179.65</v>
      </c>
      <c r="L7" s="262">
        <f t="shared" si="0"/>
        <v>-4.0073520966487843E-2</v>
      </c>
      <c r="M7" s="241"/>
      <c r="N7" s="241" t="s">
        <v>218</v>
      </c>
      <c r="O7" s="265">
        <f>AVERAGE(L6:L65)</f>
        <v>1.5076501173915719E-2</v>
      </c>
      <c r="P7" s="241"/>
      <c r="Q7" s="241"/>
      <c r="R7" s="241"/>
      <c r="S7" s="241"/>
      <c r="T7" s="241"/>
      <c r="U7" s="241"/>
      <c r="V7" s="241"/>
      <c r="W7" s="241"/>
      <c r="X7" s="241"/>
      <c r="Y7" s="241"/>
      <c r="Z7" s="241"/>
    </row>
    <row r="8" spans="1:26" ht="14.25" customHeight="1">
      <c r="A8" s="241"/>
      <c r="B8" s="249" t="s">
        <v>93</v>
      </c>
      <c r="C8" s="250">
        <v>2634258</v>
      </c>
      <c r="D8" s="251"/>
      <c r="E8" s="241"/>
      <c r="F8" s="241"/>
      <c r="G8" s="241"/>
      <c r="H8" s="241"/>
      <c r="I8" s="241"/>
      <c r="J8" s="258">
        <v>44044</v>
      </c>
      <c r="K8" s="259">
        <v>2359.75</v>
      </c>
      <c r="L8" s="262">
        <f t="shared" si="0"/>
        <v>7.9391367770239127E-2</v>
      </c>
      <c r="M8" s="241"/>
      <c r="N8" s="266" t="s">
        <v>219</v>
      </c>
      <c r="O8" s="267">
        <f>((1+O7)^12)-1</f>
        <v>0.19669999356337353</v>
      </c>
      <c r="P8" s="241"/>
      <c r="Q8" s="241"/>
      <c r="R8" s="241"/>
      <c r="S8" s="241"/>
      <c r="T8" s="241"/>
      <c r="U8" s="241"/>
      <c r="V8" s="241"/>
      <c r="W8" s="241"/>
      <c r="X8" s="241"/>
      <c r="Y8" s="241"/>
      <c r="Z8" s="241"/>
    </row>
    <row r="9" spans="1:26" ht="14.25" customHeight="1">
      <c r="A9" s="241"/>
      <c r="B9" s="249" t="s">
        <v>94</v>
      </c>
      <c r="C9" s="250">
        <v>40901</v>
      </c>
      <c r="D9" s="251"/>
      <c r="E9" s="241"/>
      <c r="F9" s="268">
        <f>C26/C28</f>
        <v>0.11379730449459957</v>
      </c>
      <c r="G9" s="420" t="s">
        <v>220</v>
      </c>
      <c r="H9" s="421"/>
      <c r="I9" s="241"/>
      <c r="J9" s="258">
        <v>44075</v>
      </c>
      <c r="K9" s="259">
        <v>2463.27</v>
      </c>
      <c r="L9" s="262">
        <f t="shared" si="0"/>
        <v>4.2934054319079755E-2</v>
      </c>
      <c r="M9" s="241"/>
      <c r="N9" s="241"/>
      <c r="O9" s="241"/>
      <c r="P9" s="241"/>
      <c r="Q9" s="241"/>
      <c r="R9" s="241"/>
      <c r="S9" s="241"/>
      <c r="T9" s="241"/>
      <c r="U9" s="241"/>
      <c r="V9" s="241"/>
      <c r="W9" s="241"/>
      <c r="X9" s="241"/>
      <c r="Y9" s="241"/>
      <c r="Z9" s="241"/>
    </row>
    <row r="10" spans="1:26" ht="14.25" customHeight="1">
      <c r="A10" s="241"/>
      <c r="B10" s="249" t="s">
        <v>104</v>
      </c>
      <c r="C10" s="250">
        <v>1933055</v>
      </c>
      <c r="D10" s="251"/>
      <c r="E10" s="241"/>
      <c r="F10" s="269">
        <f>C27/C28</f>
        <v>0.88620269550540043</v>
      </c>
      <c r="G10" s="422" t="s">
        <v>221</v>
      </c>
      <c r="H10" s="423"/>
      <c r="I10" s="241"/>
      <c r="J10" s="258">
        <v>44105</v>
      </c>
      <c r="K10" s="259">
        <v>2282.1999999999998</v>
      </c>
      <c r="L10" s="262">
        <f t="shared" si="0"/>
        <v>-7.6349845523554227E-2</v>
      </c>
      <c r="M10" s="241"/>
      <c r="N10" s="241"/>
      <c r="O10" s="241"/>
      <c r="P10" s="241"/>
      <c r="Q10" s="241"/>
      <c r="R10" s="241"/>
      <c r="S10" s="241"/>
      <c r="T10" s="241"/>
      <c r="U10" s="241"/>
      <c r="V10" s="241"/>
      <c r="W10" s="241"/>
      <c r="X10" s="241"/>
      <c r="Y10" s="241"/>
      <c r="Z10" s="241"/>
    </row>
    <row r="11" spans="1:26" ht="14.25" customHeight="1">
      <c r="A11" s="241"/>
      <c r="B11" s="270" t="s">
        <v>222</v>
      </c>
      <c r="C11" s="271">
        <f>SUM(C6:C10)</f>
        <v>7076609</v>
      </c>
      <c r="D11" s="272"/>
      <c r="E11" s="241"/>
      <c r="F11" s="241"/>
      <c r="G11" s="241"/>
      <c r="H11" s="241"/>
      <c r="I11" s="241"/>
      <c r="J11" s="258">
        <v>44136</v>
      </c>
      <c r="K11" s="259">
        <v>2453.87</v>
      </c>
      <c r="L11" s="262">
        <f t="shared" si="0"/>
        <v>7.2526480131940324E-2</v>
      </c>
      <c r="M11" s="241"/>
      <c r="N11" s="241"/>
      <c r="O11" s="241"/>
      <c r="P11" s="241"/>
      <c r="Q11" s="241"/>
      <c r="R11" s="241"/>
      <c r="S11" s="241"/>
      <c r="T11" s="241"/>
      <c r="U11" s="241"/>
      <c r="V11" s="241"/>
      <c r="W11" s="241"/>
      <c r="X11" s="241"/>
      <c r="Y11" s="241"/>
      <c r="Z11" s="241"/>
    </row>
    <row r="12" spans="1:26" ht="14.25" customHeight="1">
      <c r="A12" s="241"/>
      <c r="B12" s="273" t="s">
        <v>223</v>
      </c>
      <c r="C12" s="274">
        <f>C13/C11</f>
        <v>0.22121795905355235</v>
      </c>
      <c r="D12" s="275"/>
      <c r="E12" s="241"/>
      <c r="F12" s="241"/>
      <c r="G12" s="241"/>
      <c r="H12" s="241"/>
      <c r="I12" s="241"/>
      <c r="J12" s="258">
        <v>44166</v>
      </c>
      <c r="K12" s="259">
        <v>2638.1</v>
      </c>
      <c r="L12" s="262">
        <f t="shared" si="0"/>
        <v>7.2392590931955089E-2</v>
      </c>
      <c r="M12" s="241"/>
      <c r="N12" s="241"/>
      <c r="O12" s="241"/>
      <c r="P12" s="241"/>
      <c r="Q12" s="241"/>
      <c r="R12" s="241"/>
      <c r="S12" s="241"/>
      <c r="T12" s="241"/>
      <c r="U12" s="241"/>
      <c r="V12" s="241"/>
      <c r="W12" s="241"/>
      <c r="X12" s="241"/>
      <c r="Y12" s="241"/>
      <c r="Z12" s="241"/>
    </row>
    <row r="13" spans="1:26" ht="14.25" customHeight="1">
      <c r="A13" s="241"/>
      <c r="B13" s="273" t="s">
        <v>224</v>
      </c>
      <c r="C13" s="261">
        <v>1565473</v>
      </c>
      <c r="D13" s="136"/>
      <c r="E13" s="241"/>
      <c r="F13" s="264" t="s">
        <v>225</v>
      </c>
      <c r="G13" s="241"/>
      <c r="H13" s="241"/>
      <c r="I13" s="241"/>
      <c r="J13" s="258">
        <v>44197</v>
      </c>
      <c r="K13" s="259">
        <v>3514.18</v>
      </c>
      <c r="L13" s="262">
        <f t="shared" si="0"/>
        <v>0.28674725104740167</v>
      </c>
      <c r="M13" s="241"/>
      <c r="N13" s="241"/>
      <c r="O13" s="241"/>
      <c r="P13" s="241"/>
      <c r="Q13" s="241"/>
      <c r="R13" s="241"/>
      <c r="S13" s="241"/>
      <c r="T13" s="241"/>
      <c r="U13" s="241"/>
      <c r="V13" s="241"/>
      <c r="W13" s="241"/>
      <c r="X13" s="241"/>
      <c r="Y13" s="241"/>
      <c r="Z13" s="241"/>
    </row>
    <row r="14" spans="1:26" ht="14.25" customHeight="1">
      <c r="A14" s="241"/>
      <c r="B14" s="273" t="s">
        <v>226</v>
      </c>
      <c r="C14" s="276">
        <f>-IS!H20</f>
        <v>6378562</v>
      </c>
      <c r="D14" s="277"/>
      <c r="E14" s="241"/>
      <c r="F14" s="241"/>
      <c r="G14" s="241"/>
      <c r="H14" s="241"/>
      <c r="I14" s="241"/>
      <c r="J14" s="258">
        <v>44228</v>
      </c>
      <c r="K14" s="259">
        <v>2966.63</v>
      </c>
      <c r="L14" s="262">
        <f t="shared" si="0"/>
        <v>-0.16937958368669651</v>
      </c>
      <c r="M14" s="241"/>
      <c r="N14" s="241"/>
      <c r="O14" s="241"/>
      <c r="P14" s="241"/>
      <c r="Q14" s="241"/>
      <c r="R14" s="241"/>
      <c r="S14" s="241"/>
      <c r="T14" s="241"/>
      <c r="U14" s="241"/>
      <c r="V14" s="241"/>
      <c r="W14" s="241"/>
      <c r="X14" s="241"/>
      <c r="Y14" s="241"/>
      <c r="Z14" s="241"/>
    </row>
    <row r="15" spans="1:26" ht="14.25" customHeight="1">
      <c r="A15" s="241"/>
      <c r="B15" s="273" t="s">
        <v>227</v>
      </c>
      <c r="C15" s="276">
        <f>IS!H19</f>
        <v>16036224</v>
      </c>
      <c r="D15" s="277"/>
      <c r="E15" s="241"/>
      <c r="F15" s="278" t="s">
        <v>228</v>
      </c>
      <c r="G15" s="278" t="s">
        <v>229</v>
      </c>
      <c r="H15" s="241"/>
      <c r="I15" s="241"/>
      <c r="J15" s="258">
        <v>44256</v>
      </c>
      <c r="K15" s="259">
        <v>2850.12</v>
      </c>
      <c r="L15" s="262">
        <f t="shared" si="0"/>
        <v>-4.0065529785727576E-2</v>
      </c>
      <c r="M15" s="241"/>
      <c r="N15" s="241"/>
      <c r="O15" s="241"/>
      <c r="P15" s="241"/>
      <c r="Q15" s="241"/>
      <c r="R15" s="241"/>
      <c r="S15" s="241"/>
      <c r="T15" s="241"/>
      <c r="U15" s="241"/>
      <c r="V15" s="241"/>
      <c r="W15" s="241"/>
      <c r="X15" s="241"/>
      <c r="Y15" s="241"/>
      <c r="Z15" s="241"/>
    </row>
    <row r="16" spans="1:26" ht="14.25" customHeight="1">
      <c r="A16" s="241"/>
      <c r="B16" s="273" t="s">
        <v>34</v>
      </c>
      <c r="C16" s="279">
        <f>C14/C15</f>
        <v>0.39775959727177668</v>
      </c>
      <c r="D16" s="280"/>
      <c r="E16" s="241"/>
      <c r="F16" s="281" t="s">
        <v>230</v>
      </c>
      <c r="G16" s="282">
        <v>8.8499999999999995E-2</v>
      </c>
      <c r="H16" s="241"/>
      <c r="I16" s="241"/>
      <c r="J16" s="258">
        <v>44287</v>
      </c>
      <c r="K16" s="259">
        <v>2869.25</v>
      </c>
      <c r="L16" s="262">
        <f t="shared" si="0"/>
        <v>6.6895729213253098E-3</v>
      </c>
      <c r="M16" s="241"/>
      <c r="N16" s="241"/>
      <c r="O16" s="241"/>
      <c r="P16" s="241"/>
      <c r="Q16" s="241"/>
      <c r="R16" s="241"/>
      <c r="S16" s="241"/>
      <c r="T16" s="241"/>
      <c r="U16" s="241"/>
      <c r="V16" s="241"/>
      <c r="W16" s="241"/>
      <c r="X16" s="241"/>
      <c r="Y16" s="241"/>
      <c r="Z16" s="241"/>
    </row>
    <row r="17" spans="1:26" ht="14.25" customHeight="1">
      <c r="A17" s="241"/>
      <c r="B17" s="283" t="s">
        <v>231</v>
      </c>
      <c r="C17" s="284">
        <f>C12*(1-C16)</f>
        <v>0.13322639275112699</v>
      </c>
      <c r="D17" s="285"/>
      <c r="E17" s="241"/>
      <c r="F17" s="281" t="s">
        <v>232</v>
      </c>
      <c r="G17" s="282">
        <v>9.4700000000000006E-2</v>
      </c>
      <c r="H17" s="241"/>
      <c r="I17" s="241"/>
      <c r="J17" s="258">
        <v>44317</v>
      </c>
      <c r="K17" s="259">
        <v>2978.81</v>
      </c>
      <c r="L17" s="262">
        <f t="shared" si="0"/>
        <v>3.7473220326610594E-2</v>
      </c>
      <c r="M17" s="241"/>
      <c r="N17" s="241"/>
      <c r="O17" s="241"/>
      <c r="P17" s="241"/>
      <c r="Q17" s="241"/>
      <c r="R17" s="241"/>
      <c r="S17" s="241"/>
      <c r="T17" s="241"/>
      <c r="U17" s="241"/>
      <c r="V17" s="241"/>
      <c r="W17" s="241"/>
      <c r="X17" s="241"/>
      <c r="Y17" s="241"/>
      <c r="Z17" s="241"/>
    </row>
    <row r="18" spans="1:26" ht="14.25" customHeight="1">
      <c r="A18" s="241"/>
      <c r="B18" s="286"/>
      <c r="C18" s="287"/>
      <c r="D18" s="201"/>
      <c r="E18" s="241"/>
      <c r="F18" s="288" t="s">
        <v>233</v>
      </c>
      <c r="G18" s="289">
        <v>0.1046</v>
      </c>
      <c r="H18" s="241"/>
      <c r="I18" s="241"/>
      <c r="J18" s="258">
        <v>44348</v>
      </c>
      <c r="K18" s="259">
        <v>2968.26</v>
      </c>
      <c r="L18" s="262">
        <f t="shared" si="0"/>
        <v>-3.5479693587004823E-3</v>
      </c>
      <c r="M18" s="241"/>
      <c r="N18" s="241"/>
      <c r="O18" s="241"/>
      <c r="P18" s="241"/>
      <c r="Q18" s="241"/>
      <c r="R18" s="241"/>
      <c r="S18" s="241"/>
      <c r="T18" s="241"/>
      <c r="U18" s="241"/>
      <c r="V18" s="241"/>
      <c r="W18" s="241"/>
      <c r="X18" s="241"/>
      <c r="Y18" s="241"/>
      <c r="Z18" s="241"/>
    </row>
    <row r="19" spans="1:26" ht="14.25" customHeight="1">
      <c r="A19" s="241"/>
      <c r="B19" s="243" t="s">
        <v>234</v>
      </c>
      <c r="C19" s="290"/>
      <c r="D19" s="241"/>
      <c r="E19" s="241"/>
      <c r="F19" s="241"/>
      <c r="G19" s="241"/>
      <c r="H19" s="241"/>
      <c r="I19" s="241"/>
      <c r="J19" s="258">
        <v>44378</v>
      </c>
      <c r="K19" s="259">
        <v>3062.17</v>
      </c>
      <c r="L19" s="262">
        <f t="shared" si="0"/>
        <v>3.1147892416255662E-2</v>
      </c>
      <c r="M19" s="241"/>
      <c r="N19" s="241"/>
      <c r="O19" s="241"/>
      <c r="P19" s="241"/>
      <c r="Q19" s="241"/>
      <c r="R19" s="241"/>
      <c r="S19" s="241"/>
      <c r="T19" s="241"/>
      <c r="U19" s="241"/>
      <c r="V19" s="241"/>
      <c r="W19" s="241"/>
      <c r="X19" s="241"/>
      <c r="Y19" s="241"/>
      <c r="Z19" s="241"/>
    </row>
    <row r="20" spans="1:26" ht="14.25" customHeight="1">
      <c r="A20" s="241"/>
      <c r="B20" s="176" t="s">
        <v>235</v>
      </c>
      <c r="C20" s="291">
        <f>G18</f>
        <v>0.1046</v>
      </c>
      <c r="D20" s="241"/>
      <c r="E20" s="241"/>
      <c r="F20" s="241"/>
      <c r="G20" s="241"/>
      <c r="H20" s="241"/>
      <c r="I20" s="241"/>
      <c r="J20" s="258">
        <v>44409</v>
      </c>
      <c r="K20" s="259">
        <v>3364.59</v>
      </c>
      <c r="L20" s="262">
        <f t="shared" si="0"/>
        <v>9.4182298214199545E-2</v>
      </c>
      <c r="M20" s="241"/>
      <c r="N20" s="241"/>
      <c r="O20" s="241"/>
      <c r="P20" s="241"/>
      <c r="Q20" s="241"/>
      <c r="R20" s="241"/>
      <c r="S20" s="241"/>
      <c r="T20" s="241"/>
      <c r="U20" s="241"/>
      <c r="V20" s="241"/>
      <c r="W20" s="241"/>
      <c r="X20" s="241"/>
      <c r="Y20" s="241"/>
      <c r="Z20" s="241"/>
    </row>
    <row r="21" spans="1:26" ht="14.25" customHeight="1">
      <c r="A21" s="241"/>
      <c r="B21" s="292" t="s">
        <v>236</v>
      </c>
      <c r="C21" s="290">
        <v>0.61</v>
      </c>
      <c r="D21" s="293"/>
      <c r="E21" s="241"/>
      <c r="F21" s="241"/>
      <c r="G21" s="241"/>
      <c r="H21" s="241"/>
      <c r="I21" s="241"/>
      <c r="J21" s="258">
        <v>44440</v>
      </c>
      <c r="K21" s="259">
        <v>3534.82</v>
      </c>
      <c r="L21" s="262">
        <f t="shared" si="0"/>
        <v>4.9356265497442584E-2</v>
      </c>
      <c r="M21" s="241"/>
      <c r="N21" s="241"/>
      <c r="O21" s="241"/>
      <c r="P21" s="241"/>
      <c r="Q21" s="241"/>
      <c r="R21" s="241"/>
      <c r="S21" s="241"/>
      <c r="T21" s="241"/>
      <c r="U21" s="241"/>
      <c r="V21" s="241"/>
      <c r="W21" s="241"/>
      <c r="X21" s="241"/>
      <c r="Y21" s="241"/>
      <c r="Z21" s="241"/>
    </row>
    <row r="22" spans="1:26" ht="14.25" customHeight="1">
      <c r="A22" s="241"/>
      <c r="B22" s="273" t="s">
        <v>237</v>
      </c>
      <c r="C22" s="294">
        <f>O8</f>
        <v>0.19669999356337353</v>
      </c>
      <c r="D22" s="295"/>
      <c r="E22" s="241"/>
      <c r="F22" s="241"/>
      <c r="G22" s="241"/>
      <c r="H22" s="241"/>
      <c r="I22" s="241"/>
      <c r="J22" s="258">
        <v>44470</v>
      </c>
      <c r="K22" s="259">
        <v>3708.52</v>
      </c>
      <c r="L22" s="262">
        <f t="shared" si="0"/>
        <v>4.7970496521529037E-2</v>
      </c>
      <c r="M22" s="241"/>
      <c r="N22" s="241"/>
      <c r="O22" s="241"/>
      <c r="P22" s="241"/>
      <c r="Q22" s="241"/>
      <c r="R22" s="241"/>
      <c r="S22" s="241"/>
      <c r="T22" s="241"/>
      <c r="U22" s="241"/>
      <c r="V22" s="241"/>
      <c r="W22" s="241"/>
      <c r="X22" s="241"/>
      <c r="Y22" s="241"/>
      <c r="Z22" s="241"/>
    </row>
    <row r="23" spans="1:26" ht="14.25" customHeight="1">
      <c r="A23" s="241"/>
      <c r="B23" s="283" t="s">
        <v>238</v>
      </c>
      <c r="C23" s="284">
        <f>C20+(C21*(C22-C20))</f>
        <v>0.16078099607365787</v>
      </c>
      <c r="D23" s="285"/>
      <c r="E23" s="241"/>
      <c r="F23" s="241"/>
      <c r="G23" s="241"/>
      <c r="H23" s="241"/>
      <c r="I23" s="241"/>
      <c r="J23" s="258">
        <v>44501</v>
      </c>
      <c r="K23" s="259">
        <v>3875.96</v>
      </c>
      <c r="L23" s="262">
        <f t="shared" si="0"/>
        <v>4.4160498861850687E-2</v>
      </c>
      <c r="M23" s="241"/>
      <c r="N23" s="241"/>
      <c r="O23" s="241"/>
      <c r="P23" s="241"/>
      <c r="Q23" s="241"/>
      <c r="R23" s="241"/>
      <c r="S23" s="241"/>
      <c r="T23" s="241"/>
      <c r="U23" s="241"/>
      <c r="V23" s="241"/>
      <c r="W23" s="241"/>
      <c r="X23" s="241"/>
      <c r="Y23" s="241"/>
      <c r="Z23" s="241"/>
    </row>
    <row r="24" spans="1:26" ht="14.25" customHeight="1">
      <c r="A24" s="241"/>
      <c r="B24" s="273"/>
      <c r="C24" s="296"/>
      <c r="D24" s="297"/>
      <c r="E24" s="241"/>
      <c r="F24" s="241"/>
      <c r="G24" s="241"/>
      <c r="H24" s="241"/>
      <c r="I24" s="241"/>
      <c r="J24" s="258">
        <v>44531</v>
      </c>
      <c r="K24" s="259">
        <v>4233.25</v>
      </c>
      <c r="L24" s="262">
        <f t="shared" si="0"/>
        <v>8.8176645505484555E-2</v>
      </c>
      <c r="M24" s="241"/>
      <c r="N24" s="241"/>
      <c r="O24" s="241"/>
      <c r="P24" s="241"/>
      <c r="Q24" s="241"/>
      <c r="R24" s="241"/>
      <c r="S24" s="241"/>
      <c r="T24" s="241"/>
      <c r="U24" s="241"/>
      <c r="V24" s="241"/>
      <c r="W24" s="241"/>
      <c r="X24" s="241"/>
      <c r="Y24" s="241"/>
      <c r="Z24" s="241"/>
    </row>
    <row r="25" spans="1:26" ht="14.25" customHeight="1">
      <c r="A25" s="241"/>
      <c r="B25" s="243" t="s">
        <v>239</v>
      </c>
      <c r="C25" s="296"/>
      <c r="D25" s="297"/>
      <c r="E25" s="241"/>
      <c r="F25" s="241"/>
      <c r="G25" s="241"/>
      <c r="H25" s="241"/>
      <c r="I25" s="241"/>
      <c r="J25" s="258">
        <v>44562</v>
      </c>
      <c r="K25" s="259">
        <v>4397.57</v>
      </c>
      <c r="L25" s="262">
        <f t="shared" si="0"/>
        <v>3.8082096074875123E-2</v>
      </c>
      <c r="M25" s="241"/>
      <c r="N25" s="241"/>
      <c r="O25" s="241"/>
      <c r="P25" s="241"/>
      <c r="Q25" s="241"/>
      <c r="R25" s="241"/>
      <c r="S25" s="241"/>
      <c r="T25" s="241"/>
      <c r="U25" s="241"/>
      <c r="V25" s="241"/>
      <c r="W25" s="241"/>
      <c r="X25" s="241"/>
      <c r="Y25" s="241"/>
      <c r="Z25" s="241"/>
    </row>
    <row r="26" spans="1:26" ht="14.25" customHeight="1">
      <c r="A26" s="241"/>
      <c r="B26" s="273" t="s">
        <v>240</v>
      </c>
      <c r="C26" s="298">
        <f>C11</f>
        <v>7076609</v>
      </c>
      <c r="D26" s="299"/>
      <c r="E26" s="241"/>
      <c r="F26" s="241"/>
      <c r="G26" s="241"/>
      <c r="H26" s="241"/>
      <c r="I26" s="241"/>
      <c r="J26" s="258">
        <v>44593</v>
      </c>
      <c r="K26" s="259">
        <v>3936.81</v>
      </c>
      <c r="L26" s="262">
        <f t="shared" si="0"/>
        <v>-0.11068136493766381</v>
      </c>
      <c r="M26" s="241"/>
      <c r="N26" s="241"/>
      <c r="O26" s="241"/>
      <c r="P26" s="241"/>
      <c r="Q26" s="241"/>
      <c r="R26" s="241"/>
      <c r="S26" s="241"/>
      <c r="T26" s="241"/>
      <c r="U26" s="241"/>
      <c r="V26" s="241"/>
      <c r="W26" s="241"/>
      <c r="X26" s="241"/>
      <c r="Y26" s="241"/>
      <c r="Z26" s="241"/>
    </row>
    <row r="27" spans="1:26" ht="14.25" customHeight="1">
      <c r="A27" s="241"/>
      <c r="B27" s="273" t="s">
        <v>241</v>
      </c>
      <c r="C27" s="298">
        <f>G5</f>
        <v>55109477.317500003</v>
      </c>
      <c r="D27" s="241"/>
      <c r="E27" s="241"/>
      <c r="F27" s="241"/>
      <c r="G27" s="241"/>
      <c r="H27" s="241"/>
      <c r="I27" s="241"/>
      <c r="J27" s="258">
        <v>44621</v>
      </c>
      <c r="K27" s="259">
        <v>3031.16</v>
      </c>
      <c r="L27" s="262">
        <f t="shared" si="0"/>
        <v>-0.26142536615929585</v>
      </c>
      <c r="M27" s="241"/>
      <c r="N27" s="241"/>
      <c r="O27" s="241"/>
      <c r="P27" s="241"/>
      <c r="Q27" s="241"/>
      <c r="R27" s="241"/>
      <c r="S27" s="241"/>
      <c r="T27" s="241"/>
      <c r="U27" s="241"/>
      <c r="V27" s="241"/>
      <c r="W27" s="241"/>
      <c r="X27" s="241"/>
      <c r="Y27" s="241"/>
      <c r="Z27" s="241"/>
    </row>
    <row r="28" spans="1:26" ht="14.25" customHeight="1">
      <c r="A28" s="241"/>
      <c r="B28" s="300" t="s">
        <v>242</v>
      </c>
      <c r="C28" s="301">
        <f>SUM(C26:C27)</f>
        <v>62186086.317500003</v>
      </c>
      <c r="D28" s="302"/>
      <c r="E28" s="241"/>
      <c r="F28" s="241"/>
      <c r="G28" s="241"/>
      <c r="H28" s="241"/>
      <c r="I28" s="241"/>
      <c r="J28" s="258">
        <v>44652</v>
      </c>
      <c r="K28" s="259">
        <v>2509.2399999999998</v>
      </c>
      <c r="L28" s="262">
        <f t="shared" si="0"/>
        <v>-0.18896546609195528</v>
      </c>
      <c r="M28" s="241"/>
      <c r="N28" s="241"/>
      <c r="O28" s="241"/>
      <c r="P28" s="241"/>
      <c r="Q28" s="241"/>
      <c r="R28" s="241"/>
      <c r="S28" s="241"/>
      <c r="T28" s="241"/>
      <c r="U28" s="241"/>
      <c r="V28" s="241"/>
      <c r="W28" s="241"/>
      <c r="X28" s="241"/>
      <c r="Y28" s="241"/>
      <c r="Z28" s="241"/>
    </row>
    <row r="29" spans="1:26" ht="14.25" customHeight="1">
      <c r="A29" s="241"/>
      <c r="B29" s="303"/>
      <c r="C29" s="244"/>
      <c r="D29" s="245"/>
      <c r="E29" s="241"/>
      <c r="F29" s="241"/>
      <c r="G29" s="241"/>
      <c r="H29" s="241"/>
      <c r="I29" s="241"/>
      <c r="J29" s="258">
        <v>44682</v>
      </c>
      <c r="K29" s="259">
        <v>2679.33</v>
      </c>
      <c r="L29" s="262">
        <f t="shared" si="0"/>
        <v>6.5586844818282669E-2</v>
      </c>
      <c r="M29" s="241"/>
      <c r="N29" s="241"/>
      <c r="O29" s="241"/>
      <c r="P29" s="241"/>
      <c r="Q29" s="241"/>
      <c r="R29" s="241"/>
      <c r="S29" s="241"/>
      <c r="T29" s="241"/>
      <c r="U29" s="241"/>
      <c r="V29" s="241"/>
      <c r="W29" s="241"/>
      <c r="X29" s="241"/>
      <c r="Y29" s="241"/>
      <c r="Z29" s="241"/>
    </row>
    <row r="30" spans="1:26" ht="14.25" customHeight="1">
      <c r="A30" s="241"/>
      <c r="B30" s="304" t="s">
        <v>243</v>
      </c>
      <c r="C30" s="305">
        <f>(F10*C23) + (F9*C17)</f>
        <v>0.15764535648913591</v>
      </c>
      <c r="D30" s="306"/>
      <c r="E30" s="241"/>
      <c r="F30" s="241"/>
      <c r="G30" s="241"/>
      <c r="H30" s="241"/>
      <c r="I30" s="241"/>
      <c r="J30" s="258">
        <v>44713</v>
      </c>
      <c r="K30" s="259">
        <v>2334.36</v>
      </c>
      <c r="L30" s="262">
        <f t="shared" si="0"/>
        <v>-0.13782899965196702</v>
      </c>
      <c r="M30" s="241"/>
      <c r="N30" s="241"/>
      <c r="O30" s="241"/>
      <c r="P30" s="241"/>
      <c r="Q30" s="241"/>
      <c r="R30" s="241"/>
      <c r="S30" s="241"/>
      <c r="T30" s="241"/>
      <c r="U30" s="241"/>
      <c r="V30" s="241"/>
      <c r="W30" s="241"/>
      <c r="X30" s="241"/>
      <c r="Y30" s="241"/>
      <c r="Z30" s="241"/>
    </row>
    <row r="31" spans="1:26" ht="14.25" customHeight="1">
      <c r="A31" s="241"/>
      <c r="B31" s="176"/>
      <c r="C31" s="290"/>
      <c r="D31" s="241"/>
      <c r="E31" s="241"/>
      <c r="F31" s="241"/>
      <c r="G31" s="241"/>
      <c r="H31" s="241"/>
      <c r="I31" s="241"/>
      <c r="J31" s="258">
        <v>44743</v>
      </c>
      <c r="K31" s="259">
        <v>2448.36</v>
      </c>
      <c r="L31" s="262">
        <f t="shared" si="0"/>
        <v>4.7680649045931257E-2</v>
      </c>
      <c r="M31" s="241"/>
      <c r="N31" s="241"/>
      <c r="O31" s="241"/>
      <c r="P31" s="241"/>
      <c r="Q31" s="241"/>
      <c r="R31" s="241"/>
      <c r="S31" s="241"/>
      <c r="T31" s="241"/>
      <c r="U31" s="241"/>
      <c r="V31" s="241"/>
      <c r="W31" s="241"/>
      <c r="X31" s="241"/>
      <c r="Y31" s="241"/>
      <c r="Z31" s="241"/>
    </row>
    <row r="32" spans="1:26" ht="14.25" customHeight="1">
      <c r="A32" s="241"/>
      <c r="B32" s="307"/>
      <c r="C32" s="307"/>
      <c r="D32" s="241"/>
      <c r="E32" s="241"/>
      <c r="F32" s="241"/>
      <c r="G32" s="241"/>
      <c r="H32" s="241"/>
      <c r="I32" s="241"/>
      <c r="J32" s="258">
        <v>44774</v>
      </c>
      <c r="K32" s="259">
        <v>2928.97</v>
      </c>
      <c r="L32" s="262">
        <f t="shared" si="0"/>
        <v>0.17923241272807164</v>
      </c>
      <c r="M32" s="241"/>
      <c r="N32" s="241"/>
      <c r="O32" s="241"/>
      <c r="P32" s="241"/>
      <c r="Q32" s="241"/>
      <c r="R32" s="241"/>
      <c r="S32" s="241"/>
      <c r="T32" s="241"/>
      <c r="U32" s="241"/>
      <c r="V32" s="241"/>
      <c r="W32" s="241"/>
      <c r="X32" s="241"/>
      <c r="Y32" s="241"/>
      <c r="Z32" s="241"/>
    </row>
    <row r="33" spans="1:26" ht="14.25" customHeight="1">
      <c r="A33" s="241"/>
      <c r="B33" s="241"/>
      <c r="C33" s="241"/>
      <c r="D33" s="241"/>
      <c r="E33" s="241"/>
      <c r="F33" s="241"/>
      <c r="G33" s="241"/>
      <c r="H33" s="241"/>
      <c r="I33" s="241"/>
      <c r="J33" s="258">
        <v>44805</v>
      </c>
      <c r="K33" s="259">
        <v>3165.33</v>
      </c>
      <c r="L33" s="262">
        <f t="shared" si="0"/>
        <v>7.7606490174131904E-2</v>
      </c>
      <c r="M33" s="241"/>
      <c r="N33" s="241"/>
      <c r="O33" s="241"/>
      <c r="P33" s="241"/>
      <c r="Q33" s="241"/>
      <c r="R33" s="241"/>
      <c r="S33" s="241"/>
      <c r="T33" s="241"/>
      <c r="U33" s="241"/>
      <c r="V33" s="241"/>
      <c r="W33" s="241"/>
      <c r="X33" s="241"/>
      <c r="Y33" s="241"/>
      <c r="Z33" s="241"/>
    </row>
    <row r="34" spans="1:26" ht="14.25" customHeight="1">
      <c r="A34" s="241"/>
      <c r="B34" s="241"/>
      <c r="C34" s="241"/>
      <c r="D34" s="241"/>
      <c r="E34" s="241"/>
      <c r="F34" s="241"/>
      <c r="G34" s="241"/>
      <c r="H34" s="241"/>
      <c r="I34" s="241"/>
      <c r="J34" s="258">
        <v>44835</v>
      </c>
      <c r="K34" s="259">
        <v>2590.61</v>
      </c>
      <c r="L34" s="262">
        <f t="shared" si="0"/>
        <v>-0.20036394634752824</v>
      </c>
      <c r="M34" s="241"/>
      <c r="N34" s="241"/>
      <c r="O34" s="241"/>
      <c r="P34" s="241"/>
      <c r="Q34" s="241"/>
      <c r="R34" s="241"/>
      <c r="S34" s="241"/>
      <c r="T34" s="241"/>
      <c r="U34" s="241"/>
      <c r="V34" s="241"/>
      <c r="W34" s="241"/>
      <c r="X34" s="241"/>
      <c r="Y34" s="241"/>
      <c r="Z34" s="241"/>
    </row>
    <row r="35" spans="1:26" ht="14.25" customHeight="1">
      <c r="A35" s="241"/>
      <c r="B35" s="241"/>
      <c r="C35" s="241"/>
      <c r="D35" s="241"/>
      <c r="E35" s="241"/>
      <c r="F35" s="241"/>
      <c r="G35" s="241"/>
      <c r="H35" s="241"/>
      <c r="I35" s="241"/>
      <c r="J35" s="258">
        <v>44866</v>
      </c>
      <c r="K35" s="259">
        <v>2730.08</v>
      </c>
      <c r="L35" s="262">
        <f t="shared" si="0"/>
        <v>5.2437543580622144E-2</v>
      </c>
      <c r="M35" s="241"/>
      <c r="N35" s="241"/>
      <c r="O35" s="241"/>
      <c r="P35" s="241"/>
      <c r="Q35" s="241"/>
      <c r="R35" s="241"/>
      <c r="S35" s="241"/>
      <c r="T35" s="241"/>
      <c r="U35" s="241"/>
      <c r="V35" s="241"/>
      <c r="W35" s="241"/>
      <c r="X35" s="241"/>
      <c r="Y35" s="241"/>
      <c r="Z35" s="241"/>
    </row>
    <row r="36" spans="1:26" ht="15.75" customHeight="1">
      <c r="A36" s="241"/>
      <c r="B36" s="241"/>
      <c r="C36" s="241"/>
      <c r="D36" s="241"/>
      <c r="E36" s="241"/>
      <c r="F36" s="241"/>
      <c r="G36" s="241"/>
      <c r="H36" s="241"/>
      <c r="I36" s="241"/>
      <c r="J36" s="258">
        <v>44896</v>
      </c>
      <c r="K36" s="259">
        <v>2635.63</v>
      </c>
      <c r="L36" s="262">
        <f t="shared" si="0"/>
        <v>-3.5208670196695331E-2</v>
      </c>
      <c r="M36" s="241"/>
      <c r="N36" s="241"/>
      <c r="O36" s="241"/>
      <c r="P36" s="241"/>
      <c r="Q36" s="241"/>
      <c r="R36" s="241"/>
      <c r="S36" s="241"/>
      <c r="T36" s="241"/>
      <c r="U36" s="241"/>
      <c r="V36" s="241"/>
      <c r="W36" s="241"/>
      <c r="X36" s="241"/>
      <c r="Y36" s="241"/>
      <c r="Z36" s="241"/>
    </row>
    <row r="37" spans="1:26" ht="14.25" customHeight="1">
      <c r="A37" s="241"/>
      <c r="B37" s="241"/>
      <c r="C37" s="241"/>
      <c r="D37" s="241"/>
      <c r="E37" s="241"/>
      <c r="F37" s="241"/>
      <c r="G37" s="241"/>
      <c r="H37" s="241"/>
      <c r="I37" s="241"/>
      <c r="J37" s="258">
        <v>44927</v>
      </c>
      <c r="K37" s="259">
        <v>2764.51</v>
      </c>
      <c r="L37" s="262">
        <f t="shared" si="0"/>
        <v>4.7741161479835245E-2</v>
      </c>
      <c r="M37" s="241"/>
      <c r="N37" s="241"/>
      <c r="O37" s="241"/>
      <c r="P37" s="241"/>
      <c r="Q37" s="241"/>
      <c r="R37" s="241"/>
      <c r="S37" s="241"/>
      <c r="T37" s="241"/>
      <c r="U37" s="241"/>
      <c r="V37" s="241"/>
      <c r="W37" s="241"/>
      <c r="X37" s="241"/>
      <c r="Y37" s="241"/>
      <c r="Z37" s="241"/>
    </row>
    <row r="38" spans="1:26" ht="14.25" customHeight="1">
      <c r="A38" s="241"/>
      <c r="B38" s="241"/>
      <c r="C38" s="241"/>
      <c r="D38" s="241"/>
      <c r="E38" s="241"/>
      <c r="F38" s="241"/>
      <c r="G38" s="241"/>
      <c r="H38" s="241"/>
      <c r="I38" s="241"/>
      <c r="J38" s="258">
        <v>44958</v>
      </c>
      <c r="K38" s="259">
        <v>2796.71</v>
      </c>
      <c r="L38" s="262">
        <f t="shared" si="0"/>
        <v>1.1580322247478817E-2</v>
      </c>
      <c r="M38" s="241"/>
      <c r="N38" s="241"/>
      <c r="O38" s="241"/>
      <c r="P38" s="241"/>
      <c r="Q38" s="241"/>
      <c r="R38" s="241"/>
      <c r="S38" s="241"/>
      <c r="T38" s="241"/>
      <c r="U38" s="241"/>
      <c r="V38" s="241"/>
      <c r="W38" s="241"/>
      <c r="X38" s="241"/>
      <c r="Y38" s="241"/>
      <c r="Z38" s="241"/>
    </row>
    <row r="39" spans="1:26" ht="14.25" customHeight="1">
      <c r="A39" s="241"/>
      <c r="B39" s="241"/>
      <c r="C39" s="241"/>
      <c r="D39" s="241"/>
      <c r="E39" s="241"/>
      <c r="F39" s="241"/>
      <c r="G39" s="241"/>
      <c r="H39" s="241"/>
      <c r="I39" s="241"/>
      <c r="J39" s="258">
        <v>44986</v>
      </c>
      <c r="K39" s="259">
        <v>2682.83</v>
      </c>
      <c r="L39" s="262">
        <f t="shared" si="0"/>
        <v>-4.1571518799711493E-2</v>
      </c>
      <c r="M39" s="241"/>
      <c r="N39" s="241"/>
      <c r="O39" s="241"/>
      <c r="P39" s="241"/>
      <c r="Q39" s="241"/>
      <c r="R39" s="241"/>
      <c r="S39" s="241"/>
      <c r="T39" s="241"/>
      <c r="U39" s="241"/>
      <c r="V39" s="241"/>
      <c r="W39" s="241"/>
      <c r="X39" s="241"/>
      <c r="Y39" s="241"/>
      <c r="Z39" s="241"/>
    </row>
    <row r="40" spans="1:26" ht="14.25" customHeight="1">
      <c r="A40" s="241"/>
      <c r="B40" s="241"/>
      <c r="C40" s="241"/>
      <c r="D40" s="241"/>
      <c r="E40" s="241"/>
      <c r="F40" s="241"/>
      <c r="G40" s="241"/>
      <c r="H40" s="241"/>
      <c r="I40" s="241"/>
      <c r="J40" s="258">
        <v>45017</v>
      </c>
      <c r="K40" s="259">
        <v>2617.79</v>
      </c>
      <c r="L40" s="262">
        <f t="shared" si="0"/>
        <v>-2.4541757161067365E-2</v>
      </c>
      <c r="M40" s="241"/>
      <c r="N40" s="241"/>
      <c r="O40" s="241"/>
      <c r="P40" s="241"/>
      <c r="Q40" s="241"/>
      <c r="R40" s="241"/>
      <c r="S40" s="241"/>
      <c r="T40" s="241"/>
      <c r="U40" s="241"/>
      <c r="V40" s="241"/>
      <c r="W40" s="241"/>
      <c r="X40" s="241"/>
      <c r="Y40" s="241"/>
      <c r="Z40" s="241"/>
    </row>
    <row r="41" spans="1:26" ht="14.25" customHeight="1">
      <c r="A41" s="241"/>
      <c r="B41" s="241"/>
      <c r="C41" s="241"/>
      <c r="D41" s="241"/>
      <c r="E41" s="241"/>
      <c r="F41" s="241"/>
      <c r="G41" s="241"/>
      <c r="H41" s="241"/>
      <c r="I41" s="241"/>
      <c r="J41" s="258">
        <v>45047</v>
      </c>
      <c r="K41" s="259">
        <v>2421.4899999999998</v>
      </c>
      <c r="L41" s="262">
        <f t="shared" si="0"/>
        <v>-7.7947397185729198E-2</v>
      </c>
      <c r="M41" s="241"/>
      <c r="N41" s="241"/>
      <c r="O41" s="241"/>
      <c r="P41" s="241"/>
      <c r="Q41" s="241"/>
      <c r="R41" s="241"/>
      <c r="S41" s="241"/>
      <c r="T41" s="241"/>
      <c r="U41" s="241"/>
      <c r="V41" s="241"/>
      <c r="W41" s="241"/>
      <c r="X41" s="241"/>
      <c r="Y41" s="241"/>
      <c r="Z41" s="241"/>
    </row>
    <row r="42" spans="1:26" ht="14.25" customHeight="1">
      <c r="A42" s="241"/>
      <c r="B42" s="241"/>
      <c r="C42" s="241"/>
      <c r="D42" s="241"/>
      <c r="E42" s="241"/>
      <c r="F42" s="241"/>
      <c r="G42" s="241"/>
      <c r="H42" s="241"/>
      <c r="I42" s="241"/>
      <c r="J42" s="258">
        <v>45078</v>
      </c>
      <c r="K42" s="259">
        <v>2713.65</v>
      </c>
      <c r="L42" s="262">
        <f t="shared" si="0"/>
        <v>0.11391153897231436</v>
      </c>
      <c r="M42" s="241"/>
      <c r="N42" s="241"/>
      <c r="O42" s="241"/>
      <c r="P42" s="241"/>
      <c r="Q42" s="241"/>
      <c r="R42" s="241"/>
      <c r="S42" s="241"/>
      <c r="T42" s="241"/>
      <c r="U42" s="241"/>
      <c r="V42" s="241"/>
      <c r="W42" s="241"/>
      <c r="X42" s="241"/>
      <c r="Y42" s="241"/>
      <c r="Z42" s="241"/>
    </row>
    <row r="43" spans="1:26" ht="14.25" customHeight="1">
      <c r="A43" s="241"/>
      <c r="B43" s="241"/>
      <c r="C43" s="241"/>
      <c r="D43" s="241"/>
      <c r="E43" s="241"/>
      <c r="F43" s="241"/>
      <c r="G43" s="241"/>
      <c r="H43" s="241"/>
      <c r="I43" s="241"/>
      <c r="J43" s="258">
        <v>45108</v>
      </c>
      <c r="K43" s="259">
        <v>3309.6</v>
      </c>
      <c r="L43" s="262">
        <f t="shared" si="0"/>
        <v>0.1985327440118218</v>
      </c>
      <c r="M43" s="241"/>
      <c r="N43" s="241"/>
      <c r="O43" s="241"/>
      <c r="P43" s="241"/>
      <c r="Q43" s="241"/>
      <c r="R43" s="241"/>
      <c r="S43" s="241"/>
      <c r="T43" s="241"/>
      <c r="U43" s="241"/>
      <c r="V43" s="241"/>
      <c r="W43" s="241"/>
      <c r="X43" s="241"/>
      <c r="Y43" s="241"/>
      <c r="Z43" s="241"/>
    </row>
    <row r="44" spans="1:26" ht="14.25" customHeight="1">
      <c r="A44" s="241"/>
      <c r="B44" s="241"/>
      <c r="C44" s="241"/>
      <c r="D44" s="241"/>
      <c r="E44" s="241"/>
      <c r="F44" s="241"/>
      <c r="G44" s="241"/>
      <c r="H44" s="241"/>
      <c r="I44" s="241"/>
      <c r="J44" s="258">
        <v>45139</v>
      </c>
      <c r="K44" s="259">
        <v>3131.07</v>
      </c>
      <c r="L44" s="262">
        <f t="shared" si="0"/>
        <v>-5.545253699629453E-2</v>
      </c>
      <c r="M44" s="241"/>
      <c r="N44" s="241"/>
      <c r="O44" s="241"/>
      <c r="P44" s="241"/>
      <c r="Q44" s="241"/>
      <c r="R44" s="241"/>
      <c r="S44" s="241"/>
      <c r="T44" s="241"/>
      <c r="U44" s="241"/>
      <c r="V44" s="241"/>
      <c r="W44" s="241"/>
      <c r="X44" s="241"/>
      <c r="Y44" s="241"/>
      <c r="Z44" s="241"/>
    </row>
    <row r="45" spans="1:26" ht="14.25" customHeight="1">
      <c r="A45" s="241"/>
      <c r="B45" s="241"/>
      <c r="C45" s="241"/>
      <c r="D45" s="241"/>
      <c r="E45" s="241"/>
      <c r="F45" s="241"/>
      <c r="G45" s="241"/>
      <c r="H45" s="241"/>
      <c r="I45" s="241"/>
      <c r="J45" s="258">
        <v>45170</v>
      </c>
      <c r="K45" s="259">
        <v>3197.72</v>
      </c>
      <c r="L45" s="262">
        <f t="shared" si="0"/>
        <v>2.1063256688152905E-2</v>
      </c>
      <c r="M45" s="241"/>
      <c r="N45" s="241"/>
      <c r="O45" s="241"/>
      <c r="P45" s="241"/>
      <c r="Q45" s="241"/>
      <c r="R45" s="241"/>
      <c r="S45" s="241"/>
      <c r="T45" s="241"/>
      <c r="U45" s="241"/>
      <c r="V45" s="241"/>
      <c r="W45" s="241"/>
      <c r="X45" s="241"/>
      <c r="Y45" s="241"/>
      <c r="Z45" s="241"/>
    </row>
    <row r="46" spans="1:26" ht="14.25" customHeight="1">
      <c r="A46" s="241"/>
      <c r="B46" s="241"/>
      <c r="C46" s="241"/>
      <c r="D46" s="241"/>
      <c r="E46" s="241"/>
      <c r="F46" s="241"/>
      <c r="G46" s="241"/>
      <c r="H46" s="241"/>
      <c r="I46" s="241"/>
      <c r="J46" s="258">
        <v>45200</v>
      </c>
      <c r="K46" s="259">
        <v>2994.35</v>
      </c>
      <c r="L46" s="262">
        <f t="shared" si="0"/>
        <v>-6.5710876224211706E-2</v>
      </c>
      <c r="M46" s="241"/>
      <c r="N46" s="241"/>
      <c r="O46" s="241"/>
      <c r="P46" s="241"/>
      <c r="Q46" s="241"/>
      <c r="R46" s="241"/>
      <c r="S46" s="241"/>
      <c r="T46" s="241"/>
      <c r="U46" s="241"/>
      <c r="V46" s="241"/>
      <c r="W46" s="241"/>
      <c r="X46" s="241"/>
      <c r="Y46" s="241"/>
      <c r="Z46" s="241"/>
    </row>
    <row r="47" spans="1:26" ht="14.25" customHeight="1">
      <c r="A47" s="241"/>
      <c r="B47" s="241"/>
      <c r="C47" s="241"/>
      <c r="D47" s="241"/>
      <c r="E47" s="241"/>
      <c r="F47" s="241"/>
      <c r="G47" s="241"/>
      <c r="H47" s="241"/>
      <c r="I47" s="241"/>
      <c r="J47" s="258">
        <v>45231</v>
      </c>
      <c r="K47" s="259">
        <v>3010.03</v>
      </c>
      <c r="L47" s="262">
        <f t="shared" si="0"/>
        <v>5.2228658558138609E-3</v>
      </c>
      <c r="M47" s="241"/>
      <c r="N47" s="241"/>
      <c r="O47" s="241"/>
      <c r="P47" s="241"/>
      <c r="Q47" s="241"/>
      <c r="R47" s="241"/>
      <c r="S47" s="241"/>
      <c r="T47" s="241"/>
      <c r="U47" s="241"/>
      <c r="V47" s="241"/>
      <c r="W47" s="241"/>
      <c r="X47" s="241"/>
      <c r="Y47" s="241"/>
      <c r="Z47" s="241"/>
    </row>
    <row r="48" spans="1:26" ht="14.25" customHeight="1">
      <c r="A48" s="241"/>
      <c r="B48" s="241"/>
      <c r="C48" s="241"/>
      <c r="D48" s="241"/>
      <c r="E48" s="241"/>
      <c r="F48" s="241"/>
      <c r="G48" s="241"/>
      <c r="H48" s="241"/>
      <c r="I48" s="241"/>
      <c r="J48" s="258">
        <v>45261</v>
      </c>
      <c r="K48" s="259">
        <v>3068.36</v>
      </c>
      <c r="L48" s="262">
        <f t="shared" si="0"/>
        <v>1.919317141948363E-2</v>
      </c>
      <c r="M48" s="241"/>
      <c r="N48" s="241"/>
      <c r="O48" s="241"/>
      <c r="P48" s="241"/>
      <c r="Q48" s="241"/>
      <c r="R48" s="241"/>
      <c r="S48" s="241"/>
      <c r="T48" s="241"/>
      <c r="U48" s="241"/>
      <c r="V48" s="241"/>
      <c r="W48" s="241"/>
      <c r="X48" s="241"/>
      <c r="Y48" s="241"/>
      <c r="Z48" s="241"/>
    </row>
    <row r="49" spans="1:26" ht="14.25" customHeight="1">
      <c r="A49" s="241"/>
      <c r="B49" s="241"/>
      <c r="C49" s="241"/>
      <c r="D49" s="241"/>
      <c r="E49" s="241"/>
      <c r="F49" s="241"/>
      <c r="G49" s="241"/>
      <c r="H49" s="241"/>
      <c r="I49" s="241"/>
      <c r="J49" s="258">
        <v>45292</v>
      </c>
      <c r="K49" s="259">
        <v>2896.48</v>
      </c>
      <c r="L49" s="262">
        <f t="shared" si="0"/>
        <v>-5.7647010262511962E-2</v>
      </c>
      <c r="M49" s="241"/>
      <c r="N49" s="241"/>
      <c r="O49" s="241"/>
      <c r="P49" s="241"/>
      <c r="Q49" s="241"/>
      <c r="R49" s="241"/>
      <c r="S49" s="241"/>
      <c r="T49" s="241"/>
      <c r="U49" s="241"/>
      <c r="V49" s="241"/>
      <c r="W49" s="241"/>
      <c r="X49" s="241"/>
      <c r="Y49" s="241"/>
      <c r="Z49" s="241"/>
    </row>
    <row r="50" spans="1:26" ht="14.25" customHeight="1">
      <c r="A50" s="241"/>
      <c r="B50" s="241"/>
      <c r="C50" s="241"/>
      <c r="D50" s="241"/>
      <c r="E50" s="241"/>
      <c r="F50" s="241"/>
      <c r="G50" s="241"/>
      <c r="H50" s="241"/>
      <c r="I50" s="241"/>
      <c r="J50" s="258">
        <v>45323</v>
      </c>
      <c r="K50" s="259">
        <v>3037.38</v>
      </c>
      <c r="L50" s="262">
        <f t="shared" si="0"/>
        <v>4.7499095067941213E-2</v>
      </c>
      <c r="M50" s="241"/>
      <c r="N50" s="241"/>
      <c r="O50" s="241"/>
      <c r="P50" s="241"/>
      <c r="Q50" s="241"/>
      <c r="R50" s="241"/>
      <c r="S50" s="241"/>
      <c r="T50" s="241"/>
      <c r="U50" s="241"/>
      <c r="V50" s="241"/>
      <c r="W50" s="241"/>
      <c r="X50" s="241"/>
      <c r="Y50" s="241"/>
      <c r="Z50" s="241"/>
    </row>
    <row r="51" spans="1:26" ht="14.25" customHeight="1">
      <c r="A51" s="241"/>
      <c r="B51" s="241"/>
      <c r="C51" s="241"/>
      <c r="D51" s="241"/>
      <c r="E51" s="241"/>
      <c r="F51" s="241"/>
      <c r="G51" s="241"/>
      <c r="H51" s="241"/>
      <c r="I51" s="241"/>
      <c r="J51" s="258">
        <v>45352</v>
      </c>
      <c r="K51" s="259">
        <v>3317.62</v>
      </c>
      <c r="L51" s="262">
        <f t="shared" si="0"/>
        <v>8.8252356672729737E-2</v>
      </c>
      <c r="M51" s="241"/>
      <c r="N51" s="241"/>
      <c r="O51" s="241"/>
      <c r="P51" s="241"/>
      <c r="Q51" s="241"/>
      <c r="R51" s="241"/>
      <c r="S51" s="241"/>
      <c r="T51" s="241"/>
      <c r="U51" s="241"/>
      <c r="V51" s="241"/>
      <c r="W51" s="241"/>
      <c r="X51" s="241"/>
      <c r="Y51" s="241"/>
      <c r="Z51" s="241"/>
    </row>
    <row r="52" spans="1:26" ht="14.25" customHeight="1">
      <c r="A52" s="241"/>
      <c r="B52" s="241"/>
      <c r="C52" s="241"/>
      <c r="D52" s="241"/>
      <c r="E52" s="241"/>
      <c r="F52" s="241"/>
      <c r="G52" s="241"/>
      <c r="H52" s="241"/>
      <c r="I52" s="241"/>
      <c r="J52" s="258">
        <v>45383</v>
      </c>
      <c r="K52" s="259">
        <v>3689.97</v>
      </c>
      <c r="L52" s="262">
        <f t="shared" si="0"/>
        <v>0.10637066955191787</v>
      </c>
      <c r="M52" s="241"/>
      <c r="N52" s="241"/>
      <c r="O52" s="241"/>
      <c r="P52" s="241"/>
      <c r="Q52" s="241"/>
      <c r="R52" s="241"/>
      <c r="S52" s="241"/>
      <c r="T52" s="241"/>
      <c r="U52" s="241"/>
      <c r="V52" s="241"/>
      <c r="W52" s="241"/>
      <c r="X52" s="241"/>
      <c r="Y52" s="241"/>
      <c r="Z52" s="241"/>
    </row>
    <row r="53" spans="1:26" ht="14.25" customHeight="1">
      <c r="A53" s="241"/>
      <c r="B53" s="241"/>
      <c r="C53" s="241"/>
      <c r="D53" s="241"/>
      <c r="E53" s="241"/>
      <c r="F53" s="241"/>
      <c r="G53" s="241"/>
      <c r="H53" s="241"/>
      <c r="I53" s="241"/>
      <c r="J53" s="258">
        <v>45413</v>
      </c>
      <c r="K53" s="259">
        <v>3569.04</v>
      </c>
      <c r="L53" s="262">
        <f t="shared" si="0"/>
        <v>-3.3321675871684893E-2</v>
      </c>
      <c r="M53" s="241"/>
      <c r="N53" s="241"/>
      <c r="O53" s="241"/>
      <c r="P53" s="241"/>
      <c r="Q53" s="241"/>
      <c r="R53" s="241"/>
      <c r="S53" s="241"/>
      <c r="T53" s="241"/>
      <c r="U53" s="241"/>
      <c r="V53" s="241"/>
      <c r="W53" s="241"/>
      <c r="X53" s="241"/>
      <c r="Y53" s="241"/>
      <c r="Z53" s="241"/>
    </row>
    <row r="54" spans="1:26" ht="14.25" customHeight="1">
      <c r="A54" s="308"/>
      <c r="B54" s="241"/>
      <c r="C54" s="241"/>
      <c r="D54" s="241"/>
      <c r="E54" s="241"/>
      <c r="F54" s="241"/>
      <c r="G54" s="241"/>
      <c r="H54" s="241"/>
      <c r="I54" s="241"/>
      <c r="J54" s="258">
        <v>45444</v>
      </c>
      <c r="K54" s="259">
        <v>3588.54</v>
      </c>
      <c r="L54" s="262">
        <f t="shared" si="0"/>
        <v>5.4487824781492685E-3</v>
      </c>
      <c r="M54" s="241"/>
      <c r="N54" s="241"/>
      <c r="O54" s="241"/>
      <c r="P54" s="241"/>
      <c r="Q54" s="241"/>
      <c r="R54" s="241"/>
      <c r="S54" s="241"/>
      <c r="T54" s="241"/>
      <c r="U54" s="241"/>
      <c r="V54" s="241"/>
      <c r="W54" s="241"/>
      <c r="X54" s="241"/>
      <c r="Y54" s="241"/>
      <c r="Z54" s="241"/>
    </row>
    <row r="55" spans="1:26" ht="14.25" customHeight="1">
      <c r="A55" s="241"/>
      <c r="B55" s="241"/>
      <c r="C55" s="241"/>
      <c r="D55" s="241"/>
      <c r="E55" s="241"/>
      <c r="F55" s="241"/>
      <c r="G55" s="241"/>
      <c r="H55" s="241"/>
      <c r="I55" s="241"/>
      <c r="J55" s="258">
        <v>45474</v>
      </c>
      <c r="K55" s="259">
        <v>3265.55</v>
      </c>
      <c r="L55" s="262">
        <f t="shared" si="0"/>
        <v>-9.431723271032208E-2</v>
      </c>
      <c r="M55" s="241"/>
      <c r="N55" s="241"/>
      <c r="O55" s="241"/>
      <c r="P55" s="241"/>
      <c r="Q55" s="241"/>
      <c r="R55" s="241"/>
      <c r="S55" s="241"/>
      <c r="T55" s="241"/>
      <c r="U55" s="241"/>
      <c r="V55" s="241"/>
      <c r="W55" s="241"/>
      <c r="X55" s="241"/>
      <c r="Y55" s="241"/>
      <c r="Z55" s="241"/>
    </row>
    <row r="56" spans="1:26" ht="14.25" customHeight="1">
      <c r="A56" s="241"/>
      <c r="B56" s="241"/>
      <c r="C56" s="241"/>
      <c r="D56" s="241"/>
      <c r="E56" s="241"/>
      <c r="F56" s="241"/>
      <c r="G56" s="241"/>
      <c r="H56" s="241"/>
      <c r="I56" s="241"/>
      <c r="J56" s="258">
        <v>45505</v>
      </c>
      <c r="K56" s="259">
        <v>3058.6</v>
      </c>
      <c r="L56" s="262">
        <f t="shared" si="0"/>
        <v>-6.547090690234203E-2</v>
      </c>
      <c r="M56" s="241"/>
      <c r="N56" s="241"/>
      <c r="O56" s="241"/>
      <c r="P56" s="241"/>
      <c r="Q56" s="241"/>
      <c r="R56" s="241"/>
      <c r="S56" s="241"/>
      <c r="T56" s="241"/>
      <c r="U56" s="241"/>
      <c r="V56" s="241"/>
      <c r="W56" s="241"/>
      <c r="X56" s="241"/>
      <c r="Y56" s="241"/>
      <c r="Z56" s="241"/>
    </row>
    <row r="57" spans="1:26" ht="14.25" customHeight="1">
      <c r="A57" s="241"/>
      <c r="B57" s="241"/>
      <c r="C57" s="241"/>
      <c r="D57" s="241"/>
      <c r="E57" s="241"/>
      <c r="F57" s="241"/>
      <c r="G57" s="241"/>
      <c r="H57" s="241"/>
      <c r="I57" s="241"/>
      <c r="J57" s="258">
        <v>45536</v>
      </c>
      <c r="K57" s="259">
        <v>3453.41</v>
      </c>
      <c r="L57" s="262">
        <f t="shared" si="0"/>
        <v>0.12140485375710872</v>
      </c>
      <c r="M57" s="241"/>
      <c r="N57" s="241"/>
      <c r="O57" s="241"/>
      <c r="P57" s="241"/>
      <c r="Q57" s="241"/>
      <c r="R57" s="241"/>
      <c r="S57" s="241"/>
      <c r="T57" s="241"/>
      <c r="U57" s="241"/>
      <c r="V57" s="241"/>
      <c r="W57" s="241"/>
      <c r="X57" s="241"/>
      <c r="Y57" s="241"/>
      <c r="Z57" s="241"/>
    </row>
    <row r="58" spans="1:26" ht="14.25" customHeight="1">
      <c r="A58" s="241"/>
      <c r="B58" s="241"/>
      <c r="C58" s="241"/>
      <c r="D58" s="241"/>
      <c r="E58" s="241"/>
      <c r="F58" s="241"/>
      <c r="G58" s="241"/>
      <c r="H58" s="241"/>
      <c r="I58" s="241"/>
      <c r="J58" s="258">
        <v>45566</v>
      </c>
      <c r="K58" s="259">
        <v>3864.32</v>
      </c>
      <c r="L58" s="262">
        <f t="shared" si="0"/>
        <v>0.11242357996723296</v>
      </c>
      <c r="M58" s="241"/>
      <c r="N58" s="241"/>
      <c r="O58" s="241"/>
      <c r="P58" s="241"/>
      <c r="Q58" s="241"/>
      <c r="R58" s="241"/>
      <c r="S58" s="241"/>
      <c r="T58" s="241"/>
      <c r="U58" s="241"/>
      <c r="V58" s="241"/>
      <c r="W58" s="241"/>
      <c r="X58" s="241"/>
      <c r="Y58" s="241"/>
      <c r="Z58" s="241"/>
    </row>
    <row r="59" spans="1:26" ht="14.25" customHeight="1">
      <c r="A59" s="241"/>
      <c r="B59" s="241"/>
      <c r="C59" s="241"/>
      <c r="D59" s="241"/>
      <c r="E59" s="241"/>
      <c r="F59" s="241"/>
      <c r="G59" s="241"/>
      <c r="H59" s="241"/>
      <c r="I59" s="241"/>
      <c r="J59" s="258">
        <v>45597</v>
      </c>
      <c r="K59" s="259">
        <v>3905.17</v>
      </c>
      <c r="L59" s="262">
        <f t="shared" si="0"/>
        <v>1.0515587618705434E-2</v>
      </c>
      <c r="M59" s="241"/>
      <c r="N59" s="241"/>
      <c r="O59" s="241"/>
      <c r="P59" s="241"/>
      <c r="Q59" s="241"/>
      <c r="R59" s="241"/>
      <c r="S59" s="241"/>
      <c r="T59" s="241"/>
      <c r="U59" s="241"/>
      <c r="V59" s="241"/>
      <c r="W59" s="241"/>
      <c r="X59" s="241"/>
      <c r="Y59" s="241"/>
      <c r="Z59" s="241"/>
    </row>
    <row r="60" spans="1:26" ht="14.25" customHeight="1">
      <c r="A60" s="241"/>
      <c r="B60" s="241"/>
      <c r="C60" s="241"/>
      <c r="D60" s="241"/>
      <c r="E60" s="241"/>
      <c r="F60" s="241"/>
      <c r="G60" s="241"/>
      <c r="H60" s="241"/>
      <c r="I60" s="241"/>
      <c r="J60" s="258">
        <v>45627</v>
      </c>
      <c r="K60" s="259">
        <v>4862.1000000000004</v>
      </c>
      <c r="L60" s="262">
        <f t="shared" si="0"/>
        <v>0.21916912707511357</v>
      </c>
      <c r="M60" s="241"/>
      <c r="N60" s="241"/>
      <c r="O60" s="241"/>
      <c r="P60" s="241"/>
      <c r="Q60" s="241"/>
      <c r="R60" s="241"/>
      <c r="S60" s="241"/>
      <c r="T60" s="241"/>
      <c r="U60" s="241"/>
      <c r="V60" s="241"/>
      <c r="W60" s="241"/>
      <c r="X60" s="241"/>
      <c r="Y60" s="241"/>
      <c r="Z60" s="241"/>
    </row>
    <row r="61" spans="1:26" ht="14.25" customHeight="1">
      <c r="A61" s="241"/>
      <c r="B61" s="241"/>
      <c r="C61" s="241"/>
      <c r="D61" s="241"/>
      <c r="E61" s="241"/>
      <c r="F61" s="241"/>
      <c r="G61" s="241"/>
      <c r="H61" s="241"/>
      <c r="I61" s="241"/>
      <c r="J61" s="258">
        <v>45658</v>
      </c>
      <c r="K61" s="259">
        <v>5114.3500000000004</v>
      </c>
      <c r="L61" s="262">
        <f t="shared" si="0"/>
        <v>5.0579870754697401E-2</v>
      </c>
      <c r="M61" s="241"/>
      <c r="N61" s="241"/>
      <c r="O61" s="241"/>
      <c r="P61" s="241"/>
      <c r="Q61" s="241"/>
      <c r="R61" s="241"/>
      <c r="S61" s="241"/>
      <c r="T61" s="241"/>
      <c r="U61" s="241"/>
      <c r="V61" s="241"/>
      <c r="W61" s="241"/>
      <c r="X61" s="241"/>
      <c r="Y61" s="241"/>
      <c r="Z61" s="241"/>
    </row>
    <row r="62" spans="1:26" ht="14.25" customHeight="1">
      <c r="A62" s="241"/>
      <c r="B62" s="241"/>
      <c r="C62" s="241"/>
      <c r="D62" s="241"/>
      <c r="E62" s="241"/>
      <c r="F62" s="241"/>
      <c r="G62" s="241"/>
      <c r="H62" s="241"/>
      <c r="I62" s="241"/>
      <c r="J62" s="258">
        <v>45689</v>
      </c>
      <c r="K62" s="259">
        <v>4931.17</v>
      </c>
      <c r="L62" s="262">
        <f t="shared" si="0"/>
        <v>-3.6474031691465666E-2</v>
      </c>
      <c r="M62" s="241"/>
      <c r="N62" s="241"/>
      <c r="O62" s="241"/>
      <c r="P62" s="241"/>
      <c r="Q62" s="241"/>
      <c r="R62" s="241"/>
      <c r="S62" s="241"/>
      <c r="T62" s="241"/>
      <c r="U62" s="241"/>
      <c r="V62" s="241"/>
      <c r="W62" s="241"/>
      <c r="X62" s="241"/>
      <c r="Y62" s="241"/>
      <c r="Z62" s="241"/>
    </row>
    <row r="63" spans="1:26" ht="14.25" customHeight="1">
      <c r="A63" s="241"/>
      <c r="B63" s="241"/>
      <c r="C63" s="241"/>
      <c r="D63" s="241"/>
      <c r="E63" s="241"/>
      <c r="F63" s="241"/>
      <c r="G63" s="241"/>
      <c r="H63" s="241"/>
      <c r="I63" s="241"/>
      <c r="J63" s="258">
        <v>45717</v>
      </c>
      <c r="K63" s="259">
        <v>4734.72</v>
      </c>
      <c r="L63" s="262">
        <f t="shared" si="0"/>
        <v>-4.0653691631435576E-2</v>
      </c>
      <c r="M63" s="241"/>
      <c r="N63" s="241"/>
      <c r="O63" s="241"/>
      <c r="P63" s="241"/>
      <c r="Q63" s="241"/>
      <c r="R63" s="241"/>
      <c r="S63" s="241"/>
      <c r="T63" s="241"/>
      <c r="U63" s="241"/>
      <c r="V63" s="241"/>
      <c r="W63" s="241"/>
      <c r="X63" s="241"/>
      <c r="Y63" s="241"/>
      <c r="Z63" s="241"/>
    </row>
    <row r="64" spans="1:26" ht="14.25" customHeight="1">
      <c r="A64" s="241"/>
      <c r="B64" s="241"/>
      <c r="C64" s="241"/>
      <c r="D64" s="241"/>
      <c r="E64" s="241"/>
      <c r="F64" s="241"/>
      <c r="G64" s="241"/>
      <c r="H64" s="241"/>
      <c r="I64" s="241"/>
      <c r="J64" s="258">
        <v>45748</v>
      </c>
      <c r="K64" s="259">
        <v>4643.66</v>
      </c>
      <c r="L64" s="262">
        <f t="shared" si="0"/>
        <v>-1.9419742374013116E-2</v>
      </c>
      <c r="M64" s="241"/>
      <c r="N64" s="241"/>
      <c r="O64" s="241"/>
      <c r="P64" s="241"/>
      <c r="Q64" s="241"/>
      <c r="R64" s="241"/>
      <c r="S64" s="241"/>
      <c r="T64" s="241"/>
      <c r="U64" s="241"/>
      <c r="V64" s="241"/>
      <c r="W64" s="241"/>
      <c r="X64" s="241"/>
      <c r="Y64" s="241"/>
      <c r="Z64" s="241"/>
    </row>
    <row r="65" spans="1:26" ht="14.25" customHeight="1">
      <c r="A65" s="241"/>
      <c r="B65" s="241"/>
      <c r="C65" s="241"/>
      <c r="D65" s="241"/>
      <c r="E65" s="241"/>
      <c r="F65" s="241"/>
      <c r="G65" s="241"/>
      <c r="H65" s="241"/>
      <c r="I65" s="241"/>
      <c r="J65" s="258">
        <v>45778</v>
      </c>
      <c r="K65" s="259">
        <v>4981.57</v>
      </c>
      <c r="L65" s="262">
        <f t="shared" si="0"/>
        <v>7.0242253988587577E-2</v>
      </c>
      <c r="M65" s="241"/>
      <c r="N65" s="241"/>
      <c r="O65" s="241"/>
      <c r="P65" s="241"/>
      <c r="Q65" s="241"/>
      <c r="R65" s="241"/>
      <c r="S65" s="241"/>
      <c r="T65" s="241"/>
      <c r="U65" s="241"/>
      <c r="V65" s="241"/>
      <c r="W65" s="241"/>
      <c r="X65" s="241"/>
      <c r="Y65" s="241"/>
      <c r="Z65" s="241"/>
    </row>
    <row r="66" spans="1:26" ht="14.25" customHeight="1">
      <c r="A66" s="241"/>
      <c r="B66" s="241"/>
      <c r="C66" s="241"/>
      <c r="D66" s="241"/>
      <c r="E66" s="241"/>
      <c r="F66" s="241"/>
      <c r="G66" s="241"/>
      <c r="H66" s="241"/>
      <c r="I66" s="241"/>
      <c r="J66" s="241"/>
      <c r="K66" s="241"/>
      <c r="L66" s="241"/>
      <c r="M66" s="241"/>
      <c r="N66" s="241"/>
      <c r="O66" s="241"/>
      <c r="P66" s="241"/>
      <c r="Q66" s="241"/>
      <c r="R66" s="241"/>
      <c r="S66" s="241"/>
      <c r="T66" s="241"/>
      <c r="U66" s="241"/>
      <c r="V66" s="241"/>
      <c r="W66" s="241"/>
      <c r="X66" s="241"/>
      <c r="Y66" s="241"/>
      <c r="Z66" s="241"/>
    </row>
    <row r="67" spans="1:26" ht="14.25" customHeight="1">
      <c r="A67" s="241"/>
      <c r="B67" s="241"/>
      <c r="C67" s="241"/>
      <c r="D67" s="241"/>
      <c r="E67" s="241"/>
      <c r="F67" s="241"/>
      <c r="G67" s="241"/>
      <c r="H67" s="241"/>
      <c r="I67" s="241"/>
      <c r="J67" s="241"/>
      <c r="K67" s="241"/>
      <c r="L67" s="241"/>
      <c r="M67" s="241"/>
      <c r="N67" s="241"/>
      <c r="O67" s="241"/>
      <c r="P67" s="241"/>
      <c r="Q67" s="241"/>
      <c r="R67" s="241"/>
      <c r="S67" s="241"/>
      <c r="T67" s="241"/>
      <c r="U67" s="241"/>
      <c r="V67" s="241"/>
      <c r="W67" s="241"/>
      <c r="X67" s="241"/>
      <c r="Y67" s="241"/>
      <c r="Z67" s="241"/>
    </row>
    <row r="68" spans="1:26" ht="14.25" customHeight="1">
      <c r="A68" s="241"/>
      <c r="B68" s="241"/>
      <c r="C68" s="241"/>
      <c r="D68" s="241"/>
      <c r="E68" s="241"/>
      <c r="F68" s="241"/>
      <c r="G68" s="241"/>
      <c r="H68" s="241"/>
      <c r="I68" s="241"/>
      <c r="J68" s="241"/>
      <c r="K68" s="241"/>
      <c r="L68" s="241"/>
      <c r="M68" s="241"/>
      <c r="N68" s="241"/>
      <c r="O68" s="241"/>
      <c r="P68" s="241"/>
      <c r="Q68" s="241"/>
      <c r="R68" s="241"/>
      <c r="S68" s="241"/>
      <c r="T68" s="241"/>
      <c r="U68" s="241"/>
      <c r="V68" s="241"/>
      <c r="W68" s="241"/>
      <c r="X68" s="241"/>
      <c r="Y68" s="241"/>
      <c r="Z68" s="241"/>
    </row>
    <row r="69" spans="1:26" ht="14.25" customHeight="1">
      <c r="A69" s="241"/>
      <c r="B69" s="241"/>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row>
    <row r="70" spans="1:26" ht="14.25" customHeight="1">
      <c r="A70" s="241"/>
      <c r="B70" s="241"/>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row>
    <row r="71" spans="1:26" ht="14.25" customHeight="1">
      <c r="A71" s="241"/>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row>
    <row r="72" spans="1:26" ht="14.25" customHeight="1">
      <c r="A72" s="241"/>
      <c r="B72" s="241"/>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row>
    <row r="73" spans="1:26" ht="14.25" customHeight="1">
      <c r="A73" s="241"/>
      <c r="B73" s="241"/>
      <c r="C73" s="241"/>
      <c r="D73" s="241"/>
      <c r="E73" s="241"/>
      <c r="F73" s="241"/>
      <c r="G73" s="241"/>
      <c r="H73" s="241"/>
      <c r="I73" s="241"/>
      <c r="J73" s="241"/>
      <c r="K73" s="241"/>
      <c r="L73" s="241"/>
      <c r="M73" s="241"/>
      <c r="N73" s="241"/>
      <c r="O73" s="241"/>
      <c r="P73" s="241"/>
      <c r="Q73" s="241"/>
      <c r="R73" s="241"/>
      <c r="S73" s="241"/>
      <c r="T73" s="241"/>
      <c r="U73" s="241"/>
      <c r="V73" s="241"/>
      <c r="W73" s="241"/>
      <c r="X73" s="241"/>
      <c r="Y73" s="241"/>
      <c r="Z73" s="241"/>
    </row>
    <row r="74" spans="1:26" ht="14.25" customHeight="1">
      <c r="A74" s="241"/>
      <c r="B74" s="241"/>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row>
    <row r="75" spans="1:26" ht="14.25" customHeight="1">
      <c r="A75" s="241"/>
      <c r="B75" s="241"/>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row>
    <row r="76" spans="1:26" ht="14.25" customHeight="1">
      <c r="A76" s="241"/>
      <c r="B76" s="241"/>
      <c r="C76" s="241"/>
      <c r="D76" s="241"/>
      <c r="E76" s="241"/>
      <c r="F76" s="241"/>
      <c r="G76" s="241"/>
      <c r="H76" s="241"/>
      <c r="I76" s="241"/>
      <c r="J76" s="241"/>
      <c r="K76" s="241"/>
      <c r="L76" s="241"/>
      <c r="M76" s="241"/>
      <c r="N76" s="241"/>
      <c r="O76" s="241"/>
      <c r="P76" s="241"/>
      <c r="Q76" s="241"/>
      <c r="R76" s="241"/>
      <c r="S76" s="241"/>
      <c r="T76" s="241"/>
      <c r="U76" s="241"/>
      <c r="V76" s="241"/>
      <c r="W76" s="241"/>
      <c r="X76" s="241"/>
      <c r="Y76" s="241"/>
      <c r="Z76" s="241"/>
    </row>
    <row r="77" spans="1:26" ht="14.25" customHeight="1">
      <c r="A77" s="241"/>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row>
    <row r="78" spans="1:26" ht="14.25" customHeight="1">
      <c r="A78" s="241"/>
      <c r="B78" s="241"/>
      <c r="C78" s="241"/>
      <c r="D78" s="241"/>
      <c r="E78" s="241"/>
      <c r="F78" s="241"/>
      <c r="G78" s="241"/>
      <c r="H78" s="241"/>
      <c r="I78" s="241"/>
      <c r="J78" s="241"/>
      <c r="K78" s="241"/>
      <c r="L78" s="241"/>
      <c r="M78" s="241"/>
      <c r="N78" s="241"/>
      <c r="O78" s="241"/>
      <c r="P78" s="241"/>
      <c r="Q78" s="241"/>
      <c r="R78" s="241"/>
      <c r="S78" s="241"/>
      <c r="T78" s="241"/>
      <c r="U78" s="241"/>
      <c r="V78" s="241"/>
      <c r="W78" s="241"/>
      <c r="X78" s="241"/>
      <c r="Y78" s="241"/>
      <c r="Z78" s="241"/>
    </row>
    <row r="79" spans="1:26" ht="14.25" customHeight="1">
      <c r="A79" s="241"/>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row>
    <row r="80" spans="1:26" ht="14.25" customHeight="1">
      <c r="A80" s="241"/>
      <c r="B80" s="241"/>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row>
    <row r="81" spans="1:26" ht="14.25" customHeight="1">
      <c r="A81" s="241"/>
      <c r="B81" s="241"/>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row>
    <row r="82" spans="1:26" ht="14.25" customHeight="1">
      <c r="A82" s="241"/>
      <c r="B82" s="241"/>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row>
    <row r="83" spans="1:26" ht="14.25" customHeight="1">
      <c r="A83" s="241"/>
      <c r="B83" s="241"/>
      <c r="C83" s="241"/>
      <c r="D83" s="241"/>
      <c r="E83" s="241"/>
      <c r="F83" s="241"/>
      <c r="G83" s="241"/>
      <c r="H83" s="241"/>
      <c r="I83" s="241"/>
      <c r="J83" s="241"/>
      <c r="K83" s="241"/>
      <c r="L83" s="241"/>
      <c r="M83" s="241"/>
      <c r="N83" s="241"/>
      <c r="O83" s="241"/>
      <c r="P83" s="241"/>
      <c r="Q83" s="241"/>
      <c r="R83" s="241"/>
      <c r="S83" s="241"/>
      <c r="T83" s="241"/>
      <c r="U83" s="241"/>
      <c r="V83" s="241"/>
      <c r="W83" s="241"/>
      <c r="X83" s="241"/>
      <c r="Y83" s="241"/>
      <c r="Z83" s="241"/>
    </row>
    <row r="84" spans="1:26" ht="14.25" customHeight="1">
      <c r="A84" s="241"/>
      <c r="B84" s="241"/>
      <c r="C84" s="241"/>
      <c r="D84" s="241"/>
      <c r="E84" s="241"/>
      <c r="F84" s="241"/>
      <c r="G84" s="241"/>
      <c r="H84" s="241"/>
      <c r="I84" s="241"/>
      <c r="J84" s="241"/>
      <c r="K84" s="241"/>
      <c r="L84" s="241"/>
      <c r="M84" s="241"/>
      <c r="N84" s="241"/>
      <c r="O84" s="241"/>
      <c r="P84" s="241"/>
      <c r="Q84" s="241"/>
      <c r="R84" s="241"/>
      <c r="S84" s="241"/>
      <c r="T84" s="241"/>
      <c r="U84" s="241"/>
      <c r="V84" s="241"/>
      <c r="W84" s="241"/>
      <c r="X84" s="241"/>
      <c r="Y84" s="241"/>
      <c r="Z84" s="241"/>
    </row>
    <row r="85" spans="1:26" ht="14.25" customHeight="1">
      <c r="A85" s="241"/>
      <c r="B85" s="241"/>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row>
    <row r="86" spans="1:26" ht="14.25" customHeight="1">
      <c r="A86" s="241"/>
      <c r="B86" s="241"/>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row>
    <row r="87" spans="1:26" ht="14.25" customHeight="1">
      <c r="A87" s="241"/>
      <c r="B87" s="241"/>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row>
    <row r="88" spans="1:26" ht="14.25" customHeight="1">
      <c r="A88" s="241"/>
      <c r="B88" s="241"/>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row>
    <row r="89" spans="1:26" ht="14.25" customHeight="1">
      <c r="A89" s="241"/>
      <c r="B89" s="241"/>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row>
    <row r="90" spans="1:26" ht="14.25" customHeight="1">
      <c r="A90" s="241"/>
      <c r="B90" s="241"/>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row>
    <row r="91" spans="1:26" ht="14.25" customHeight="1">
      <c r="A91" s="241"/>
      <c r="B91" s="241"/>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row>
    <row r="92" spans="1:26" ht="14.25" customHeight="1">
      <c r="A92" s="241"/>
      <c r="B92" s="241"/>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row>
    <row r="93" spans="1:26" ht="14.25" customHeight="1">
      <c r="A93" s="241"/>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row>
    <row r="94" spans="1:26" ht="14.25" customHeight="1">
      <c r="A94" s="241"/>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row>
    <row r="95" spans="1:26" ht="14.25" customHeight="1">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row>
    <row r="96" spans="1:26" ht="14.25" customHeight="1">
      <c r="A96" s="241"/>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row>
    <row r="97" spans="1:26" ht="14.25" customHeight="1">
      <c r="A97" s="241"/>
      <c r="B97" s="241"/>
      <c r="C97" s="241"/>
      <c r="D97" s="241"/>
      <c r="E97" s="241"/>
      <c r="F97" s="241"/>
      <c r="G97" s="241"/>
      <c r="H97" s="241"/>
      <c r="I97" s="241"/>
      <c r="J97" s="241"/>
      <c r="K97" s="241"/>
      <c r="L97" s="241"/>
      <c r="M97" s="241"/>
      <c r="N97" s="241"/>
      <c r="O97" s="241"/>
      <c r="P97" s="241"/>
      <c r="Q97" s="241"/>
      <c r="R97" s="241"/>
      <c r="S97" s="241"/>
      <c r="T97" s="241"/>
      <c r="U97" s="241"/>
      <c r="V97" s="241"/>
      <c r="W97" s="241"/>
      <c r="X97" s="241"/>
      <c r="Y97" s="241"/>
      <c r="Z97" s="241"/>
    </row>
    <row r="98" spans="1:26" ht="14.25" customHeight="1">
      <c r="A98" s="241"/>
      <c r="B98" s="241"/>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1"/>
    </row>
    <row r="99" spans="1:26" ht="14.25" customHeight="1">
      <c r="A99" s="241"/>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row>
    <row r="100" spans="1:26" ht="14.25" customHeight="1">
      <c r="A100" s="241"/>
      <c r="B100" s="241"/>
      <c r="C100" s="241"/>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row>
    <row r="101" spans="1:26" ht="14.25" customHeight="1">
      <c r="A101" s="241"/>
      <c r="B101" s="241"/>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row>
    <row r="102" spans="1:26" ht="14.25" customHeight="1">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row>
    <row r="103" spans="1:26" ht="14.25" customHeight="1">
      <c r="A103" s="241"/>
      <c r="B103" s="241"/>
      <c r="C103" s="241"/>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row>
    <row r="104" spans="1:26" ht="14.25" customHeight="1">
      <c r="A104" s="241"/>
      <c r="B104" s="241"/>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row>
    <row r="105" spans="1:26" ht="14.25" customHeight="1">
      <c r="A105" s="241"/>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row>
    <row r="106" spans="1:26" ht="14.25" customHeight="1">
      <c r="A106" s="241"/>
      <c r="B106" s="241"/>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row>
    <row r="107" spans="1:26" ht="14.25" customHeight="1">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row>
    <row r="108" spans="1:26" ht="14.25" customHeight="1">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row>
    <row r="109" spans="1:26" ht="14.25" customHeight="1">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row>
    <row r="110" spans="1:26" ht="14.25" customHeight="1">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row>
    <row r="111" spans="1:26" ht="14.25" customHeight="1">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row>
    <row r="112" spans="1:26" ht="14.25" customHeight="1">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row>
    <row r="113" spans="1:26" ht="14.25" customHeight="1">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row>
    <row r="114" spans="1:26" ht="14.25" customHeight="1">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row>
    <row r="115" spans="1:26" ht="14.25" customHeight="1">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row>
    <row r="116" spans="1:26" ht="14.25" customHeight="1">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row>
    <row r="117" spans="1:26" ht="14.25" customHeight="1">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row>
    <row r="118" spans="1:26" ht="14.25" customHeight="1">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row>
    <row r="119" spans="1:26" ht="14.25" customHeight="1">
      <c r="A119" s="241"/>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row>
    <row r="120" spans="1:26" ht="14.25" customHeight="1">
      <c r="A120" s="241"/>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row>
    <row r="121" spans="1:26" ht="14.25" customHeight="1">
      <c r="A121" s="241"/>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row>
    <row r="122" spans="1:26" ht="14.25" customHeight="1">
      <c r="A122" s="241"/>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row>
    <row r="123" spans="1:26" ht="14.25" customHeight="1">
      <c r="A123" s="241"/>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row>
    <row r="124" spans="1:26" ht="14.25" customHeight="1">
      <c r="A124" s="241"/>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row>
    <row r="125" spans="1:26" ht="14.25" customHeight="1">
      <c r="A125" s="241"/>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row>
    <row r="126" spans="1:26" ht="14.25" customHeight="1">
      <c r="A126" s="241"/>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row>
    <row r="127" spans="1:26" ht="14.25" customHeight="1">
      <c r="A127" s="241"/>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row>
    <row r="128" spans="1:26" ht="14.25" customHeight="1">
      <c r="A128" s="241"/>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row>
    <row r="129" spans="1:26" ht="14.25" customHeight="1">
      <c r="A129" s="241"/>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row>
    <row r="130" spans="1:26" ht="14.25" customHeight="1">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row>
    <row r="131" spans="1:26" ht="14.25" customHeight="1">
      <c r="A131" s="241"/>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row>
    <row r="132" spans="1:26" ht="14.25" customHeight="1">
      <c r="A132" s="241"/>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row>
    <row r="133" spans="1:26" ht="14.25" customHeight="1">
      <c r="A133" s="241"/>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row>
    <row r="134" spans="1:26" ht="14.25" customHeight="1">
      <c r="A134" s="241"/>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row>
    <row r="135" spans="1:26" ht="14.25" customHeight="1">
      <c r="A135" s="241"/>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row>
    <row r="136" spans="1:26" ht="14.25" customHeight="1">
      <c r="A136" s="241"/>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row>
    <row r="137" spans="1:26" ht="14.25" customHeight="1">
      <c r="A137" s="241"/>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row>
    <row r="138" spans="1:26" ht="14.25" customHeight="1">
      <c r="A138" s="241"/>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row>
    <row r="139" spans="1:26" ht="14.25" customHeight="1">
      <c r="A139" s="241"/>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row>
    <row r="140" spans="1:26" ht="14.25" customHeight="1">
      <c r="A140" s="241"/>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row>
    <row r="141" spans="1:26" ht="14.25" customHeight="1">
      <c r="A141" s="241"/>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row>
    <row r="142" spans="1:26" ht="14.25" customHeight="1">
      <c r="A142" s="241"/>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row>
    <row r="143" spans="1:26" ht="14.25" customHeight="1">
      <c r="A143" s="241"/>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row>
    <row r="144" spans="1:26" ht="14.25" customHeight="1">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row>
    <row r="145" spans="1:26" ht="14.25" customHeight="1">
      <c r="A145" s="241"/>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row>
    <row r="146" spans="1:26" ht="14.25" customHeight="1">
      <c r="A146" s="241"/>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row>
    <row r="147" spans="1:26" ht="14.25" customHeight="1">
      <c r="A147" s="241"/>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row>
    <row r="148" spans="1:26" ht="14.25" customHeight="1">
      <c r="A148" s="241"/>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row>
    <row r="149" spans="1:26" ht="14.25" customHeight="1">
      <c r="A149" s="241"/>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row>
    <row r="150" spans="1:26" ht="14.25" customHeight="1">
      <c r="A150" s="241"/>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row>
    <row r="151" spans="1:26" ht="14.25" customHeight="1">
      <c r="A151" s="241"/>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row>
    <row r="152" spans="1:26" ht="14.25" customHeight="1">
      <c r="A152" s="241"/>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row>
    <row r="153" spans="1:26" ht="14.25" customHeight="1">
      <c r="A153" s="241"/>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row>
    <row r="154" spans="1:26" ht="14.25" customHeight="1">
      <c r="A154" s="241"/>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row>
    <row r="155" spans="1:26" ht="14.25" customHeight="1">
      <c r="A155" s="241"/>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row>
    <row r="156" spans="1:26" ht="14.25" customHeight="1">
      <c r="A156" s="241"/>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row>
    <row r="157" spans="1:26" ht="14.25" customHeight="1">
      <c r="A157" s="241"/>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row>
    <row r="158" spans="1:26" ht="14.25" customHeight="1">
      <c r="A158" s="241"/>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row>
    <row r="159" spans="1:26" ht="14.25" customHeight="1">
      <c r="A159" s="241"/>
      <c r="B159" s="241"/>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row>
    <row r="160" spans="1:26" ht="14.25" customHeight="1">
      <c r="A160" s="241"/>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row>
    <row r="161" spans="1:26" ht="14.25" customHeight="1">
      <c r="A161" s="241"/>
      <c r="B161" s="241"/>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row>
    <row r="162" spans="1:26" ht="14.25" customHeight="1">
      <c r="A162" s="241"/>
      <c r="B162" s="241"/>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row>
    <row r="163" spans="1:26" ht="14.25" customHeight="1">
      <c r="A163" s="241"/>
      <c r="B163" s="241"/>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row>
    <row r="164" spans="1:26" ht="14.25" customHeight="1">
      <c r="A164" s="241"/>
      <c r="B164" s="241"/>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row>
    <row r="165" spans="1:26" ht="14.25" customHeight="1">
      <c r="A165" s="241"/>
      <c r="B165" s="241"/>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row>
    <row r="166" spans="1:26" ht="14.25" customHeight="1">
      <c r="A166" s="241"/>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row>
    <row r="167" spans="1:26" ht="14.25" customHeight="1">
      <c r="A167" s="241"/>
      <c r="B167" s="241"/>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row>
    <row r="168" spans="1:26" ht="14.25" customHeight="1">
      <c r="A168" s="241"/>
      <c r="B168" s="241"/>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row>
    <row r="169" spans="1:26" ht="14.25" customHeight="1">
      <c r="A169" s="241"/>
      <c r="B169" s="241"/>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row>
    <row r="170" spans="1:26" ht="14.25" customHeight="1">
      <c r="A170" s="241"/>
      <c r="B170" s="241"/>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row>
    <row r="171" spans="1:26" ht="14.25" customHeight="1">
      <c r="A171" s="241"/>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row>
    <row r="172" spans="1:26" ht="14.25" customHeight="1">
      <c r="A172" s="241"/>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row>
    <row r="173" spans="1:26" ht="14.25" customHeight="1">
      <c r="A173" s="241"/>
      <c r="B173" s="241"/>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row>
    <row r="174" spans="1:26" ht="14.25" customHeight="1">
      <c r="A174" s="241"/>
      <c r="B174" s="241"/>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row>
    <row r="175" spans="1:26" ht="14.25" customHeight="1">
      <c r="A175" s="241"/>
      <c r="B175" s="241"/>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row>
    <row r="176" spans="1:26" ht="14.25" customHeight="1">
      <c r="A176" s="241"/>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row>
    <row r="177" spans="1:26" ht="14.25" customHeight="1">
      <c r="A177" s="241"/>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row>
    <row r="178" spans="1:26" ht="14.25" customHeight="1">
      <c r="A178" s="241"/>
      <c r="B178" s="241"/>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row>
    <row r="179" spans="1:26" ht="14.25" customHeight="1">
      <c r="A179" s="241"/>
      <c r="B179" s="241"/>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row>
    <row r="180" spans="1:26" ht="14.25" customHeight="1">
      <c r="A180" s="241"/>
      <c r="B180" s="241"/>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row>
    <row r="181" spans="1:26" ht="14.25" customHeight="1">
      <c r="A181" s="241"/>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row>
    <row r="182" spans="1:26" ht="14.25" customHeight="1">
      <c r="A182" s="241"/>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row>
    <row r="183" spans="1:26" ht="14.25" customHeight="1">
      <c r="A183" s="241"/>
      <c r="B183" s="241"/>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row>
    <row r="184" spans="1:26" ht="14.25" customHeight="1">
      <c r="A184" s="241"/>
      <c r="B184" s="241"/>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row>
    <row r="185" spans="1:26" ht="14.25" customHeight="1">
      <c r="A185" s="241"/>
      <c r="B185" s="241"/>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row>
    <row r="186" spans="1:26" ht="14.25" customHeight="1">
      <c r="A186" s="241"/>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row>
    <row r="187" spans="1:26" ht="14.25" customHeight="1">
      <c r="A187" s="241"/>
      <c r="B187" s="241"/>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row>
    <row r="188" spans="1:26" ht="14.25" customHeight="1">
      <c r="A188" s="241"/>
      <c r="B188" s="241"/>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row>
    <row r="189" spans="1:26" ht="14.25" customHeight="1">
      <c r="A189" s="241"/>
      <c r="B189" s="241"/>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row>
    <row r="190" spans="1:26" ht="14.25" customHeight="1">
      <c r="A190" s="241"/>
      <c r="B190" s="241"/>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row>
    <row r="191" spans="1:26" ht="14.25" customHeight="1">
      <c r="A191" s="241"/>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row>
    <row r="192" spans="1:26" ht="14.25" customHeight="1">
      <c r="A192" s="241"/>
      <c r="B192" s="241"/>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row>
    <row r="193" spans="1:26" ht="14.25" customHeight="1">
      <c r="A193" s="241"/>
      <c r="B193" s="241"/>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row>
    <row r="194" spans="1:26" ht="14.25" customHeight="1">
      <c r="A194" s="241"/>
      <c r="B194" s="241"/>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row>
    <row r="195" spans="1:26" ht="14.25" customHeight="1">
      <c r="A195" s="241"/>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row>
    <row r="196" spans="1:26" ht="14.25" customHeight="1">
      <c r="A196" s="241"/>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row>
    <row r="197" spans="1:26" ht="14.25" customHeight="1">
      <c r="A197" s="241"/>
      <c r="B197" s="241"/>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row>
    <row r="198" spans="1:26" ht="14.25" customHeight="1">
      <c r="A198" s="241"/>
      <c r="B198" s="241"/>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row>
    <row r="199" spans="1:26" ht="14.25" customHeight="1">
      <c r="A199" s="241"/>
      <c r="B199" s="241"/>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row>
    <row r="200" spans="1:26" ht="14.25" customHeight="1">
      <c r="A200" s="241"/>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row>
    <row r="201" spans="1:26" ht="14.25" customHeight="1">
      <c r="A201" s="241"/>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row>
    <row r="202" spans="1:26" ht="14.25" customHeight="1">
      <c r="A202" s="241"/>
      <c r="B202" s="241"/>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row>
    <row r="203" spans="1:26" ht="14.25" customHeight="1">
      <c r="A203" s="241"/>
      <c r="B203" s="241"/>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row>
    <row r="204" spans="1:26" ht="14.25" customHeight="1">
      <c r="A204" s="241"/>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row>
    <row r="205" spans="1:26" ht="14.25" customHeight="1">
      <c r="A205" s="241"/>
      <c r="B205" s="241"/>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row>
    <row r="206" spans="1:26" ht="14.25" customHeight="1">
      <c r="A206" s="241"/>
      <c r="B206" s="241"/>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row>
    <row r="207" spans="1:26" ht="14.25" customHeight="1">
      <c r="A207" s="241"/>
      <c r="B207" s="241"/>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row>
    <row r="208" spans="1:26" ht="14.25" customHeight="1">
      <c r="A208" s="241"/>
      <c r="B208" s="241"/>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row>
    <row r="209" spans="1:26" ht="14.25" customHeight="1">
      <c r="A209" s="241"/>
      <c r="B209" s="241"/>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row>
    <row r="210" spans="1:26" ht="14.25" customHeight="1">
      <c r="A210" s="241"/>
      <c r="B210" s="241"/>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row>
    <row r="211" spans="1:26" ht="14.25" customHeight="1">
      <c r="A211" s="241"/>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row>
    <row r="212" spans="1:26" ht="14.25" customHeight="1">
      <c r="A212" s="241"/>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row>
    <row r="213" spans="1:26" ht="14.25" customHeight="1">
      <c r="A213" s="241"/>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row>
    <row r="214" spans="1:26" ht="14.25" customHeight="1">
      <c r="A214" s="241"/>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row>
    <row r="215" spans="1:26" ht="14.25" customHeight="1">
      <c r="A215" s="241"/>
      <c r="B215" s="241"/>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row>
    <row r="216" spans="1:26" ht="14.25" customHeight="1">
      <c r="A216" s="241"/>
      <c r="B216" s="241"/>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row>
    <row r="217" spans="1:26" ht="14.25" customHeight="1">
      <c r="A217" s="241"/>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row>
    <row r="218" spans="1:26" ht="14.25" customHeight="1">
      <c r="A218" s="241"/>
      <c r="B218" s="241"/>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row>
    <row r="219" spans="1:26" ht="14.25" customHeight="1">
      <c r="A219" s="241"/>
      <c r="B219" s="241"/>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row>
    <row r="220" spans="1:26" ht="14.25" customHeight="1">
      <c r="A220" s="241"/>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row>
    <row r="221" spans="1:26" ht="14.25" customHeight="1">
      <c r="A221" s="241"/>
      <c r="B221" s="241"/>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row>
    <row r="222" spans="1:26" ht="14.25" customHeight="1">
      <c r="A222" s="241"/>
      <c r="B222" s="241"/>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row>
    <row r="223" spans="1:26" ht="14.25" customHeight="1">
      <c r="A223" s="241"/>
      <c r="B223" s="241"/>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row>
    <row r="224" spans="1:26" ht="14.25" customHeight="1">
      <c r="A224" s="241"/>
      <c r="B224" s="241"/>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row>
    <row r="225" spans="1:26" ht="14.25" customHeight="1">
      <c r="A225" s="241"/>
      <c r="B225" s="241"/>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row>
    <row r="226" spans="1:26" ht="14.25" customHeight="1">
      <c r="A226" s="241"/>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row>
    <row r="227" spans="1:26" ht="14.25" customHeight="1">
      <c r="A227" s="241"/>
      <c r="B227" s="241"/>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row>
    <row r="228" spans="1:26" ht="14.25" customHeight="1">
      <c r="A228" s="241"/>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row>
    <row r="229" spans="1:26" ht="14.25" customHeight="1">
      <c r="A229" s="241"/>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row>
    <row r="230" spans="1:26" ht="14.25" customHeight="1">
      <c r="A230" s="241"/>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row>
    <row r="231" spans="1:26" ht="14.25" customHeight="1">
      <c r="A231" s="241"/>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row>
    <row r="232" spans="1:26" ht="14.25" customHeight="1">
      <c r="A232" s="241"/>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row>
    <row r="233" spans="1:26" ht="14.25" customHeight="1">
      <c r="A233" s="241"/>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row>
    <row r="234" spans="1:26" ht="14.25" customHeight="1">
      <c r="A234" s="241"/>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row>
    <row r="235" spans="1:26" ht="14.25" customHeight="1">
      <c r="A235" s="241"/>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row>
    <row r="236" spans="1:26" ht="14.25" customHeight="1">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spans="1:26" ht="14.25" customHeight="1">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spans="1:26" ht="14.25" customHeight="1">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spans="1:26" ht="14.25" customHeight="1">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spans="1:26" ht="14.2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spans="1:26" ht="14.2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spans="1:26" ht="14.2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spans="1:26" ht="14.2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spans="1:26" ht="14.2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spans="1:26" ht="14.2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spans="1:26" ht="14.2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spans="1:26" ht="14.2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spans="1:26" ht="14.2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spans="1:26" ht="14.25" customHeight="1">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spans="1:26" ht="14.25" customHeight="1">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spans="1:26" ht="14.25" customHeight="1">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spans="1:26" ht="14.25" customHeight="1">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spans="1:26" ht="14.25" customHeight="1">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spans="1:26" ht="14.25" customHeight="1">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spans="1:26" ht="14.25" customHeight="1">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spans="1:26" ht="14.2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spans="1:26" ht="14.25" customHeight="1">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spans="1:26" ht="14.25" customHeight="1">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spans="1:26" ht="14.25" customHeight="1">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spans="1:26" ht="14.25" customHeight="1">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spans="1:26" ht="14.25" customHeight="1">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spans="1:26" ht="14.25" customHeight="1">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spans="1:26" ht="14.25" customHeight="1">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spans="1:26" ht="14.25" customHeight="1">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spans="1:26" ht="14.25" customHeight="1">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spans="1:26" ht="14.25" customHeight="1">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spans="1:26" ht="14.2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spans="1:26" ht="14.2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spans="1:26" ht="14.2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spans="1:26" ht="14.2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spans="1:26" ht="14.2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spans="1:26" ht="14.2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spans="1:26" ht="14.2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spans="1:26" ht="14.2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spans="1:26" ht="14.2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spans="1:26" ht="14.2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spans="1:26" ht="14.2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spans="1:26" ht="14.2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spans="1:26" ht="14.2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spans="1:26" ht="14.2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spans="1:26" ht="14.2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spans="1:26" ht="14.2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spans="1:26" ht="14.2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spans="1:26" ht="14.2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spans="1:26" ht="14.2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spans="1:26" ht="14.2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spans="1:26" ht="14.2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spans="1:26" ht="14.2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spans="1:26" ht="14.2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spans="1:26" ht="14.2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spans="1:26" ht="14.2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spans="1:26" ht="14.2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spans="1:26" ht="14.2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spans="1:26" ht="14.2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spans="1:26" ht="14.2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spans="1:26" ht="14.2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spans="1:26" ht="14.2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spans="1:26" ht="14.2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spans="1:26" ht="14.2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spans="1:26" ht="14.2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spans="1:26" ht="14.2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spans="1:26" ht="14.2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spans="1:26" ht="14.2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spans="1:26" ht="14.2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spans="1:26" ht="14.2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spans="1:26" ht="14.2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spans="1:26" ht="14.2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spans="1:26" ht="14.2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spans="1:26" ht="14.2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spans="1:26" ht="14.2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spans="1:26" ht="14.2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spans="1:26" ht="14.2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spans="1:26" ht="14.2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spans="1:26" ht="14.2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spans="1:26" ht="14.2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spans="1:26" ht="14.2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spans="1:26" ht="14.2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spans="1:26" ht="14.2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spans="1:26" ht="14.2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spans="1:26" ht="14.2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spans="1:26" ht="14.2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spans="1:26" ht="14.2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spans="1:26" ht="14.2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spans="1:26" ht="14.2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spans="1:26" ht="14.2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spans="1:26" ht="14.2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spans="1:26" ht="14.2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spans="1:26" ht="14.2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spans="1:26" ht="14.2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spans="1:26" ht="14.2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spans="1:26" ht="14.2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spans="1:26" ht="14.2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spans="1:26" ht="14.2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spans="1:26" ht="14.2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spans="1:26" ht="14.2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spans="1:26" ht="14.2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spans="1:26" ht="14.2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spans="1:26" ht="14.2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spans="1:26" ht="14.2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spans="1:26" ht="14.2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spans="1:26" ht="14.2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spans="1:26" ht="14.2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spans="1:26" ht="14.2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spans="1:26" ht="14.2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spans="1:26" ht="14.2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spans="1:26" ht="14.2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spans="1:26" ht="14.2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spans="1:26" ht="14.2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spans="1:26" ht="14.2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spans="1:26" ht="14.2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spans="1:26" ht="14.2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spans="1:26" ht="14.2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spans="1:26" ht="14.2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spans="1:26" ht="14.2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spans="1:26" ht="14.2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spans="1:26" ht="14.2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spans="1:26" ht="14.2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spans="1:26" ht="14.2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spans="1:26" ht="14.2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spans="1:26" ht="14.2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spans="1:26" ht="14.2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spans="1:26" ht="14.2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spans="1:26" ht="14.2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spans="1:26" ht="14.2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spans="1:26" ht="14.2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spans="1:26" ht="14.2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spans="1:26" ht="14.2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spans="1:26" ht="14.2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spans="1:26" ht="14.2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spans="1:26" ht="14.2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spans="1:26" ht="14.2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spans="1:26" ht="14.2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spans="1:26" ht="14.2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spans="1:26" ht="14.2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spans="1:26" ht="14.2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spans="1:26" ht="14.2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spans="1:26" ht="14.2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spans="1:26" ht="14.2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spans="1:26" ht="14.2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spans="1:26" ht="14.2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spans="1:26" ht="14.2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spans="1:26" ht="14.2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spans="1:26" ht="14.2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spans="1:26" ht="14.2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spans="1:26" ht="14.2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spans="1:26" ht="14.2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spans="1:26" ht="14.2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spans="1:26" ht="14.2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spans="1:26" ht="14.2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spans="1:26" ht="14.2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spans="1:26" ht="14.2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spans="1:26" ht="14.2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spans="1:26" ht="14.2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spans="1:26" ht="14.2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spans="1:26" ht="14.2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spans="1:26" ht="14.2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spans="1:26" ht="14.2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spans="1:26" ht="14.2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spans="1:26" ht="14.2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spans="1:26" ht="14.2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spans="1:26" ht="14.2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spans="1:26" ht="14.2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spans="1:26" ht="14.2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spans="1:26" ht="14.2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spans="1:26" ht="14.2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spans="1:26" ht="14.2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spans="1:26" ht="14.2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spans="1:26" ht="14.2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spans="1:26" ht="14.2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spans="1:26" ht="14.2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spans="1:26" ht="14.2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spans="1:26" ht="14.2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spans="1:26" ht="14.2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spans="1:26" ht="14.2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spans="1:26" ht="14.2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spans="1:26" ht="14.2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spans="1:26" ht="14.2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spans="1:26" ht="14.2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spans="1:26" ht="14.2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spans="1:26" ht="14.2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spans="1:26" ht="14.2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spans="1:26" ht="14.2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spans="1:26" ht="14.2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spans="1:26" ht="14.2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spans="1:26" ht="14.2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spans="1:26" ht="14.2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spans="1:26" ht="14.2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spans="1:26" ht="14.2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spans="1:26" ht="14.2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spans="1:26" ht="14.2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spans="1:26" ht="14.2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spans="1:26" ht="14.2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spans="1:26" ht="14.2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spans="1:26" ht="14.2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spans="1:26" ht="14.2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spans="1:26" ht="14.2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spans="1:26" ht="14.2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spans="1:26" ht="14.2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spans="1:26" ht="14.2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spans="1:26" ht="14.2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spans="1:26" ht="14.2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spans="1:26" ht="14.2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spans="1:26" ht="14.2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spans="1:26" ht="14.2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spans="1:26" ht="14.2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spans="1:26" ht="14.2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spans="1:26" ht="14.2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spans="1:26" ht="14.2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spans="1:26" ht="14.2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spans="1:26" ht="14.2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spans="1:26" ht="14.2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spans="1:26" ht="14.2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spans="1:26" ht="14.2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spans="1:26" ht="14.2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spans="1:26" ht="14.2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spans="1:26" ht="14.2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spans="1:26" ht="14.2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spans="1:26" ht="14.2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spans="1:26" ht="14.2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spans="1:26" ht="14.2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spans="1:26" ht="14.2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spans="1:26" ht="14.2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spans="1:26" ht="14.2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spans="1:26" ht="14.2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spans="1:26" ht="14.2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spans="1:26" ht="14.2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spans="1:26" ht="14.2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spans="1:26" ht="14.2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spans="1:26" ht="14.2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spans="1:26" ht="14.2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spans="1:26" ht="14.2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spans="1:26" ht="14.2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spans="1:26" ht="14.2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spans="1:26" ht="14.2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spans="1:26" ht="14.2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spans="1:26" ht="14.2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spans="1:26" ht="14.2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spans="1:26" ht="14.2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spans="1:26" ht="14.2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spans="1:26" ht="14.2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spans="1:26" ht="14.2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spans="1:26" ht="14.2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spans="1:26" ht="14.2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spans="1:26" ht="14.2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spans="1:26" ht="14.2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spans="1:26" ht="14.2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spans="1:26" ht="14.2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spans="1:26" ht="14.2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spans="1:26" ht="14.2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spans="1:26" ht="14.2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spans="1:26" ht="14.2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spans="1:26" ht="14.2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spans="1:26" ht="14.2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spans="1:26" ht="14.2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spans="1:26" ht="14.2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spans="1:26" ht="14.2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spans="1:26" ht="14.2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spans="1:26" ht="14.2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spans="1:26" ht="14.2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spans="1:26" ht="14.2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spans="1:26" ht="14.2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spans="1:26" ht="14.2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spans="1:26" ht="14.2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spans="1:26" ht="14.2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spans="1:26" ht="14.2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spans="1:26" ht="14.2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spans="1:26" ht="14.2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spans="1:26" ht="14.2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spans="1:26" ht="14.2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spans="1:26" ht="14.2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spans="1:26" ht="14.2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spans="1:26" ht="14.2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spans="1:26" ht="14.2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spans="1:26" ht="14.2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spans="1:26" ht="14.2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spans="1:26" ht="14.2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spans="1:26" ht="14.2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spans="1:26" ht="14.2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spans="1:26" ht="14.2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spans="1:26" ht="14.2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spans="1:26" ht="14.2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spans="1:26" ht="14.2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spans="1:26" ht="14.2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spans="1:26" ht="14.2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spans="1:26" ht="14.2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spans="1:26" ht="14.2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spans="1:26" ht="14.2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spans="1:26" ht="14.2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spans="1:26" ht="14.2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spans="1:26" ht="14.2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spans="1:26" ht="14.2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spans="1:26" ht="14.2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spans="1:26" ht="14.2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spans="1:26" ht="14.2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spans="1:26" ht="14.2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spans="1:26" ht="14.2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spans="1:26" ht="14.2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spans="1:26" ht="14.2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spans="1:26" ht="14.2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spans="1:26" ht="14.2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spans="1:26" ht="14.2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spans="1:26" ht="14.2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spans="1:26" ht="14.2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spans="1:26" ht="14.2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spans="1:26" ht="14.2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spans="1:26" ht="14.2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spans="1:26" ht="14.2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spans="1:26" ht="14.2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spans="1:26" ht="14.2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spans="1:26" ht="14.2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spans="1:26" ht="14.2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spans="1:26" ht="14.2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spans="1:26" ht="14.2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spans="1:26" ht="14.2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spans="1:26" ht="14.2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spans="1:26" ht="14.2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spans="1:26" ht="14.2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spans="1:26" ht="14.2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spans="1:26" ht="14.2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spans="1:26" ht="14.2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spans="1:26" ht="14.2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spans="1:26" ht="14.2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spans="1:26" ht="14.2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spans="1:26" ht="14.2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spans="1:26" ht="14.2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spans="1:26" ht="14.2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spans="1:26" ht="14.2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spans="1:26" ht="14.2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spans="1:26" ht="14.2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spans="1:26" ht="14.2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spans="1:26" ht="14.2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spans="1:26" ht="14.2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spans="1:26" ht="14.2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spans="1:26" ht="14.2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spans="1:26" ht="14.2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spans="1:26" ht="14.2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spans="1:26" ht="14.2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spans="1:26" ht="14.2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spans="1:26" ht="14.2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spans="1:26" ht="14.2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spans="1:26" ht="14.2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spans="1:26" ht="14.2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spans="1:26" ht="14.2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spans="1:26" ht="14.2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spans="1:26" ht="14.2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spans="1:26" ht="14.2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spans="1:26" ht="14.2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spans="1:26" ht="14.2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spans="1:26" ht="14.2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spans="1:26" ht="14.2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spans="1:26" ht="14.2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spans="1:26" ht="14.2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spans="1:26" ht="14.2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spans="1:26" ht="14.2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spans="1:26" ht="14.2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spans="1:26" ht="14.2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spans="1:26" ht="14.2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spans="1:26" ht="14.2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spans="1:26" ht="14.2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spans="1:26" ht="14.2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spans="1:26" ht="14.2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spans="1:26" ht="14.2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spans="1:26" ht="14.2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spans="1:26" ht="14.2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spans="1:26" ht="14.2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spans="1:26" ht="14.2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spans="1:26" ht="14.2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spans="1:26" ht="14.2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spans="1:26" ht="14.2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spans="1:26" ht="14.2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spans="1:26" ht="14.2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spans="1:26" ht="14.2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spans="1:26" ht="14.2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spans="1:26" ht="14.2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spans="1:26" ht="14.2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spans="1:26" ht="14.2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spans="1:26" ht="14.2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spans="1:26" ht="14.2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spans="1:26" ht="14.2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spans="1:26" ht="14.2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spans="1:26" ht="14.2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spans="1:26" ht="14.2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spans="1:26" ht="14.2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spans="1:26" ht="14.2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spans="1:26" ht="14.2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spans="1:26" ht="14.2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spans="1:26" ht="14.2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spans="1:26" ht="14.2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spans="1:26" ht="14.2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spans="1:26" ht="14.2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spans="1:26" ht="14.2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spans="1:26" ht="14.2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spans="1:26" ht="14.2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spans="1:26" ht="14.2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spans="1:26" ht="14.2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spans="1:26" ht="14.2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spans="1:26" ht="14.2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spans="1:26" ht="14.2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spans="1:26" ht="14.2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spans="1:26" ht="14.2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spans="1:26" ht="14.2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spans="1:26" ht="14.2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spans="1:26" ht="14.2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spans="1:26" ht="14.2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spans="1:26" ht="14.2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spans="1:26" ht="14.2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spans="1:26" ht="14.2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spans="1:26" ht="14.2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spans="1:26" ht="14.2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spans="1:26" ht="14.2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spans="1:26" ht="14.2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spans="1:26" ht="14.2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spans="1:26" ht="14.2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spans="1:26" ht="14.2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spans="1:26" ht="14.2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spans="1:26" ht="14.2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spans="1:26" ht="14.2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spans="1:26" ht="14.2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spans="1:26" ht="14.2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spans="1:26" ht="14.2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spans="1:26" ht="14.2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spans="1:26" ht="14.2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spans="1:26" ht="14.2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spans="1:26" ht="14.2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spans="1:26" ht="14.2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spans="1:26" ht="14.2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spans="1:26" ht="14.2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spans="1:26" ht="14.2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spans="1:26" ht="14.2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spans="1:26" ht="14.2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spans="1:26" ht="14.2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spans="1:26" ht="14.2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spans="1:26" ht="14.2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spans="1:26" ht="14.2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spans="1:26" ht="14.2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spans="1:26" ht="14.2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spans="1:26" ht="14.2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spans="1:26" ht="14.2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spans="1:26" ht="14.2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spans="1:26" ht="14.2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spans="1:26" ht="14.2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spans="1:26" ht="14.2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spans="1:26" ht="14.2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spans="1:26" ht="14.2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spans="1:26" ht="14.2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spans="1:26" ht="14.2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spans="1:26" ht="14.2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spans="1:26" ht="14.2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spans="1:26" ht="14.2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spans="1:26" ht="14.2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spans="1:26" ht="14.2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spans="1:26" ht="14.2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spans="1:26" ht="14.2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spans="1:26" ht="14.2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spans="1:26" ht="14.2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spans="1:26" ht="14.2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spans="1:26" ht="14.2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spans="1:26" ht="14.2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spans="1:26" ht="14.2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spans="1:26" ht="14.2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spans="1:26" ht="14.2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spans="1:26" ht="14.2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spans="1:26" ht="14.2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spans="1:26" ht="14.2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spans="1:26" ht="14.2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spans="1:26" ht="14.2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spans="1:26" ht="14.2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spans="1:26" ht="14.2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spans="1:26" ht="14.2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spans="1:26" ht="14.2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spans="1:26" ht="14.2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spans="1:26" ht="14.2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spans="1:26" ht="14.2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spans="1:26" ht="14.2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spans="1:26" ht="14.2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spans="1:26" ht="14.2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spans="1:26" ht="14.2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spans="1:26" ht="14.2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spans="1:26" ht="14.2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spans="1:26" ht="14.2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spans="1:26" ht="14.2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spans="1:26" ht="14.2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spans="1:26" ht="14.2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spans="1:26" ht="14.2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spans="1:26" ht="14.2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spans="1:26" ht="14.2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spans="1:26" ht="14.2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spans="1:26" ht="14.2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spans="1:26" ht="14.2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spans="1:26" ht="14.2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spans="1:26" ht="14.2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spans="1:26" ht="14.2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spans="1:26" ht="14.2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spans="1:26" ht="14.2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spans="1:26" ht="14.2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spans="1:26" ht="14.2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spans="1:26" ht="14.2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spans="1:26" ht="14.2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spans="1:26" ht="14.2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spans="1:26" ht="14.2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spans="1:26" ht="14.2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spans="1:26" ht="14.2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spans="1:26" ht="14.2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spans="1:26" ht="14.2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spans="1:26" ht="14.2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spans="1:26" ht="14.2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spans="1:26" ht="14.2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spans="1:26" ht="14.2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spans="1:26" ht="14.2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spans="1:26" ht="14.2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spans="1:26" ht="14.2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spans="1:26" ht="14.2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spans="1:26" ht="14.2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spans="1:26" ht="14.2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spans="1:26" ht="14.2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spans="1:26" ht="14.2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spans="1:26" ht="14.2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spans="1:26" ht="14.2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spans="1:26" ht="14.2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spans="1:26" ht="14.2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spans="1:26" ht="14.2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spans="1:26" ht="14.2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spans="1:26" ht="14.2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spans="1:26" ht="14.2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spans="1:26" ht="14.2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spans="1:26" ht="14.2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spans="1:26" ht="14.2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spans="1:26" ht="14.2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spans="1:26" ht="14.2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spans="1:26" ht="14.2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spans="1:26" ht="14.2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spans="1:26" ht="14.2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spans="1:26" ht="14.2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spans="1:26" ht="14.2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spans="1:26" ht="14.2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spans="1:26" ht="14.2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spans="1:26" ht="14.2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spans="1:26" ht="14.2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spans="1:26" ht="14.2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spans="1:26" ht="14.2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spans="1:26" ht="14.2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spans="1:26" ht="14.2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spans="1:26" ht="14.2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spans="1:26" ht="14.2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spans="1:26" ht="14.2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spans="1:26" ht="14.2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spans="1:26" ht="14.2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spans="1:26" ht="14.2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spans="1:26" ht="14.2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spans="1:26" ht="14.2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spans="1:26" ht="14.2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spans="1:26" ht="14.2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spans="1:26" ht="14.2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spans="1:26" ht="14.2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spans="1:26" ht="14.2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spans="1:26" ht="14.2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spans="1:26" ht="14.2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spans="1:26" ht="14.2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spans="1:26" ht="14.2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spans="1:26" ht="14.2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spans="1:26" ht="14.2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spans="1:26" ht="14.2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spans="1:26" ht="14.2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spans="1:26" ht="14.2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spans="1:26" ht="14.2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spans="1:26" ht="14.2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spans="1:26" ht="14.2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spans="1:26" ht="14.2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spans="1:26" ht="14.2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spans="1:26" ht="14.2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spans="1:26" ht="14.2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spans="1:26" ht="14.2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spans="1:26" ht="14.2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spans="1:26" ht="14.2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spans="1:26" ht="14.2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spans="1:26" ht="14.2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spans="1:26" ht="14.2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spans="1:26" ht="14.2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spans="1:26" ht="14.2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spans="1:26" ht="14.2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spans="1:26" ht="14.2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spans="1:26" ht="14.2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spans="1:26" ht="14.2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spans="1:26" ht="14.2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spans="1:26" ht="14.2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spans="1:26" ht="14.2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spans="1:26" ht="14.2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spans="1:26" ht="14.2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spans="1:26" ht="14.2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spans="1:26" ht="14.2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spans="1:26" ht="14.2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spans="1:26" ht="14.2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spans="1:26" ht="14.2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spans="1:26" ht="14.2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spans="1:26" ht="14.2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spans="1:26" ht="14.2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spans="1:26" ht="14.2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spans="1:26" ht="14.2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spans="1:26" ht="14.2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spans="1:26" ht="14.2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spans="1:26" ht="14.2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spans="1:26" ht="14.2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spans="1:26" ht="14.2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spans="1:26" ht="14.2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spans="1:26" ht="14.2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spans="1:26" ht="14.2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spans="1:26" ht="14.2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spans="1:26" ht="14.2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spans="1:26" ht="14.2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spans="1:26" ht="14.2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spans="1:26" ht="14.2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spans="1:26" ht="14.2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spans="1:26" ht="14.2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spans="1:26" ht="14.2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spans="1:26" ht="14.2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spans="1:26" ht="14.2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spans="1:26" ht="14.2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spans="1:26" ht="14.2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spans="1:26" ht="14.2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spans="1:26" ht="14.2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spans="1:26" ht="14.2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spans="1:26" ht="14.2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spans="1:26" ht="14.2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spans="1:26" ht="14.2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spans="1:26" ht="14.2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spans="1:26" ht="14.2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spans="1:26" ht="14.2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spans="1:26" ht="14.2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spans="1:26" ht="14.2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spans="1:26" ht="14.2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spans="1:26" ht="14.2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spans="1:26" ht="14.2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spans="1:26" ht="14.2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spans="1:26" ht="14.2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spans="1:26" ht="14.2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spans="1:26" ht="14.2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spans="1:26" ht="14.2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spans="1:26" ht="14.2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spans="1:26" ht="14.2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spans="1:26" ht="14.2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spans="1:26" ht="14.2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spans="1:26" ht="14.2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spans="1:26" ht="14.2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spans="1:26" ht="14.2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spans="1:26" ht="14.2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spans="1:26" ht="14.2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spans="1:26" ht="14.2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spans="1:26" ht="14.2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spans="1:26" ht="14.2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spans="1:26" ht="14.2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spans="1:26" ht="14.2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spans="1:26" ht="14.2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spans="1:26" ht="14.2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spans="1:26" ht="14.2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spans="1:26" ht="14.2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spans="1:26" ht="14.2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spans="1:26" ht="14.2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spans="1:26" ht="14.2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spans="1:26" ht="14.2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spans="1:26" ht="14.2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spans="1:26" ht="14.2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spans="1:26" ht="14.2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spans="1:26" ht="14.2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spans="1:26" ht="14.2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spans="1:26" ht="14.2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spans="1:26" ht="14.2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spans="1:26" ht="14.2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spans="1:26" ht="14.2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spans="1:26" ht="14.2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spans="1:26" ht="14.2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spans="1:26" ht="14.2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spans="1:26" ht="14.2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spans="1:26" ht="14.2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spans="1:26" ht="14.2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spans="1:26" ht="14.2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spans="1:26" ht="14.2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spans="1:26" ht="14.2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spans="1:26" ht="14.2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spans="1:26" ht="14.2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spans="1:26" ht="14.2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spans="1:26" ht="14.2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spans="1:26" ht="14.2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spans="1:26" ht="14.2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spans="1:26" ht="14.2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spans="1:26" ht="14.2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spans="1:26" ht="14.2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spans="1:26" ht="14.2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spans="1:26" ht="14.2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spans="1:26" ht="14.2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spans="1:26" ht="14.2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spans="1:26" ht="14.2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spans="1:26" ht="14.2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spans="1:26" ht="14.2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spans="1:26" ht="14.2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spans="1:26" ht="14.2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spans="1:26" ht="14.2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spans="1:26" ht="14.2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spans="1:26" ht="14.2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spans="1:26" ht="14.2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spans="1:26" ht="14.2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spans="1:26" ht="14.2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spans="1:26" ht="14.2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spans="1:26" ht="14.2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spans="1:26" ht="14.2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spans="1:26" ht="14.2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spans="1:26" ht="14.2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spans="1:26" ht="14.2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spans="1:26" ht="14.2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spans="1:26" ht="14.2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spans="1:26" ht="14.2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spans="1:26" ht="14.2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spans="1:26" ht="14.2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spans="1:26" ht="14.2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spans="1:26" ht="14.2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spans="1:26" ht="14.2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spans="1:26" ht="14.2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spans="1:26" ht="14.2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spans="1:26" ht="14.2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spans="1:26" ht="14.2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spans="1:26" ht="14.2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spans="1:26" ht="14.2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spans="1:26" ht="14.2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spans="1:26" ht="14.2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spans="1:26" ht="14.2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spans="1:26" ht="14.2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spans="1:26" ht="14.2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spans="1:26" ht="14.2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spans="1:26" ht="14.2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spans="1:26" ht="14.2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spans="1:26" ht="14.2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spans="1:26" ht="14.2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spans="1:26" ht="14.2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spans="1:26" ht="14.2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spans="1:26" ht="14.2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spans="1:26" ht="14.2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spans="1:26" ht="14.2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spans="1:26" ht="14.2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spans="1:26" ht="14.2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spans="1:26" ht="14.2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spans="1:26" ht="14.2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spans="1:26" ht="14.2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spans="1:26" ht="14.2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spans="1:26" ht="14.2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spans="1:26" ht="14.2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spans="1:26" ht="14.2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spans="1:26" ht="14.2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spans="1:26" ht="14.2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spans="1:26" ht="14.2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spans="1:26" ht="14.2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spans="1:26" ht="14.2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spans="1:26" ht="14.2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spans="1:26" ht="14.2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spans="1:26" ht="14.2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spans="1:26" ht="14.2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spans="1:26" ht="14.2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spans="1:26" ht="14.2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spans="1:26" ht="14.2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spans="1:26" ht="14.2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spans="1:26" ht="14.2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spans="1:26" ht="14.2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3">
    <mergeCell ref="B2:C2"/>
    <mergeCell ref="G9:H9"/>
    <mergeCell ref="G10:H10"/>
  </mergeCell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election sqref="A1:L1"/>
    </sheetView>
  </sheetViews>
  <sheetFormatPr defaultColWidth="12.6640625" defaultRowHeight="15" customHeight="1"/>
  <cols>
    <col min="1" max="1" width="21.33203125" customWidth="1"/>
    <col min="2" max="2" width="24.88671875" customWidth="1"/>
    <col min="3" max="3" width="14.88671875" customWidth="1"/>
    <col min="4" max="5" width="15" customWidth="1"/>
    <col min="6" max="6" width="22.109375" customWidth="1"/>
    <col min="7" max="12" width="16.21875" customWidth="1"/>
    <col min="13" max="13" width="8.88671875" customWidth="1"/>
    <col min="14" max="26" width="8.6640625" customWidth="1"/>
  </cols>
  <sheetData>
    <row r="1" spans="1:26" ht="27.75" customHeight="1">
      <c r="A1" s="424" t="s">
        <v>244</v>
      </c>
      <c r="B1" s="404"/>
      <c r="C1" s="404"/>
      <c r="D1" s="404"/>
      <c r="E1" s="404"/>
      <c r="F1" s="404"/>
      <c r="G1" s="404"/>
      <c r="H1" s="404"/>
      <c r="I1" s="404"/>
      <c r="J1" s="404"/>
      <c r="K1" s="404"/>
      <c r="L1" s="405"/>
      <c r="M1" s="80"/>
      <c r="N1" s="80"/>
      <c r="O1" s="80"/>
      <c r="P1" s="80"/>
      <c r="Q1" s="80"/>
      <c r="R1" s="80"/>
      <c r="S1" s="80"/>
      <c r="T1" s="80"/>
      <c r="U1" s="80"/>
      <c r="V1" s="80"/>
      <c r="W1" s="80"/>
      <c r="X1" s="80"/>
      <c r="Y1" s="80"/>
      <c r="Z1" s="80"/>
    </row>
    <row r="2" spans="1:26" ht="21.75" customHeight="1">
      <c r="A2" s="309" t="s">
        <v>245</v>
      </c>
      <c r="B2" s="309">
        <v>2020</v>
      </c>
      <c r="C2" s="309">
        <v>2021</v>
      </c>
      <c r="D2" s="309">
        <v>2022</v>
      </c>
      <c r="E2" s="310">
        <v>2023</v>
      </c>
      <c r="F2" s="309">
        <v>2024</v>
      </c>
      <c r="G2" s="310">
        <v>2025</v>
      </c>
      <c r="H2" s="311">
        <v>2026</v>
      </c>
      <c r="I2" s="311">
        <v>2027</v>
      </c>
      <c r="J2" s="311">
        <v>2028</v>
      </c>
      <c r="K2" s="311">
        <v>2029</v>
      </c>
      <c r="L2" s="311">
        <v>2030</v>
      </c>
      <c r="M2" s="312"/>
      <c r="N2" s="86"/>
      <c r="O2" s="86"/>
      <c r="P2" s="86"/>
      <c r="Q2" s="86"/>
      <c r="R2" s="86"/>
      <c r="S2" s="86"/>
      <c r="T2" s="86"/>
      <c r="U2" s="86"/>
      <c r="V2" s="86"/>
      <c r="W2" s="86"/>
      <c r="X2" s="86"/>
      <c r="Y2" s="86"/>
      <c r="Z2" s="86"/>
    </row>
    <row r="3" spans="1:26" ht="14.25" customHeight="1">
      <c r="A3" s="313" t="s">
        <v>196</v>
      </c>
      <c r="B3" s="314">
        <f>NOPLAT!C10</f>
        <v>3279511.6439041975</v>
      </c>
      <c r="C3" s="314">
        <f>NOPLAT!D10</f>
        <v>3023897.7328299382</v>
      </c>
      <c r="D3" s="314">
        <f>NOPLAT!E10</f>
        <v>3709533.3623667327</v>
      </c>
      <c r="E3" s="315">
        <f>NOPLAT!F10</f>
        <v>8066413.1730458913</v>
      </c>
      <c r="F3" s="314">
        <f>NOPLAT!G10</f>
        <v>8904929.178561626</v>
      </c>
      <c r="G3" s="315">
        <f>NOPLAT!H10</f>
        <v>9996500.5177869815</v>
      </c>
      <c r="H3" s="314">
        <f>NOPLAT!I10</f>
        <v>11399699.734242594</v>
      </c>
      <c r="I3" s="315">
        <f>NOPLAT!J10</f>
        <v>12789671.533604164</v>
      </c>
      <c r="J3" s="316">
        <f>NOPLAT!K10</f>
        <v>14478763.857711306</v>
      </c>
      <c r="K3" s="315">
        <f>NOPLAT!L10</f>
        <v>16062891.61911184</v>
      </c>
      <c r="L3" s="316">
        <f>NOPLAT!M10</f>
        <v>17928336.48020608</v>
      </c>
      <c r="M3" s="79"/>
      <c r="N3" s="80"/>
      <c r="O3" s="80"/>
      <c r="P3" s="80"/>
      <c r="Q3" s="80"/>
      <c r="R3" s="80"/>
      <c r="S3" s="80"/>
      <c r="T3" s="80"/>
      <c r="U3" s="80"/>
      <c r="V3" s="80"/>
      <c r="W3" s="80"/>
      <c r="X3" s="80"/>
      <c r="Y3" s="80"/>
      <c r="Z3" s="80"/>
    </row>
    <row r="4" spans="1:26" ht="14.25" customHeight="1">
      <c r="A4" s="317" t="s">
        <v>206</v>
      </c>
      <c r="B4" s="318">
        <f>NOPLAT!C15</f>
        <v>3055304.643904198</v>
      </c>
      <c r="C4" s="318">
        <f>NOPLAT!D15</f>
        <v>2864643.7328299377</v>
      </c>
      <c r="D4" s="318">
        <f>NOPLAT!E15</f>
        <v>3293722.3623667322</v>
      </c>
      <c r="E4" s="319">
        <f>NOPLAT!F15</f>
        <v>935412.17304589227</v>
      </c>
      <c r="F4" s="318">
        <f>NOPLAT!G15</f>
        <v>3476506.178561626</v>
      </c>
      <c r="G4" s="319">
        <f>NOPLAT!H15</f>
        <v>10202918.517786982</v>
      </c>
      <c r="H4" s="318">
        <f>NOPLAT!I15</f>
        <v>8369220.0857969373</v>
      </c>
      <c r="I4" s="319">
        <f>NOPLAT!J15</f>
        <v>9682357.8263613433</v>
      </c>
      <c r="J4" s="320">
        <f>NOPLAT!K15</f>
        <v>11285074.878995549</v>
      </c>
      <c r="K4" s="319">
        <f>NOPLAT!L15</f>
        <v>12761141.717294786</v>
      </c>
      <c r="L4" s="320">
        <f>NOPLAT!M15</f>
        <v>14494569.283627937</v>
      </c>
      <c r="M4" s="79"/>
      <c r="N4" s="80"/>
      <c r="O4" s="80"/>
      <c r="P4" s="80"/>
      <c r="Q4" s="80"/>
      <c r="R4" s="80"/>
      <c r="S4" s="80"/>
      <c r="T4" s="80"/>
      <c r="U4" s="80"/>
      <c r="V4" s="80"/>
      <c r="W4" s="80"/>
      <c r="X4" s="80"/>
      <c r="Y4" s="80"/>
      <c r="Z4" s="80"/>
    </row>
    <row r="5" spans="1:26" ht="14.25" customHeight="1">
      <c r="A5" s="317" t="s">
        <v>243</v>
      </c>
      <c r="B5" s="321"/>
      <c r="C5" s="321"/>
      <c r="D5" s="321"/>
      <c r="E5" s="322"/>
      <c r="F5" s="321"/>
      <c r="G5" s="323"/>
      <c r="H5" s="324">
        <f>WACC!$C30</f>
        <v>0.15764535648913591</v>
      </c>
      <c r="I5" s="325">
        <f>WACC!$C30</f>
        <v>0.15764535648913591</v>
      </c>
      <c r="J5" s="326">
        <f>WACC!$C30</f>
        <v>0.15764535648913591</v>
      </c>
      <c r="K5" s="325">
        <f>WACC!$C30</f>
        <v>0.15764535648913591</v>
      </c>
      <c r="L5" s="326">
        <f>WACC!$C30</f>
        <v>0.15764535648913591</v>
      </c>
      <c r="M5" s="79"/>
      <c r="N5" s="80"/>
      <c r="O5" s="80"/>
      <c r="P5" s="80"/>
      <c r="Q5" s="80"/>
      <c r="R5" s="80"/>
      <c r="S5" s="80"/>
      <c r="T5" s="80"/>
      <c r="U5" s="80"/>
      <c r="V5" s="80"/>
      <c r="W5" s="80"/>
      <c r="X5" s="80"/>
      <c r="Y5" s="80"/>
      <c r="Z5" s="80"/>
    </row>
    <row r="6" spans="1:26" ht="14.25" customHeight="1">
      <c r="A6" s="327" t="s">
        <v>246</v>
      </c>
      <c r="B6" s="328"/>
      <c r="C6" s="328"/>
      <c r="D6" s="328"/>
      <c r="E6" s="329"/>
      <c r="F6" s="328"/>
      <c r="G6" s="330"/>
      <c r="H6" s="331">
        <f>H4/((1+H5)^1)</f>
        <v>7229519.8515534997</v>
      </c>
      <c r="I6" s="332">
        <f>I4/((1+I5)^2)</f>
        <v>7224870.389175266</v>
      </c>
      <c r="J6" s="333">
        <f>J4/((1+J5)^3)</f>
        <v>7274076.1430827519</v>
      </c>
      <c r="K6" s="332">
        <f>K4/((1+K5)^4)</f>
        <v>7105381.4096518904</v>
      </c>
      <c r="L6" s="333">
        <f>L4/((1+L5)^5)</f>
        <v>6971522.6726336321</v>
      </c>
      <c r="M6" s="79"/>
      <c r="N6" s="80"/>
      <c r="O6" s="80"/>
      <c r="P6" s="80"/>
      <c r="Q6" s="80"/>
      <c r="R6" s="80"/>
      <c r="S6" s="80"/>
      <c r="T6" s="80"/>
      <c r="U6" s="80"/>
      <c r="V6" s="80"/>
      <c r="W6" s="80"/>
      <c r="X6" s="80"/>
      <c r="Y6" s="80"/>
      <c r="Z6" s="80"/>
    </row>
    <row r="7" spans="1:26" ht="14.25" customHeight="1">
      <c r="A7" s="8"/>
      <c r="B7" s="80"/>
      <c r="C7" s="80"/>
      <c r="D7" s="80"/>
      <c r="E7" s="80"/>
      <c r="F7" s="80"/>
      <c r="G7" s="80"/>
      <c r="H7" s="80"/>
      <c r="I7" s="80"/>
      <c r="J7" s="80"/>
      <c r="K7" s="80"/>
      <c r="L7" s="80"/>
      <c r="M7" s="80"/>
      <c r="N7" s="80"/>
      <c r="O7" s="80"/>
      <c r="P7" s="80"/>
      <c r="Q7" s="80"/>
      <c r="R7" s="80"/>
      <c r="S7" s="80"/>
      <c r="T7" s="80"/>
      <c r="U7" s="80"/>
      <c r="V7" s="80"/>
      <c r="W7" s="80"/>
      <c r="X7" s="80"/>
      <c r="Y7" s="80"/>
      <c r="Z7" s="80"/>
    </row>
    <row r="8" spans="1:26" ht="14.25" customHeight="1">
      <c r="A8" s="8"/>
      <c r="B8" s="80"/>
      <c r="C8" s="80"/>
      <c r="D8" s="80"/>
      <c r="E8" s="80"/>
      <c r="F8" s="80"/>
      <c r="G8" s="80"/>
      <c r="H8" s="80"/>
      <c r="I8" s="80"/>
      <c r="J8" s="80"/>
      <c r="K8" s="80"/>
      <c r="L8" s="80"/>
      <c r="M8" s="80"/>
      <c r="N8" s="80"/>
      <c r="O8" s="80"/>
      <c r="P8" s="80"/>
      <c r="Q8" s="80"/>
      <c r="R8" s="80"/>
      <c r="S8" s="80"/>
      <c r="T8" s="80"/>
      <c r="U8" s="80"/>
      <c r="V8" s="80"/>
      <c r="W8" s="80"/>
      <c r="X8" s="80"/>
      <c r="Y8" s="80"/>
      <c r="Z8" s="80"/>
    </row>
    <row r="9" spans="1:26" ht="14.25" customHeight="1">
      <c r="A9" s="8"/>
      <c r="B9" s="8"/>
      <c r="C9" s="80"/>
      <c r="D9" s="80"/>
      <c r="E9" s="80"/>
      <c r="F9" s="80"/>
      <c r="G9" s="80"/>
      <c r="H9" s="80"/>
      <c r="I9" s="80"/>
      <c r="J9" s="80"/>
      <c r="K9" s="80"/>
      <c r="L9" s="80"/>
      <c r="M9" s="80"/>
      <c r="N9" s="80"/>
      <c r="O9" s="80"/>
      <c r="P9" s="80"/>
      <c r="Q9" s="80"/>
      <c r="R9" s="80"/>
      <c r="S9" s="80"/>
      <c r="T9" s="80"/>
      <c r="U9" s="80"/>
      <c r="V9" s="80"/>
      <c r="W9" s="80"/>
      <c r="X9" s="80"/>
      <c r="Y9" s="80"/>
      <c r="Z9" s="80"/>
    </row>
    <row r="10" spans="1:26" ht="19.5" customHeight="1">
      <c r="A10" s="8"/>
      <c r="B10" s="425" t="s">
        <v>247</v>
      </c>
      <c r="C10" s="411"/>
      <c r="D10" s="80"/>
      <c r="E10" s="80"/>
      <c r="F10" s="80"/>
      <c r="G10" s="80"/>
      <c r="H10" s="80"/>
      <c r="I10" s="80"/>
      <c r="J10" s="80"/>
      <c r="K10" s="80"/>
      <c r="L10" s="80"/>
      <c r="M10" s="80"/>
      <c r="N10" s="80"/>
      <c r="O10" s="80"/>
      <c r="P10" s="80"/>
      <c r="Q10" s="80"/>
      <c r="R10" s="80"/>
      <c r="S10" s="80"/>
      <c r="T10" s="80"/>
      <c r="U10" s="80"/>
      <c r="V10" s="80"/>
      <c r="W10" s="80"/>
      <c r="X10" s="80"/>
      <c r="Y10" s="80"/>
      <c r="Z10" s="80"/>
    </row>
    <row r="11" spans="1:26" ht="14.25" customHeight="1">
      <c r="A11" s="8"/>
      <c r="B11" s="334" t="s">
        <v>248</v>
      </c>
      <c r="C11" s="335">
        <f>SUM(H6:L6)</f>
        <v>35805370.466097042</v>
      </c>
      <c r="D11" s="80"/>
      <c r="E11" s="80"/>
      <c r="F11" s="80"/>
      <c r="G11" s="80"/>
      <c r="H11" s="80"/>
      <c r="I11" s="80"/>
      <c r="J11" s="80"/>
      <c r="K11" s="80"/>
      <c r="L11" s="80"/>
      <c r="M11" s="80"/>
      <c r="N11" s="80"/>
      <c r="O11" s="80"/>
      <c r="P11" s="80"/>
      <c r="Q11" s="80"/>
      <c r="R11" s="80"/>
      <c r="S11" s="80"/>
      <c r="T11" s="80"/>
      <c r="U11" s="80"/>
      <c r="V11" s="80"/>
      <c r="W11" s="80"/>
      <c r="X11" s="80"/>
      <c r="Y11" s="80"/>
      <c r="Z11" s="80"/>
    </row>
    <row r="12" spans="1:26" ht="14.25" customHeight="1">
      <c r="A12" s="8"/>
      <c r="B12" s="334" t="s">
        <v>249</v>
      </c>
      <c r="C12" s="336">
        <v>0.02</v>
      </c>
      <c r="D12" s="80"/>
      <c r="E12" s="80"/>
      <c r="F12" s="80"/>
      <c r="G12" s="80"/>
      <c r="H12" s="80"/>
      <c r="I12" s="80"/>
      <c r="J12" s="80"/>
      <c r="K12" s="80"/>
      <c r="L12" s="80"/>
      <c r="M12" s="80"/>
      <c r="N12" s="80"/>
      <c r="O12" s="80"/>
      <c r="P12" s="80"/>
      <c r="Q12" s="80"/>
      <c r="R12" s="80"/>
      <c r="S12" s="80"/>
      <c r="T12" s="80"/>
      <c r="U12" s="80"/>
      <c r="V12" s="80"/>
      <c r="W12" s="80"/>
      <c r="X12" s="80"/>
      <c r="Y12" s="80"/>
      <c r="Z12" s="80"/>
    </row>
    <row r="13" spans="1:26" ht="14.25" customHeight="1">
      <c r="A13" s="8"/>
      <c r="B13" s="334" t="s">
        <v>243</v>
      </c>
      <c r="C13" s="337">
        <f>WACC!C30</f>
        <v>0.15764535648913591</v>
      </c>
      <c r="D13" s="80"/>
      <c r="E13" s="426" t="s">
        <v>250</v>
      </c>
      <c r="F13" s="404"/>
      <c r="G13" s="404"/>
      <c r="H13" s="404"/>
      <c r="I13" s="404"/>
      <c r="J13" s="404"/>
      <c r="K13" s="405"/>
      <c r="L13" s="80"/>
      <c r="M13" s="80"/>
      <c r="N13" s="80"/>
      <c r="O13" s="80"/>
      <c r="P13" s="80"/>
      <c r="Q13" s="80"/>
      <c r="R13" s="80"/>
      <c r="S13" s="80"/>
      <c r="T13" s="80"/>
      <c r="U13" s="80"/>
      <c r="V13" s="80"/>
      <c r="W13" s="80"/>
      <c r="X13" s="80"/>
      <c r="Y13" s="80"/>
      <c r="Z13" s="80"/>
    </row>
    <row r="14" spans="1:26" ht="14.25" customHeight="1">
      <c r="A14" s="8"/>
      <c r="B14" s="334" t="s">
        <v>251</v>
      </c>
      <c r="C14" s="338">
        <f>L4*(1+C12)/(C13-C12)</f>
        <v>107409803.32647403</v>
      </c>
      <c r="D14" s="339"/>
      <c r="E14" s="80"/>
      <c r="F14" s="80"/>
      <c r="G14" s="80"/>
      <c r="H14" s="80"/>
      <c r="I14" s="80"/>
      <c r="J14" s="80"/>
      <c r="K14" s="80"/>
      <c r="L14" s="80"/>
      <c r="M14" s="80"/>
      <c r="N14" s="80"/>
      <c r="O14" s="80"/>
      <c r="P14" s="80"/>
      <c r="Q14" s="80"/>
      <c r="R14" s="80"/>
      <c r="S14" s="80"/>
      <c r="T14" s="80"/>
      <c r="U14" s="80"/>
      <c r="V14" s="80"/>
      <c r="W14" s="80"/>
      <c r="X14" s="80"/>
      <c r="Y14" s="80"/>
      <c r="Z14" s="80"/>
    </row>
    <row r="15" spans="1:26" ht="14.25" customHeight="1">
      <c r="A15" s="8"/>
      <c r="B15" s="340" t="s">
        <v>252</v>
      </c>
      <c r="C15" s="341">
        <f>C14/((1+C13)^5)</f>
        <v>51661409.490755744</v>
      </c>
      <c r="D15" s="339"/>
      <c r="E15" s="342"/>
      <c r="F15" s="343"/>
      <c r="G15" s="427" t="s">
        <v>249</v>
      </c>
      <c r="H15" s="410"/>
      <c r="I15" s="410"/>
      <c r="J15" s="410"/>
      <c r="K15" s="411"/>
      <c r="L15" s="80"/>
      <c r="M15" s="80"/>
      <c r="N15" s="80"/>
      <c r="O15" s="80"/>
      <c r="P15" s="80"/>
      <c r="Q15" s="80"/>
      <c r="R15" s="80"/>
      <c r="S15" s="80"/>
      <c r="T15" s="80"/>
      <c r="U15" s="80"/>
      <c r="V15" s="80"/>
      <c r="W15" s="80"/>
      <c r="X15" s="80"/>
      <c r="Y15" s="80"/>
      <c r="Z15" s="80"/>
    </row>
    <row r="16" spans="1:26" ht="14.25" customHeight="1">
      <c r="A16" s="8"/>
      <c r="B16" s="344" t="s">
        <v>253</v>
      </c>
      <c r="C16" s="345">
        <f>C11+C15</f>
        <v>87466779.956852794</v>
      </c>
      <c r="D16" s="346"/>
      <c r="E16" s="334"/>
      <c r="F16" s="346">
        <f>C22</f>
        <v>3689.2776787622311</v>
      </c>
      <c r="G16" s="347">
        <f t="shared" ref="G16:H16" si="0">H16-0.5%</f>
        <v>9.9999999999999985E-3</v>
      </c>
      <c r="H16" s="347">
        <f t="shared" si="0"/>
        <v>1.4999999999999999E-2</v>
      </c>
      <c r="I16" s="347">
        <f>C12</f>
        <v>0.02</v>
      </c>
      <c r="J16" s="347">
        <f t="shared" ref="J16:K16" si="1">I16+0.5%</f>
        <v>2.5000000000000001E-2</v>
      </c>
      <c r="K16" s="347">
        <f t="shared" si="1"/>
        <v>3.0000000000000002E-2</v>
      </c>
      <c r="L16" s="80"/>
      <c r="M16" s="80"/>
      <c r="N16" s="80"/>
      <c r="O16" s="80"/>
      <c r="P16" s="80"/>
      <c r="Q16" s="80"/>
      <c r="R16" s="80"/>
      <c r="S16" s="80"/>
      <c r="T16" s="80"/>
      <c r="U16" s="80"/>
      <c r="V16" s="80"/>
      <c r="W16" s="80"/>
      <c r="X16" s="80"/>
      <c r="Y16" s="80"/>
      <c r="Z16" s="80"/>
    </row>
    <row r="17" spans="1:26" ht="14.25" customHeight="1">
      <c r="A17" s="8"/>
      <c r="B17" s="348" t="s">
        <v>254</v>
      </c>
      <c r="C17" s="338">
        <f>SOFP!H19</f>
        <v>13475936</v>
      </c>
      <c r="D17" s="80"/>
      <c r="E17" s="428" t="s">
        <v>243</v>
      </c>
      <c r="F17" s="347">
        <f t="shared" ref="F17:F18" si="2">F18-0.5%</f>
        <v>0.1476453564891359</v>
      </c>
      <c r="G17" s="349">
        <v>3503.0670143805251</v>
      </c>
      <c r="H17" s="349">
        <v>3417.7576169439985</v>
      </c>
      <c r="I17" s="349">
        <v>3417.7576169439985</v>
      </c>
      <c r="J17" s="349">
        <v>3503.0670143805251</v>
      </c>
      <c r="K17" s="349">
        <v>3692.2791130044202</v>
      </c>
      <c r="L17" s="80"/>
      <c r="M17" s="80"/>
      <c r="N17" s="80"/>
      <c r="O17" s="80"/>
      <c r="P17" s="80"/>
      <c r="Q17" s="80"/>
      <c r="R17" s="80"/>
      <c r="S17" s="80"/>
      <c r="T17" s="80"/>
      <c r="U17" s="80"/>
      <c r="V17" s="80"/>
      <c r="W17" s="80"/>
      <c r="X17" s="80"/>
      <c r="Y17" s="80"/>
      <c r="Z17" s="80"/>
    </row>
    <row r="18" spans="1:26" ht="14.25" customHeight="1">
      <c r="A18" s="8"/>
      <c r="B18" s="348" t="s">
        <v>255</v>
      </c>
      <c r="C18" s="338">
        <f>-WACC!C11</f>
        <v>-7076609</v>
      </c>
      <c r="D18" s="80"/>
      <c r="E18" s="429"/>
      <c r="F18" s="347">
        <f t="shared" si="2"/>
        <v>0.15264535648913591</v>
      </c>
      <c r="G18" s="349">
        <v>3504.5874320646058</v>
      </c>
      <c r="H18" s="350">
        <v>3419.2780346280806</v>
      </c>
      <c r="I18" s="350">
        <v>3419.2780346280806</v>
      </c>
      <c r="J18" s="350">
        <v>3504.5874320646058</v>
      </c>
      <c r="K18" s="349">
        <v>3693.7995306885027</v>
      </c>
      <c r="L18" s="80"/>
      <c r="M18" s="80"/>
      <c r="N18" s="80"/>
      <c r="O18" s="80"/>
      <c r="P18" s="80"/>
      <c r="Q18" s="80"/>
      <c r="R18" s="80"/>
      <c r="S18" s="80"/>
      <c r="T18" s="80"/>
      <c r="U18" s="80"/>
      <c r="V18" s="80"/>
      <c r="W18" s="80"/>
      <c r="X18" s="80"/>
      <c r="Y18" s="80"/>
      <c r="Z18" s="80"/>
    </row>
    <row r="19" spans="1:26" ht="14.25" customHeight="1">
      <c r="A19" s="8"/>
      <c r="B19" s="348" t="s">
        <v>256</v>
      </c>
      <c r="C19" s="338">
        <f>-SOFP!H31</f>
        <v>-16435215</v>
      </c>
      <c r="D19" s="80"/>
      <c r="E19" s="429"/>
      <c r="F19" s="347">
        <f>H5</f>
        <v>0.15764535648913591</v>
      </c>
      <c r="G19" s="349">
        <v>3504.5874320646058</v>
      </c>
      <c r="H19" s="350">
        <v>3419.2780346280806</v>
      </c>
      <c r="I19" s="351">
        <v>3419.2780346280806</v>
      </c>
      <c r="J19" s="350">
        <v>3504.5874320646058</v>
      </c>
      <c r="K19" s="349">
        <v>3693.7995306885027</v>
      </c>
      <c r="L19" s="80"/>
      <c r="M19" s="80"/>
      <c r="N19" s="80"/>
      <c r="O19" s="80"/>
      <c r="P19" s="80"/>
      <c r="Q19" s="80"/>
      <c r="R19" s="80"/>
      <c r="S19" s="80"/>
      <c r="T19" s="80"/>
      <c r="U19" s="80"/>
      <c r="V19" s="80"/>
      <c r="W19" s="80"/>
      <c r="X19" s="80"/>
      <c r="Y19" s="80"/>
      <c r="Z19" s="80"/>
    </row>
    <row r="20" spans="1:26" ht="14.25" customHeight="1">
      <c r="A20" s="8"/>
      <c r="B20" s="342" t="s">
        <v>257</v>
      </c>
      <c r="C20" s="335">
        <f>SUM(C16:C19)</f>
        <v>77430891.956852794</v>
      </c>
      <c r="D20" s="80"/>
      <c r="E20" s="429"/>
      <c r="F20" s="347">
        <f t="shared" ref="F20:F21" si="3">F19+0.5%</f>
        <v>0.16264535648913592</v>
      </c>
      <c r="G20" s="349">
        <v>3503.0670143805251</v>
      </c>
      <c r="H20" s="350">
        <v>3417.7576169439985</v>
      </c>
      <c r="I20" s="350">
        <v>3417.7576169439985</v>
      </c>
      <c r="J20" s="350">
        <v>3503.0670143805251</v>
      </c>
      <c r="K20" s="349">
        <v>3692.2791130044202</v>
      </c>
      <c r="L20" s="80"/>
      <c r="M20" s="80"/>
      <c r="N20" s="80"/>
      <c r="O20" s="80"/>
      <c r="P20" s="80"/>
      <c r="Q20" s="80"/>
      <c r="R20" s="80"/>
      <c r="S20" s="80"/>
      <c r="T20" s="80"/>
      <c r="U20" s="80"/>
      <c r="V20" s="80"/>
      <c r="W20" s="80"/>
      <c r="X20" s="80"/>
      <c r="Y20" s="80"/>
      <c r="Z20" s="80"/>
    </row>
    <row r="21" spans="1:26" ht="14.25" customHeight="1">
      <c r="A21" s="8"/>
      <c r="B21" s="342" t="s">
        <v>258</v>
      </c>
      <c r="C21" s="352">
        <v>20988.09</v>
      </c>
      <c r="D21" s="80"/>
      <c r="E21" s="430"/>
      <c r="F21" s="347">
        <f t="shared" si="3"/>
        <v>0.16764535648913592</v>
      </c>
      <c r="G21" s="349">
        <v>3500.0655801383346</v>
      </c>
      <c r="H21" s="349">
        <v>3414.7561827018089</v>
      </c>
      <c r="I21" s="349">
        <v>3414.7561827018089</v>
      </c>
      <c r="J21" s="349">
        <v>3500.0655801383346</v>
      </c>
      <c r="K21" s="349">
        <v>3689.2776787622311</v>
      </c>
      <c r="L21" s="80"/>
      <c r="M21" s="80"/>
      <c r="N21" s="80"/>
      <c r="O21" s="80"/>
      <c r="P21" s="80"/>
      <c r="Q21" s="80"/>
      <c r="R21" s="80"/>
      <c r="S21" s="80"/>
      <c r="T21" s="80"/>
      <c r="U21" s="80"/>
      <c r="V21" s="80"/>
      <c r="W21" s="80"/>
      <c r="X21" s="80"/>
      <c r="Y21" s="80"/>
      <c r="Z21" s="80"/>
    </row>
    <row r="22" spans="1:26" ht="14.25" customHeight="1">
      <c r="A22" s="8"/>
      <c r="B22" s="353" t="s">
        <v>259</v>
      </c>
      <c r="C22" s="354">
        <f>C20/C21</f>
        <v>3689.2776787622311</v>
      </c>
      <c r="D22" s="80"/>
      <c r="E22" s="80"/>
      <c r="F22" s="80"/>
      <c r="G22" s="80"/>
      <c r="H22" s="80"/>
      <c r="I22" s="80"/>
      <c r="J22" s="80"/>
      <c r="K22" s="80"/>
      <c r="L22" s="80"/>
      <c r="M22" s="80"/>
      <c r="N22" s="80"/>
      <c r="O22" s="80"/>
      <c r="P22" s="80"/>
      <c r="Q22" s="80"/>
      <c r="R22" s="80"/>
      <c r="S22" s="80"/>
      <c r="T22" s="80"/>
      <c r="U22" s="80"/>
      <c r="V22" s="80"/>
      <c r="W22" s="80"/>
      <c r="X22" s="80"/>
      <c r="Y22" s="80"/>
      <c r="Z22" s="80"/>
    </row>
    <row r="23" spans="1:26" ht="14.25" customHeight="1">
      <c r="A23" s="8"/>
      <c r="B23" s="79" t="s">
        <v>260</v>
      </c>
      <c r="C23" s="193">
        <v>2625.75</v>
      </c>
      <c r="D23" s="80"/>
      <c r="E23" s="80"/>
      <c r="F23" s="80"/>
      <c r="G23" s="80"/>
      <c r="H23" s="80"/>
      <c r="I23" s="80"/>
      <c r="J23" s="80"/>
      <c r="K23" s="80"/>
      <c r="L23" s="80"/>
      <c r="M23" s="80"/>
      <c r="N23" s="80"/>
      <c r="O23" s="80"/>
      <c r="P23" s="80"/>
      <c r="Q23" s="80"/>
      <c r="R23" s="80"/>
      <c r="S23" s="80"/>
      <c r="T23" s="80"/>
      <c r="U23" s="80"/>
      <c r="V23" s="80"/>
      <c r="W23" s="80"/>
      <c r="X23" s="80"/>
      <c r="Y23" s="80"/>
      <c r="Z23" s="80"/>
    </row>
    <row r="24" spans="1:26" ht="14.25" customHeight="1">
      <c r="A24" s="8"/>
      <c r="B24" s="355" t="s">
        <v>261</v>
      </c>
      <c r="C24" s="356">
        <f>C23-C22</f>
        <v>-1063.5276787622311</v>
      </c>
      <c r="D24" s="80"/>
      <c r="E24" s="80"/>
      <c r="F24" s="80"/>
      <c r="G24" s="80"/>
      <c r="H24" s="80"/>
      <c r="I24" s="80"/>
      <c r="J24" s="80"/>
      <c r="K24" s="80"/>
      <c r="L24" s="80"/>
      <c r="M24" s="80"/>
      <c r="N24" s="80"/>
      <c r="O24" s="80"/>
      <c r="P24" s="80"/>
      <c r="Q24" s="80"/>
      <c r="R24" s="80"/>
      <c r="S24" s="80"/>
      <c r="T24" s="80"/>
      <c r="U24" s="80"/>
      <c r="V24" s="80"/>
      <c r="W24" s="80"/>
      <c r="X24" s="80"/>
      <c r="Y24" s="80"/>
      <c r="Z24" s="80"/>
    </row>
    <row r="25" spans="1:26" ht="14.25" customHeight="1">
      <c r="A25" s="8"/>
      <c r="B25" s="357" t="s">
        <v>262</v>
      </c>
      <c r="C25" s="358">
        <f>C22/C23-1</f>
        <v>0.40503767638283583</v>
      </c>
      <c r="D25" s="80"/>
      <c r="E25" s="80"/>
      <c r="F25" s="80"/>
      <c r="G25" s="80"/>
      <c r="H25" s="80"/>
      <c r="I25" s="80"/>
      <c r="J25" s="80"/>
      <c r="K25" s="80"/>
      <c r="L25" s="80"/>
      <c r="M25" s="80"/>
      <c r="N25" s="80"/>
      <c r="O25" s="80"/>
      <c r="P25" s="80"/>
      <c r="Q25" s="80"/>
      <c r="R25" s="80"/>
      <c r="S25" s="80"/>
      <c r="T25" s="80"/>
      <c r="U25" s="80"/>
      <c r="V25" s="80"/>
      <c r="W25" s="80"/>
      <c r="X25" s="80"/>
      <c r="Y25" s="80"/>
      <c r="Z25" s="80"/>
    </row>
    <row r="26" spans="1:26" ht="14.25" customHeight="1">
      <c r="A26" s="8"/>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spans="1:26" ht="14.25" customHeight="1">
      <c r="A27" s="8"/>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spans="1:26" ht="14.25" customHeight="1">
      <c r="A28" s="359"/>
      <c r="B28" s="360"/>
      <c r="C28" s="361"/>
      <c r="D28" s="80"/>
      <c r="E28" s="80"/>
      <c r="F28" s="80"/>
      <c r="G28" s="80"/>
      <c r="H28" s="80"/>
      <c r="I28" s="80"/>
      <c r="J28" s="80"/>
      <c r="K28" s="80"/>
      <c r="L28" s="80"/>
      <c r="M28" s="80"/>
      <c r="N28" s="80"/>
      <c r="O28" s="80"/>
      <c r="P28" s="80"/>
      <c r="Q28" s="80"/>
      <c r="R28" s="80"/>
      <c r="S28" s="80"/>
      <c r="T28" s="80"/>
      <c r="U28" s="80"/>
      <c r="V28" s="80"/>
      <c r="W28" s="80"/>
      <c r="X28" s="80"/>
      <c r="Y28" s="80"/>
      <c r="Z28" s="80"/>
    </row>
    <row r="29" spans="1:26" ht="14.25" customHeight="1">
      <c r="A29" s="359"/>
      <c r="B29" s="359"/>
      <c r="C29" s="80"/>
      <c r="D29" s="80"/>
      <c r="E29" s="80"/>
      <c r="F29" s="80"/>
      <c r="G29" s="80"/>
      <c r="H29" s="80"/>
      <c r="I29" s="80"/>
      <c r="J29" s="80"/>
      <c r="K29" s="80"/>
      <c r="L29" s="80"/>
      <c r="M29" s="80"/>
      <c r="N29" s="80"/>
      <c r="O29" s="80"/>
      <c r="P29" s="80"/>
      <c r="Q29" s="80"/>
      <c r="R29" s="80"/>
      <c r="S29" s="80"/>
      <c r="T29" s="80"/>
      <c r="U29" s="80"/>
      <c r="V29" s="80"/>
      <c r="W29" s="80"/>
      <c r="X29" s="80"/>
      <c r="Y29" s="80"/>
      <c r="Z29" s="80"/>
    </row>
    <row r="30" spans="1:26" ht="14.25" customHeight="1">
      <c r="A30" s="8"/>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spans="1:26" ht="14.25" customHeight="1">
      <c r="A31" s="8"/>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spans="1:26" ht="14.25" customHeight="1">
      <c r="A32" s="8"/>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spans="1:26" ht="14.25" customHeight="1">
      <c r="A33" s="8"/>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spans="1:26" ht="14.25" customHeight="1">
      <c r="A34" s="8"/>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spans="1:26" ht="14.25" customHeight="1">
      <c r="A35" s="8"/>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4.25" customHeight="1">
      <c r="A36" s="8"/>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4.25" customHeight="1">
      <c r="A37" s="8"/>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spans="1:26" ht="14.25" customHeight="1">
      <c r="A38" s="85"/>
      <c r="B38" s="362"/>
      <c r="C38" s="80"/>
      <c r="D38" s="80"/>
      <c r="E38" s="80"/>
      <c r="F38" s="80"/>
      <c r="G38" s="80"/>
      <c r="H38" s="80"/>
      <c r="I38" s="80"/>
      <c r="J38" s="80"/>
      <c r="K38" s="80"/>
      <c r="L38" s="80"/>
      <c r="M38" s="80"/>
      <c r="N38" s="80"/>
      <c r="O38" s="80"/>
      <c r="P38" s="80"/>
      <c r="Q38" s="80"/>
      <c r="R38" s="80"/>
      <c r="S38" s="80"/>
      <c r="T38" s="80"/>
      <c r="U38" s="80"/>
      <c r="V38" s="80"/>
      <c r="W38" s="80"/>
      <c r="X38" s="80"/>
      <c r="Y38" s="80"/>
      <c r="Z38" s="80"/>
    </row>
    <row r="39" spans="1:26" ht="14.25" customHeight="1">
      <c r="A39" s="8"/>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spans="1:26" ht="14.25" customHeight="1">
      <c r="A40" s="8"/>
      <c r="B40" s="80"/>
      <c r="C40" s="363"/>
      <c r="D40" s="80"/>
      <c r="E40" s="80"/>
      <c r="F40" s="80"/>
      <c r="G40" s="80"/>
      <c r="H40" s="80"/>
      <c r="I40" s="80"/>
      <c r="J40" s="80"/>
      <c r="K40" s="80"/>
      <c r="L40" s="80"/>
      <c r="M40" s="80"/>
      <c r="N40" s="80"/>
      <c r="O40" s="80"/>
      <c r="P40" s="80"/>
      <c r="Q40" s="80"/>
      <c r="R40" s="80"/>
      <c r="S40" s="80"/>
      <c r="T40" s="80"/>
      <c r="U40" s="80"/>
      <c r="V40" s="80"/>
      <c r="W40" s="80"/>
      <c r="X40" s="80"/>
      <c r="Y40" s="80"/>
      <c r="Z40" s="80"/>
    </row>
    <row r="41" spans="1:26" ht="14.25" customHeight="1">
      <c r="A41" s="8"/>
      <c r="B41" s="8"/>
      <c r="C41" s="80"/>
      <c r="D41" s="80"/>
      <c r="E41" s="80"/>
      <c r="F41" s="80"/>
      <c r="G41" s="80"/>
      <c r="H41" s="80"/>
      <c r="I41" s="80"/>
      <c r="J41" s="80"/>
      <c r="K41" s="80"/>
      <c r="L41" s="80"/>
      <c r="M41" s="80"/>
      <c r="N41" s="80"/>
      <c r="O41" s="80"/>
      <c r="P41" s="80"/>
      <c r="Q41" s="80"/>
      <c r="R41" s="80"/>
      <c r="S41" s="80"/>
      <c r="T41" s="80"/>
      <c r="U41" s="80"/>
      <c r="V41" s="80"/>
      <c r="W41" s="80"/>
      <c r="X41" s="80"/>
      <c r="Y41" s="80"/>
      <c r="Z41" s="80"/>
    </row>
    <row r="42" spans="1:26" ht="14.25" customHeight="1">
      <c r="A42" s="8"/>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spans="1:26" ht="14.25" customHeight="1">
      <c r="A43" s="8"/>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spans="1:26" ht="14.25" customHeight="1">
      <c r="A44" s="8"/>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spans="1:26" ht="14.25" customHeight="1">
      <c r="A45" s="8"/>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spans="1:26" ht="14.25" customHeight="1">
      <c r="A46" s="8"/>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spans="1:26" ht="14.25" customHeight="1">
      <c r="A47" s="8"/>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spans="1:26" ht="14.25" customHeight="1">
      <c r="A48" s="8"/>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spans="1:26" ht="14.25" customHeight="1">
      <c r="A49" s="8"/>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spans="1:26" ht="14.25" customHeight="1">
      <c r="A50" s="8"/>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spans="1:26" ht="14.25" customHeight="1">
      <c r="A51" s="8"/>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ht="14.25" customHeight="1">
      <c r="A52" s="8"/>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ht="14.25" customHeight="1">
      <c r="A53" s="8"/>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spans="1:26" ht="14.25" customHeight="1">
      <c r="A54" s="8"/>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spans="1:26" ht="14.25" customHeight="1">
      <c r="A55" s="8"/>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spans="1:26" ht="14.25" customHeight="1">
      <c r="A56" s="8"/>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spans="1:26" ht="14.25" customHeight="1">
      <c r="A57" s="8"/>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spans="1:26" ht="14.25" customHeight="1">
      <c r="A58" s="8"/>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26" ht="14.25" customHeight="1">
      <c r="A59" s="8"/>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spans="1:26" ht="14.25" customHeight="1">
      <c r="A60" s="8"/>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spans="1:26" ht="14.25" customHeight="1">
      <c r="A61" s="8"/>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spans="1:26" ht="14.25" customHeight="1">
      <c r="A62" s="8"/>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spans="1:26" ht="14.25" customHeight="1">
      <c r="A63" s="8"/>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spans="1:26" ht="14.25" customHeight="1">
      <c r="A64" s="8"/>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spans="1:26" ht="14.25" customHeight="1">
      <c r="A65" s="8"/>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spans="1:26" ht="14.25" customHeight="1">
      <c r="A66" s="8"/>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spans="1:26" ht="14.25" customHeight="1">
      <c r="A67" s="8"/>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spans="1:26" ht="14.25" customHeight="1">
      <c r="A68" s="8"/>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spans="1:26" ht="14.25" customHeight="1">
      <c r="A69" s="8"/>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spans="1:26" ht="14.25" customHeight="1">
      <c r="A70" s="8"/>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spans="1:26" ht="14.25" customHeight="1">
      <c r="A71" s="8"/>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spans="1:26" ht="14.25" customHeight="1">
      <c r="A72" s="8"/>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spans="1:26" ht="14.25" customHeight="1">
      <c r="A73" s="8"/>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spans="1:26" ht="14.25" customHeight="1">
      <c r="A74" s="8"/>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spans="1:26" ht="14.25" customHeight="1">
      <c r="A75" s="8"/>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spans="1:26" ht="14.25" customHeight="1">
      <c r="A76" s="8"/>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spans="1:26" ht="14.25" customHeight="1">
      <c r="A77" s="8"/>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spans="1:26" ht="14.25" customHeight="1">
      <c r="A78" s="8"/>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spans="1:26" ht="14.25" customHeight="1">
      <c r="A79" s="8"/>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spans="1:26" ht="14.25" customHeight="1">
      <c r="A80" s="8"/>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spans="1:26" ht="14.25" customHeight="1">
      <c r="A81" s="8"/>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spans="1:26" ht="14.25" customHeight="1">
      <c r="A82" s="8"/>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spans="1:26" ht="14.25" customHeight="1">
      <c r="A83" s="8"/>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spans="1:26" ht="14.25" customHeight="1">
      <c r="A84" s="8"/>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spans="1:26" ht="14.25" customHeight="1">
      <c r="A85" s="8"/>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spans="1:26" ht="14.25" customHeight="1">
      <c r="A86" s="8"/>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spans="1:26" ht="14.25" customHeight="1">
      <c r="A87" s="8"/>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spans="1:26" ht="14.25" customHeight="1">
      <c r="A88" s="8"/>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spans="1:26" ht="14.25" customHeight="1">
      <c r="A89" s="8"/>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spans="1:26" ht="14.25" customHeight="1">
      <c r="A90" s="8"/>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spans="1:26" ht="14.25" customHeight="1">
      <c r="A91" s="8"/>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spans="1:26" ht="14.25" customHeight="1">
      <c r="A92" s="8"/>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spans="1:26" ht="14.25" customHeight="1">
      <c r="A93" s="8"/>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spans="1:26" ht="14.25" customHeight="1">
      <c r="A94" s="8"/>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spans="1:26" ht="14.25" customHeight="1">
      <c r="A95" s="8"/>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spans="1:26" ht="14.25" customHeight="1">
      <c r="A96" s="8"/>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spans="1:26" ht="14.25" customHeight="1">
      <c r="A97" s="8"/>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spans="1:26" ht="14.25" customHeight="1">
      <c r="A98" s="8"/>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spans="1:26" ht="14.25" customHeight="1">
      <c r="A99" s="8"/>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spans="1:26" ht="14.25" customHeight="1">
      <c r="A100" s="8"/>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spans="1:26" ht="14.25" customHeight="1">
      <c r="A101" s="8"/>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spans="1:26" ht="14.25" customHeight="1">
      <c r="A102" s="8"/>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spans="1:26" ht="14.25" customHeight="1">
      <c r="A103" s="8"/>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spans="1:26" ht="14.25" customHeight="1">
      <c r="A104" s="8"/>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spans="1:26" ht="14.25" customHeight="1">
      <c r="A105" s="8"/>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spans="1:26" ht="14.25" customHeight="1">
      <c r="A106" s="8"/>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spans="1:26" ht="14.25" customHeight="1">
      <c r="A107" s="8"/>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spans="1:26" ht="14.25" customHeight="1">
      <c r="A108" s="8"/>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spans="1:26" ht="14.25" customHeight="1">
      <c r="A109" s="8"/>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spans="1:26" ht="14.25" customHeight="1">
      <c r="A110" s="8"/>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spans="1:26" ht="14.25" customHeight="1">
      <c r="A111" s="8"/>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spans="1:26" ht="14.25" customHeight="1">
      <c r="A112" s="8"/>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spans="1:26" ht="14.25" customHeight="1">
      <c r="A113" s="8"/>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spans="1:26" ht="14.25" customHeight="1">
      <c r="A114" s="8"/>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spans="1:26" ht="14.25" customHeight="1">
      <c r="A115" s="8"/>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spans="1:26" ht="14.25" customHeight="1">
      <c r="A116" s="8"/>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spans="1:26" ht="14.25" customHeight="1">
      <c r="A117" s="8"/>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spans="1:26" ht="14.25" customHeight="1">
      <c r="A118" s="8"/>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spans="1:26" ht="14.25" customHeight="1">
      <c r="A119" s="8"/>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spans="1:26" ht="14.25" customHeight="1">
      <c r="A120" s="8"/>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spans="1:26" ht="14.25" customHeight="1">
      <c r="A121" s="8"/>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spans="1:26" ht="14.25" customHeight="1">
      <c r="A122" s="8"/>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spans="1:26" ht="14.25" customHeight="1">
      <c r="A123" s="8"/>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spans="1:26" ht="14.25" customHeight="1">
      <c r="A124" s="8"/>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spans="1:26" ht="14.25" customHeight="1">
      <c r="A125" s="8"/>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spans="1:26" ht="14.25" customHeight="1">
      <c r="A126" s="8"/>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spans="1:26" ht="14.25" customHeight="1">
      <c r="A127" s="8"/>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spans="1:26" ht="14.25" customHeight="1">
      <c r="A128" s="8"/>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spans="1:26" ht="14.25" customHeight="1">
      <c r="A129" s="8"/>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spans="1:26" ht="14.25" customHeight="1">
      <c r="A130" s="8"/>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spans="1:26" ht="14.25" customHeight="1">
      <c r="A131" s="8"/>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spans="1:26" ht="14.25" customHeight="1">
      <c r="A132" s="8"/>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spans="1:26" ht="14.25" customHeight="1">
      <c r="A133" s="8"/>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spans="1:26" ht="14.25" customHeight="1">
      <c r="A134" s="8"/>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spans="1:26" ht="14.25" customHeight="1">
      <c r="A135" s="8"/>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spans="1:26" ht="14.25" customHeight="1">
      <c r="A136" s="8"/>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spans="1:26" ht="14.25" customHeight="1">
      <c r="A137" s="8"/>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spans="1:26" ht="14.25" customHeight="1">
      <c r="A138" s="8"/>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spans="1:26" ht="14.25" customHeight="1">
      <c r="A139" s="8"/>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spans="1:26" ht="14.25" customHeight="1">
      <c r="A140" s="8"/>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spans="1:26" ht="14.25" customHeight="1">
      <c r="A141" s="8"/>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spans="1:26" ht="14.25" customHeight="1">
      <c r="A142" s="8"/>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spans="1:26" ht="14.25" customHeight="1">
      <c r="A143" s="8"/>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spans="1:26" ht="14.25" customHeight="1">
      <c r="A144" s="8"/>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spans="1:26" ht="14.25" customHeight="1">
      <c r="A145" s="8"/>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spans="1:26" ht="14.25" customHeight="1">
      <c r="A146" s="8"/>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spans="1:26" ht="14.25" customHeight="1">
      <c r="A147" s="8"/>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spans="1:26" ht="14.25" customHeight="1">
      <c r="A148" s="8"/>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spans="1:26" ht="14.25" customHeight="1">
      <c r="A149" s="8"/>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spans="1:26" ht="14.25" customHeight="1">
      <c r="A150" s="8"/>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spans="1:26" ht="14.25" customHeight="1">
      <c r="A151" s="8"/>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spans="1:26" ht="14.25" customHeight="1">
      <c r="A152" s="8"/>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spans="1:26" ht="14.25" customHeight="1">
      <c r="A153" s="8"/>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1:26" ht="14.25" customHeight="1">
      <c r="A154" s="8"/>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1:26" ht="14.25" customHeight="1">
      <c r="A155" s="8"/>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spans="1:26" ht="14.25" customHeight="1">
      <c r="A156" s="8"/>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spans="1:26" ht="14.25" customHeight="1">
      <c r="A157" s="8"/>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spans="1:26" ht="14.25" customHeight="1">
      <c r="A158" s="8"/>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spans="1:26" ht="14.25" customHeight="1">
      <c r="A159" s="8"/>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spans="1:26" ht="14.25" customHeight="1">
      <c r="A160" s="8"/>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spans="1:26" ht="14.25" customHeight="1">
      <c r="A161" s="8"/>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spans="1:26" ht="14.25" customHeight="1">
      <c r="A162" s="8"/>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spans="1:26" ht="14.25" customHeight="1">
      <c r="A163" s="8"/>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spans="1:26" ht="14.25" customHeight="1">
      <c r="A164" s="8"/>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spans="1:26" ht="14.25" customHeight="1">
      <c r="A165" s="8"/>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spans="1:26" ht="14.25" customHeight="1">
      <c r="A166" s="8"/>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spans="1:26" ht="14.25" customHeight="1">
      <c r="A167" s="8"/>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spans="1:26" ht="14.25" customHeight="1">
      <c r="A168" s="8"/>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spans="1:26" ht="14.25" customHeight="1">
      <c r="A169" s="8"/>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spans="1:26" ht="14.25" customHeight="1">
      <c r="A170" s="8"/>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spans="1:26" ht="14.25" customHeight="1">
      <c r="A171" s="8"/>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spans="1:26" ht="14.25" customHeight="1">
      <c r="A172" s="8"/>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spans="1:26" ht="14.25" customHeight="1">
      <c r="A173" s="8"/>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spans="1:26" ht="14.25" customHeight="1">
      <c r="A174" s="8"/>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spans="1:26" ht="14.25" customHeight="1">
      <c r="A175" s="8"/>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spans="1:26" ht="14.25" customHeight="1">
      <c r="A176" s="8"/>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spans="1:26" ht="14.25" customHeight="1">
      <c r="A177" s="8"/>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spans="1:26" ht="14.25" customHeight="1">
      <c r="A178" s="8"/>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spans="1:26" ht="14.25" customHeight="1">
      <c r="A179" s="8"/>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spans="1:26" ht="14.25" customHeight="1">
      <c r="A180" s="8"/>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spans="1:26" ht="14.25" customHeight="1">
      <c r="A181" s="8"/>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spans="1:26" ht="14.25" customHeight="1">
      <c r="A182" s="8"/>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spans="1:26" ht="14.25" customHeight="1">
      <c r="A183" s="8"/>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spans="1:26" ht="14.25" customHeight="1">
      <c r="A184" s="8"/>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spans="1:26" ht="14.25" customHeight="1">
      <c r="A185" s="8"/>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spans="1:26" ht="14.25" customHeight="1">
      <c r="A186" s="8"/>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spans="1:26" ht="14.25" customHeight="1">
      <c r="A187" s="8"/>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spans="1:26" ht="14.25" customHeight="1">
      <c r="A188" s="8"/>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spans="1:26" ht="14.25" customHeight="1">
      <c r="A189" s="8"/>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spans="1:26" ht="14.25" customHeight="1">
      <c r="A190" s="8"/>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spans="1:26" ht="14.25" customHeight="1">
      <c r="A191" s="8"/>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spans="1:26" ht="14.25" customHeight="1">
      <c r="A192" s="8"/>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spans="1:26" ht="14.25" customHeight="1">
      <c r="A193" s="8"/>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spans="1:26" ht="14.25" customHeight="1">
      <c r="A194" s="8"/>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spans="1:26" ht="14.25" customHeight="1">
      <c r="A195" s="8"/>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spans="1:26" ht="14.25" customHeight="1">
      <c r="A196" s="8"/>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spans="1:26" ht="14.25" customHeight="1">
      <c r="A197" s="8"/>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spans="1:26" ht="14.25" customHeight="1">
      <c r="A198" s="8"/>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spans="1:26" ht="14.25" customHeight="1">
      <c r="A199" s="8"/>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spans="1:26" ht="14.25" customHeight="1">
      <c r="A200" s="8"/>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spans="1:26" ht="14.25" customHeight="1">
      <c r="A201" s="8"/>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spans="1:26" ht="14.25" customHeight="1">
      <c r="A202" s="8"/>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spans="1:26" ht="14.25" customHeight="1">
      <c r="A203" s="8"/>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spans="1:26" ht="14.25" customHeight="1">
      <c r="A204" s="8"/>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spans="1:26" ht="14.25" customHeight="1">
      <c r="A205" s="8"/>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spans="1:26" ht="14.25" customHeight="1">
      <c r="A206" s="8"/>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spans="1:26" ht="14.25" customHeight="1">
      <c r="A207" s="8"/>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spans="1:26" ht="14.25" customHeight="1">
      <c r="A208" s="8"/>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spans="1:26" ht="14.25" customHeight="1">
      <c r="A209" s="8"/>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spans="1:26" ht="14.25" customHeight="1">
      <c r="A210" s="8"/>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spans="1:26" ht="14.25" customHeight="1">
      <c r="A211" s="8"/>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spans="1:26" ht="14.25" customHeight="1">
      <c r="A212" s="8"/>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spans="1:26" ht="14.25" customHeight="1">
      <c r="A213" s="8"/>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spans="1:26" ht="14.25" customHeight="1">
      <c r="A214" s="8"/>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spans="1:26" ht="14.25" customHeight="1">
      <c r="A215" s="8"/>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spans="1:26" ht="14.25" customHeight="1">
      <c r="A216" s="8"/>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spans="1:26" ht="14.25" customHeight="1">
      <c r="A217" s="8"/>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spans="1:26" ht="14.25" customHeight="1">
      <c r="A218" s="8"/>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spans="1:26" ht="14.25" customHeight="1">
      <c r="A219" s="8"/>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spans="1:26" ht="14.25" customHeight="1">
      <c r="A220" s="8"/>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spans="1:26" ht="14.25" customHeight="1">
      <c r="A221" s="8"/>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spans="1:26" ht="14.25" customHeight="1">
      <c r="A222" s="8"/>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spans="1:26" ht="14.25" customHeight="1">
      <c r="A223" s="8"/>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spans="1:26" ht="14.25" customHeight="1">
      <c r="A224" s="8"/>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spans="1:26" ht="14.25" customHeight="1">
      <c r="A225" s="8"/>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spans="1:26" ht="14.25" customHeight="1">
      <c r="A226" s="8"/>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spans="1:26" ht="14.25" customHeight="1">
      <c r="A227" s="8"/>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spans="1:26" ht="14.25" customHeight="1">
      <c r="A228" s="8"/>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spans="1:26" ht="14.25" customHeight="1">
      <c r="A229" s="8"/>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spans="1:26" ht="14.25" customHeight="1">
      <c r="A230" s="8"/>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spans="1:26" ht="14.25" customHeight="1">
      <c r="A231" s="8"/>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spans="1:26" ht="14.25" customHeight="1">
      <c r="A232" s="8"/>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spans="1:26" ht="14.25" customHeight="1">
      <c r="A233" s="8"/>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spans="1:26" ht="14.25" customHeight="1">
      <c r="A234" s="8"/>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spans="1:26" ht="14.25" customHeight="1">
      <c r="A235" s="8"/>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spans="1:26" ht="14.25" customHeight="1">
      <c r="A236" s="8"/>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spans="1:26" ht="14.25" customHeight="1">
      <c r="A237" s="8"/>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spans="1:26" ht="14.25" customHeight="1">
      <c r="A238" s="8"/>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spans="1:26" ht="14.25" customHeight="1">
      <c r="A239" s="8"/>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spans="1:26" ht="14.25" customHeight="1">
      <c r="A240" s="8"/>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spans="1:26" ht="14.25" customHeight="1">
      <c r="A241" s="8"/>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spans="1:26" ht="14.25" customHeight="1">
      <c r="A242" s="8"/>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spans="1:26" ht="14.25" customHeight="1">
      <c r="A243" s="8"/>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spans="1:26" ht="14.25" customHeight="1">
      <c r="A244" s="8"/>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spans="1:26" ht="14.25" customHeight="1">
      <c r="A245" s="8"/>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spans="1:26" ht="14.25" customHeight="1">
      <c r="A246" s="8"/>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spans="1:26" ht="14.25" customHeight="1">
      <c r="A247" s="8"/>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spans="1:26" ht="14.25" customHeight="1">
      <c r="A248" s="8"/>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spans="1:26" ht="14.25" customHeight="1">
      <c r="A249" s="8"/>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spans="1:26" ht="14.25" customHeight="1">
      <c r="A250" s="8"/>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spans="1:26" ht="14.25" customHeight="1">
      <c r="A251" s="8"/>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spans="1:26" ht="14.25" customHeight="1">
      <c r="A252" s="8"/>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spans="1:26" ht="14.25" customHeight="1">
      <c r="A253" s="8"/>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spans="1:26" ht="14.25" customHeight="1">
      <c r="A254" s="8"/>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spans="1:26" ht="14.25" customHeight="1">
      <c r="A255" s="8"/>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spans="1:26" ht="14.25" customHeight="1">
      <c r="A256" s="8"/>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spans="1:26" ht="14.25" customHeight="1">
      <c r="A257" s="8"/>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spans="1:26" ht="14.25" customHeight="1">
      <c r="A258" s="8"/>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spans="1:26" ht="14.25" customHeight="1">
      <c r="A259" s="8"/>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spans="1:26" ht="14.25" customHeight="1">
      <c r="A260" s="8"/>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spans="1:26" ht="14.25" customHeight="1">
      <c r="A261" s="8"/>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spans="1:26" ht="14.25" customHeight="1">
      <c r="A262" s="8"/>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spans="1:26" ht="14.25" customHeight="1">
      <c r="A263" s="8"/>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spans="1:26" ht="14.25" customHeight="1">
      <c r="A264" s="8"/>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spans="1:26" ht="14.25" customHeight="1">
      <c r="A265" s="8"/>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spans="1:26" ht="14.25" customHeight="1">
      <c r="A266" s="8"/>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spans="1:26" ht="14.25" customHeight="1">
      <c r="A267" s="8"/>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spans="1:26" ht="14.25" customHeight="1">
      <c r="A268" s="8"/>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spans="1:26" ht="14.25" customHeight="1">
      <c r="A269" s="8"/>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spans="1:26" ht="14.25" customHeight="1">
      <c r="A270" s="8"/>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spans="1:26" ht="14.25" customHeight="1">
      <c r="A271" s="8"/>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spans="1:26" ht="14.25" customHeight="1">
      <c r="A272" s="8"/>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spans="1:26" ht="14.25" customHeight="1">
      <c r="A273" s="8"/>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spans="1:26" ht="14.25" customHeight="1">
      <c r="A274" s="8"/>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spans="1:26" ht="14.25" customHeight="1">
      <c r="A275" s="8"/>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spans="1:26" ht="14.25" customHeight="1">
      <c r="A276" s="8"/>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spans="1:26" ht="14.25" customHeight="1">
      <c r="A277" s="8"/>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spans="1:26" ht="14.25" customHeight="1">
      <c r="A278" s="8"/>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spans="1:26" ht="14.25" customHeight="1">
      <c r="A279" s="8"/>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spans="1:26" ht="14.25" customHeight="1">
      <c r="A280" s="8"/>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spans="1:26" ht="14.25" customHeight="1">
      <c r="A281" s="8"/>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spans="1:26" ht="14.25" customHeight="1">
      <c r="A282" s="8"/>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spans="1:26" ht="14.25" customHeight="1">
      <c r="A283" s="8"/>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spans="1:26" ht="14.25" customHeight="1">
      <c r="A284" s="8"/>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spans="1:26" ht="14.25" customHeight="1">
      <c r="A285" s="8"/>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spans="1:26" ht="14.25" customHeight="1">
      <c r="A286" s="8"/>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spans="1:26" ht="14.25" customHeight="1">
      <c r="A287" s="8"/>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spans="1:26" ht="14.25" customHeight="1">
      <c r="A288" s="8"/>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spans="1:26" ht="14.25" customHeight="1">
      <c r="A289" s="8"/>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spans="1:26" ht="14.25" customHeight="1">
      <c r="A290" s="8"/>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spans="1:26" ht="14.25" customHeight="1">
      <c r="A291" s="8"/>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spans="1:26" ht="14.25" customHeight="1">
      <c r="A292" s="8"/>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spans="1:26" ht="14.25" customHeight="1">
      <c r="A293" s="8"/>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spans="1:26" ht="14.25" customHeight="1">
      <c r="A294" s="8"/>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spans="1:26" ht="14.25" customHeight="1">
      <c r="A295" s="8"/>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spans="1:26" ht="14.25" customHeight="1">
      <c r="A296" s="8"/>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spans="1:26" ht="14.25" customHeight="1">
      <c r="A297" s="8"/>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spans="1:26" ht="14.25" customHeight="1">
      <c r="A298" s="8"/>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spans="1:26" ht="14.25" customHeight="1">
      <c r="A299" s="8"/>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spans="1:26" ht="14.25" customHeight="1">
      <c r="A300" s="8"/>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spans="1:26" ht="14.25" customHeight="1">
      <c r="A301" s="8"/>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spans="1:26" ht="14.25" customHeight="1">
      <c r="A302" s="8"/>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spans="1:26" ht="14.25" customHeight="1">
      <c r="A303" s="8"/>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spans="1:26" ht="14.25" customHeight="1">
      <c r="A304" s="8"/>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spans="1:26" ht="14.25" customHeight="1">
      <c r="A305" s="8"/>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spans="1:26" ht="14.25" customHeight="1">
      <c r="A306" s="8"/>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spans="1:26" ht="14.25" customHeight="1">
      <c r="A307" s="8"/>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spans="1:26" ht="14.25" customHeight="1">
      <c r="A308" s="8"/>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spans="1:26" ht="14.25" customHeight="1">
      <c r="A309" s="8"/>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spans="1:26" ht="14.25" customHeight="1">
      <c r="A310" s="8"/>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spans="1:26" ht="14.25" customHeight="1">
      <c r="A311" s="8"/>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spans="1:26" ht="14.25" customHeight="1">
      <c r="A312" s="8"/>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spans="1:26" ht="14.25" customHeight="1">
      <c r="A313" s="8"/>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spans="1:26" ht="14.25" customHeight="1">
      <c r="A314" s="8"/>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spans="1:26" ht="14.25" customHeight="1">
      <c r="A315" s="8"/>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spans="1:26" ht="14.25" customHeight="1">
      <c r="A316" s="8"/>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spans="1:26" ht="14.25" customHeight="1">
      <c r="A317" s="8"/>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spans="1:26" ht="14.25" customHeight="1">
      <c r="A318" s="8"/>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spans="1:26" ht="14.25" customHeight="1">
      <c r="A319" s="8"/>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spans="1:26" ht="14.25" customHeight="1">
      <c r="A320" s="8"/>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spans="1:26" ht="14.25" customHeight="1">
      <c r="A321" s="8"/>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spans="1:26" ht="14.25" customHeight="1">
      <c r="A322" s="8"/>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spans="1:26" ht="14.25" customHeight="1">
      <c r="A323" s="8"/>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spans="1:26" ht="14.25" customHeight="1">
      <c r="A324" s="8"/>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spans="1:26" ht="14.25" customHeight="1">
      <c r="A325" s="8"/>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spans="1:26" ht="14.25" customHeight="1">
      <c r="A326" s="8"/>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spans="1:26" ht="14.25" customHeight="1">
      <c r="A327" s="8"/>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spans="1:26" ht="14.25" customHeight="1">
      <c r="A328" s="8"/>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spans="1:26" ht="14.25" customHeight="1">
      <c r="A329" s="8"/>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spans="1:26" ht="14.25" customHeight="1">
      <c r="A330" s="8"/>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spans="1:26" ht="14.25" customHeight="1">
      <c r="A331" s="8"/>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spans="1:26" ht="14.25" customHeight="1">
      <c r="A332" s="8"/>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spans="1:26" ht="14.25" customHeight="1">
      <c r="A333" s="8"/>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spans="1:26" ht="14.25" customHeight="1">
      <c r="A334" s="8"/>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spans="1:26" ht="14.25" customHeight="1">
      <c r="A335" s="8"/>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spans="1:26" ht="14.25" customHeight="1">
      <c r="A336" s="8"/>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spans="1:26" ht="14.25" customHeight="1">
      <c r="A337" s="8"/>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spans="1:26" ht="14.25" customHeight="1">
      <c r="A338" s="8"/>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spans="1:26" ht="14.25" customHeight="1">
      <c r="A339" s="8"/>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spans="1:26" ht="14.25" customHeight="1">
      <c r="A340" s="8"/>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spans="1:26" ht="14.25" customHeight="1">
      <c r="A341" s="8"/>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spans="1:26" ht="14.25" customHeight="1">
      <c r="A342" s="8"/>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spans="1:26" ht="14.25" customHeight="1">
      <c r="A343" s="8"/>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spans="1:26" ht="14.25" customHeight="1">
      <c r="A344" s="8"/>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spans="1:26" ht="14.25" customHeight="1">
      <c r="A345" s="8"/>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spans="1:26" ht="14.25" customHeight="1">
      <c r="A346" s="8"/>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spans="1:26" ht="14.25" customHeight="1">
      <c r="A347" s="8"/>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spans="1:26" ht="14.25" customHeight="1">
      <c r="A348" s="8"/>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spans="1:26" ht="14.25" customHeight="1">
      <c r="A349" s="8"/>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spans="1:26" ht="14.25" customHeight="1">
      <c r="A350" s="8"/>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spans="1:26" ht="14.25" customHeight="1">
      <c r="A351" s="8"/>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spans="1:26" ht="14.25" customHeight="1">
      <c r="A352" s="8"/>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spans="1:26" ht="14.25" customHeight="1">
      <c r="A353" s="8"/>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spans="1:26" ht="14.25" customHeight="1">
      <c r="A354" s="8"/>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spans="1:26" ht="14.25" customHeight="1">
      <c r="A355" s="8"/>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spans="1:26" ht="14.25" customHeight="1">
      <c r="A356" s="8"/>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spans="1:26" ht="14.25" customHeight="1">
      <c r="A357" s="8"/>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spans="1:26" ht="14.25" customHeight="1">
      <c r="A358" s="8"/>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spans="1:26" ht="14.25" customHeight="1">
      <c r="A359" s="8"/>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spans="1:26" ht="14.25" customHeight="1">
      <c r="A360" s="8"/>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spans="1:26" ht="14.25" customHeight="1">
      <c r="A361" s="8"/>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spans="1:26" ht="14.25" customHeight="1">
      <c r="A362" s="8"/>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spans="1:26" ht="14.25" customHeight="1">
      <c r="A363" s="8"/>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spans="1:26" ht="14.25" customHeight="1">
      <c r="A364" s="8"/>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spans="1:26" ht="14.25" customHeight="1">
      <c r="A365" s="8"/>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spans="1:26" ht="14.25" customHeight="1">
      <c r="A366" s="8"/>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spans="1:26" ht="14.25" customHeight="1">
      <c r="A367" s="8"/>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spans="1:26" ht="14.25" customHeight="1">
      <c r="A368" s="8"/>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spans="1:26" ht="14.25" customHeight="1">
      <c r="A369" s="8"/>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spans="1:26" ht="14.25" customHeight="1">
      <c r="A370" s="8"/>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spans="1:26" ht="14.25" customHeight="1">
      <c r="A371" s="8"/>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spans="1:26" ht="14.25" customHeight="1">
      <c r="A372" s="8"/>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spans="1:26" ht="14.25" customHeight="1">
      <c r="A373" s="8"/>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spans="1:26" ht="14.25" customHeight="1">
      <c r="A374" s="8"/>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spans="1:26" ht="14.25" customHeight="1">
      <c r="A375" s="8"/>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spans="1:26" ht="14.25" customHeight="1">
      <c r="A376" s="8"/>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spans="1:26" ht="14.25" customHeight="1">
      <c r="A377" s="8"/>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spans="1:26" ht="14.25" customHeight="1">
      <c r="A378" s="8"/>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spans="1:26" ht="14.25" customHeight="1">
      <c r="A379" s="8"/>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spans="1:26" ht="14.25" customHeight="1">
      <c r="A380" s="8"/>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spans="1:26" ht="14.25" customHeight="1">
      <c r="A381" s="8"/>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spans="1:26" ht="14.25" customHeight="1">
      <c r="A382" s="8"/>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spans="1:26" ht="14.25" customHeight="1">
      <c r="A383" s="8"/>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spans="1:26" ht="14.25" customHeight="1">
      <c r="A384" s="8"/>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spans="1:26" ht="14.25" customHeight="1">
      <c r="A385" s="8"/>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spans="1:26" ht="14.25" customHeight="1">
      <c r="A386" s="8"/>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spans="1:26" ht="14.25" customHeight="1">
      <c r="A387" s="8"/>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spans="1:26" ht="14.25" customHeight="1">
      <c r="A388" s="8"/>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spans="1:26" ht="14.25" customHeight="1">
      <c r="A389" s="8"/>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spans="1:26" ht="14.25" customHeight="1">
      <c r="A390" s="8"/>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spans="1:26" ht="14.25" customHeight="1">
      <c r="A391" s="8"/>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spans="1:26" ht="14.25" customHeight="1">
      <c r="A392" s="8"/>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spans="1:26" ht="14.25" customHeight="1">
      <c r="A393" s="8"/>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spans="1:26" ht="14.25" customHeight="1">
      <c r="A394" s="8"/>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spans="1:26" ht="14.25" customHeight="1">
      <c r="A395" s="8"/>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spans="1:26" ht="14.25" customHeight="1">
      <c r="A396" s="8"/>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spans="1:26" ht="14.25" customHeight="1">
      <c r="A397" s="8"/>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spans="1:26" ht="14.25" customHeight="1">
      <c r="A398" s="8"/>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spans="1:26" ht="14.25" customHeight="1">
      <c r="A399" s="8"/>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spans="1:26" ht="14.25" customHeight="1">
      <c r="A400" s="8"/>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spans="1:26" ht="14.25" customHeight="1">
      <c r="A401" s="8"/>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spans="1:26" ht="14.25" customHeight="1">
      <c r="A402" s="8"/>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spans="1:26" ht="14.25" customHeight="1">
      <c r="A403" s="8"/>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spans="1:26" ht="14.25" customHeight="1">
      <c r="A404" s="8"/>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spans="1:26" ht="14.25" customHeight="1">
      <c r="A405" s="8"/>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spans="1:26" ht="14.25" customHeight="1">
      <c r="A406" s="8"/>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spans="1:26" ht="14.25" customHeight="1">
      <c r="A407" s="8"/>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spans="1:26" ht="14.25" customHeight="1">
      <c r="A408" s="8"/>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spans="1:26" ht="14.25" customHeight="1">
      <c r="A409" s="8"/>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spans="1:26" ht="14.25" customHeight="1">
      <c r="A410" s="8"/>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spans="1:26" ht="14.25" customHeight="1">
      <c r="A411" s="8"/>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spans="1:26" ht="14.25" customHeight="1">
      <c r="A412" s="8"/>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spans="1:26" ht="14.25" customHeight="1">
      <c r="A413" s="8"/>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spans="1:26" ht="14.25" customHeight="1">
      <c r="A414" s="8"/>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spans="1:26" ht="14.25" customHeight="1">
      <c r="A415" s="8"/>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spans="1:26" ht="14.25" customHeight="1">
      <c r="A416" s="8"/>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spans="1:26" ht="14.25" customHeight="1">
      <c r="A417" s="8"/>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spans="1:26" ht="14.25" customHeight="1">
      <c r="A418" s="8"/>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spans="1:26" ht="14.25" customHeight="1">
      <c r="A419" s="8"/>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spans="1:26" ht="14.25" customHeight="1">
      <c r="A420" s="8"/>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spans="1:26" ht="14.25" customHeight="1">
      <c r="A421" s="8"/>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spans="1:26" ht="14.25" customHeight="1">
      <c r="A422" s="8"/>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spans="1:26" ht="14.25" customHeight="1">
      <c r="A423" s="8"/>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spans="1:26" ht="14.25" customHeight="1">
      <c r="A424" s="8"/>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spans="1:26" ht="14.25" customHeight="1">
      <c r="A425" s="8"/>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spans="1:26" ht="14.25" customHeight="1">
      <c r="A426" s="8"/>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spans="1:26" ht="14.25" customHeight="1">
      <c r="A427" s="8"/>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spans="1:26" ht="14.25" customHeight="1">
      <c r="A428" s="8"/>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spans="1:26" ht="14.25" customHeight="1">
      <c r="A429" s="8"/>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spans="1:26" ht="14.25" customHeight="1">
      <c r="A430" s="8"/>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spans="1:26" ht="14.25" customHeight="1">
      <c r="A431" s="8"/>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spans="1:26" ht="14.25" customHeight="1">
      <c r="A432" s="8"/>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spans="1:26" ht="14.25" customHeight="1">
      <c r="A433" s="8"/>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spans="1:26" ht="14.25" customHeight="1">
      <c r="A434" s="8"/>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spans="1:26" ht="14.25" customHeight="1">
      <c r="A435" s="8"/>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spans="1:26" ht="14.25" customHeight="1">
      <c r="A436" s="8"/>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spans="1:26" ht="14.25" customHeight="1">
      <c r="A437" s="8"/>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spans="1:26" ht="14.25" customHeight="1">
      <c r="A438" s="8"/>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spans="1:26" ht="14.25" customHeight="1">
      <c r="A439" s="8"/>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spans="1:26" ht="14.25" customHeight="1">
      <c r="A440" s="8"/>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spans="1:26" ht="14.25" customHeight="1">
      <c r="A441" s="8"/>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spans="1:26" ht="14.25" customHeight="1">
      <c r="A442" s="8"/>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spans="1:26" ht="14.25" customHeight="1">
      <c r="A443" s="8"/>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spans="1:26" ht="14.25" customHeight="1">
      <c r="A444" s="8"/>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spans="1:26" ht="14.25" customHeight="1">
      <c r="A445" s="8"/>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spans="1:26" ht="14.25" customHeight="1">
      <c r="A446" s="8"/>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spans="1:26" ht="14.25" customHeight="1">
      <c r="A447" s="8"/>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spans="1:26" ht="14.25" customHeight="1">
      <c r="A448" s="8"/>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spans="1:26" ht="14.25" customHeight="1">
      <c r="A449" s="8"/>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spans="1:26" ht="14.25" customHeight="1">
      <c r="A450" s="8"/>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spans="1:26" ht="14.25" customHeight="1">
      <c r="A451" s="8"/>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spans="1:26" ht="14.25" customHeight="1">
      <c r="A452" s="8"/>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spans="1:26" ht="14.25" customHeight="1">
      <c r="A453" s="8"/>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spans="1:26" ht="14.25" customHeight="1">
      <c r="A454" s="8"/>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spans="1:26" ht="14.25" customHeight="1">
      <c r="A455" s="8"/>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spans="1:26" ht="14.25" customHeight="1">
      <c r="A456" s="8"/>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spans="1:26" ht="14.25" customHeight="1">
      <c r="A457" s="8"/>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spans="1:26" ht="14.25" customHeight="1">
      <c r="A458" s="8"/>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spans="1:26" ht="14.25" customHeight="1">
      <c r="A459" s="8"/>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spans="1:26" ht="14.25" customHeight="1">
      <c r="A460" s="8"/>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spans="1:26" ht="14.25" customHeight="1">
      <c r="A461" s="8"/>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spans="1:26" ht="14.25" customHeight="1">
      <c r="A462" s="8"/>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spans="1:26" ht="14.25" customHeight="1">
      <c r="A463" s="8"/>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spans="1:26" ht="14.25" customHeight="1">
      <c r="A464" s="8"/>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spans="1:26" ht="14.25" customHeight="1">
      <c r="A465" s="8"/>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spans="1:26" ht="14.25" customHeight="1">
      <c r="A466" s="8"/>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spans="1:26" ht="14.25" customHeight="1">
      <c r="A467" s="8"/>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spans="1:26" ht="14.25" customHeight="1">
      <c r="A468" s="8"/>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spans="1:26" ht="14.25" customHeight="1">
      <c r="A469" s="8"/>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spans="1:26" ht="14.25" customHeight="1">
      <c r="A470" s="8"/>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spans="1:26" ht="14.25" customHeight="1">
      <c r="A471" s="8"/>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spans="1:26" ht="14.25" customHeight="1">
      <c r="A472" s="8"/>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spans="1:26" ht="14.25" customHeight="1">
      <c r="A473" s="8"/>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spans="1:26" ht="14.25" customHeight="1">
      <c r="A474" s="8"/>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spans="1:26" ht="14.25" customHeight="1">
      <c r="A475" s="8"/>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spans="1:26" ht="14.25" customHeight="1">
      <c r="A476" s="8"/>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spans="1:26" ht="14.25" customHeight="1">
      <c r="A477" s="8"/>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spans="1:26" ht="14.25" customHeight="1">
      <c r="A478" s="8"/>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spans="1:26" ht="14.25" customHeight="1">
      <c r="A479" s="8"/>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spans="1:26" ht="14.25" customHeight="1">
      <c r="A480" s="8"/>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spans="1:26" ht="14.25" customHeight="1">
      <c r="A481" s="8"/>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spans="1:26" ht="14.25" customHeight="1">
      <c r="A482" s="8"/>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spans="1:26" ht="14.25" customHeight="1">
      <c r="A483" s="8"/>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spans="1:26" ht="14.25" customHeight="1">
      <c r="A484" s="8"/>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spans="1:26" ht="14.25" customHeight="1">
      <c r="A485" s="8"/>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spans="1:26" ht="14.25" customHeight="1">
      <c r="A486" s="8"/>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spans="1:26" ht="14.25" customHeight="1">
      <c r="A487" s="8"/>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spans="1:26" ht="14.25" customHeight="1">
      <c r="A488" s="8"/>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spans="1:26" ht="14.25" customHeight="1">
      <c r="A489" s="8"/>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spans="1:26" ht="14.25" customHeight="1">
      <c r="A490" s="8"/>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spans="1:26" ht="14.25" customHeight="1">
      <c r="A491" s="8"/>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spans="1:26" ht="14.25" customHeight="1">
      <c r="A492" s="8"/>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spans="1:26" ht="14.25" customHeight="1">
      <c r="A493" s="8"/>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spans="1:26" ht="14.25" customHeight="1">
      <c r="A494" s="8"/>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spans="1:26" ht="14.25" customHeight="1">
      <c r="A495" s="8"/>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spans="1:26" ht="14.25" customHeight="1">
      <c r="A496" s="8"/>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spans="1:26" ht="14.25" customHeight="1">
      <c r="A497" s="8"/>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spans="1:26" ht="14.25" customHeight="1">
      <c r="A498" s="8"/>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spans="1:26" ht="14.25" customHeight="1">
      <c r="A499" s="8"/>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spans="1:26" ht="14.25" customHeight="1">
      <c r="A500" s="8"/>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spans="1:26" ht="14.25" customHeight="1">
      <c r="A501" s="8"/>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spans="1:26" ht="14.25" customHeight="1">
      <c r="A502" s="8"/>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spans="1:26" ht="14.25" customHeight="1">
      <c r="A503" s="8"/>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spans="1:26" ht="14.25" customHeight="1">
      <c r="A504" s="8"/>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spans="1:26" ht="14.25" customHeight="1">
      <c r="A505" s="8"/>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spans="1:26" ht="14.25" customHeight="1">
      <c r="A506" s="8"/>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spans="1:26" ht="14.25" customHeight="1">
      <c r="A507" s="8"/>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spans="1:26" ht="14.25" customHeight="1">
      <c r="A508" s="8"/>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spans="1:26" ht="14.25" customHeight="1">
      <c r="A509" s="8"/>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spans="1:26" ht="14.25" customHeight="1">
      <c r="A510" s="8"/>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spans="1:26" ht="14.25" customHeight="1">
      <c r="A511" s="8"/>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spans="1:26" ht="14.25" customHeight="1">
      <c r="A512" s="8"/>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spans="1:26" ht="14.25" customHeight="1">
      <c r="A513" s="8"/>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spans="1:26" ht="14.25" customHeight="1">
      <c r="A514" s="8"/>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spans="1:26" ht="14.25" customHeight="1">
      <c r="A515" s="8"/>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spans="1:26" ht="14.25" customHeight="1">
      <c r="A516" s="8"/>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spans="1:26" ht="14.25" customHeight="1">
      <c r="A517" s="8"/>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spans="1:26" ht="14.25" customHeight="1">
      <c r="A518" s="8"/>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spans="1:26" ht="14.25" customHeight="1">
      <c r="A519" s="8"/>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spans="1:26" ht="14.25" customHeight="1">
      <c r="A520" s="8"/>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spans="1:26" ht="14.25" customHeight="1">
      <c r="A521" s="8"/>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spans="1:26" ht="14.25" customHeight="1">
      <c r="A522" s="8"/>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spans="1:26" ht="14.25" customHeight="1">
      <c r="A523" s="8"/>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spans="1:26" ht="14.25" customHeight="1">
      <c r="A524" s="8"/>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spans="1:26" ht="14.25" customHeight="1">
      <c r="A525" s="8"/>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spans="1:26" ht="14.25" customHeight="1">
      <c r="A526" s="8"/>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spans="1:26" ht="14.25" customHeight="1">
      <c r="A527" s="8"/>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spans="1:26" ht="14.25" customHeight="1">
      <c r="A528" s="8"/>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spans="1:26" ht="14.25" customHeight="1">
      <c r="A529" s="8"/>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spans="1:26" ht="14.25" customHeight="1">
      <c r="A530" s="8"/>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spans="1:26" ht="14.25" customHeight="1">
      <c r="A531" s="8"/>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spans="1:26" ht="14.25" customHeight="1">
      <c r="A532" s="8"/>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spans="1:26" ht="14.25" customHeight="1">
      <c r="A533" s="8"/>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spans="1:26" ht="14.25" customHeight="1">
      <c r="A534" s="8"/>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spans="1:26" ht="14.25" customHeight="1">
      <c r="A535" s="8"/>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spans="1:26" ht="14.25" customHeight="1">
      <c r="A536" s="8"/>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spans="1:26" ht="14.25" customHeight="1">
      <c r="A537" s="8"/>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spans="1:26" ht="14.25" customHeight="1">
      <c r="A538" s="8"/>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spans="1:26" ht="14.25" customHeight="1">
      <c r="A539" s="8"/>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spans="1:26" ht="14.25" customHeight="1">
      <c r="A540" s="8"/>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spans="1:26" ht="14.25" customHeight="1">
      <c r="A541" s="8"/>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spans="1:26" ht="14.25" customHeight="1">
      <c r="A542" s="8"/>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spans="1:26" ht="14.25" customHeight="1">
      <c r="A543" s="8"/>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spans="1:26" ht="14.25" customHeight="1">
      <c r="A544" s="8"/>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spans="1:26" ht="14.25" customHeight="1">
      <c r="A545" s="8"/>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spans="1:26" ht="14.25" customHeight="1">
      <c r="A546" s="8"/>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spans="1:26" ht="14.25" customHeight="1">
      <c r="A547" s="8"/>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spans="1:26" ht="14.25" customHeight="1">
      <c r="A548" s="8"/>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spans="1:26" ht="14.25" customHeight="1">
      <c r="A549" s="8"/>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spans="1:26" ht="14.25" customHeight="1">
      <c r="A550" s="8"/>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spans="1:26" ht="14.25" customHeight="1">
      <c r="A551" s="8"/>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spans="1:26" ht="14.25" customHeight="1">
      <c r="A552" s="8"/>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spans="1:26" ht="14.25" customHeight="1">
      <c r="A553" s="8"/>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spans="1:26" ht="14.25" customHeight="1">
      <c r="A554" s="8"/>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spans="1:26" ht="14.25" customHeight="1">
      <c r="A555" s="8"/>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spans="1:26" ht="14.25" customHeight="1">
      <c r="A556" s="8"/>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spans="1:26" ht="14.25" customHeight="1">
      <c r="A557" s="8"/>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spans="1:26" ht="14.25" customHeight="1">
      <c r="A558" s="8"/>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spans="1:26" ht="14.25" customHeight="1">
      <c r="A559" s="8"/>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spans="1:26" ht="14.25" customHeight="1">
      <c r="A560" s="8"/>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spans="1:26" ht="14.25" customHeight="1">
      <c r="A561" s="8"/>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spans="1:26" ht="14.25" customHeight="1">
      <c r="A562" s="8"/>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spans="1:26" ht="14.25" customHeight="1">
      <c r="A563" s="8"/>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spans="1:26" ht="14.25" customHeight="1">
      <c r="A564" s="8"/>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spans="1:26" ht="14.25" customHeight="1">
      <c r="A565" s="8"/>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spans="1:26" ht="14.25" customHeight="1">
      <c r="A566" s="8"/>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spans="1:26" ht="14.25" customHeight="1">
      <c r="A567" s="8"/>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spans="1:26" ht="14.25" customHeight="1">
      <c r="A568" s="8"/>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spans="1:26" ht="14.25" customHeight="1">
      <c r="A569" s="8"/>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spans="1:26" ht="14.25" customHeight="1">
      <c r="A570" s="8"/>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spans="1:26" ht="14.25" customHeight="1">
      <c r="A571" s="8"/>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spans="1:26" ht="14.25" customHeight="1">
      <c r="A572" s="8"/>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spans="1:26" ht="14.25" customHeight="1">
      <c r="A573" s="8"/>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spans="1:26" ht="14.25" customHeight="1">
      <c r="A574" s="8"/>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spans="1:26" ht="14.25" customHeight="1">
      <c r="A575" s="8"/>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spans="1:26" ht="14.25" customHeight="1">
      <c r="A576" s="8"/>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spans="1:26" ht="14.25" customHeight="1">
      <c r="A577" s="8"/>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spans="1:26" ht="14.25" customHeight="1">
      <c r="A578" s="8"/>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spans="1:26" ht="14.25" customHeight="1">
      <c r="A579" s="8"/>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spans="1:26" ht="14.25" customHeight="1">
      <c r="A580" s="8"/>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spans="1:26" ht="14.25" customHeight="1">
      <c r="A581" s="8"/>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spans="1:26" ht="14.25" customHeight="1">
      <c r="A582" s="8"/>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spans="1:26" ht="14.25" customHeight="1">
      <c r="A583" s="8"/>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spans="1:26" ht="14.25" customHeight="1">
      <c r="A584" s="8"/>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spans="1:26" ht="14.25" customHeight="1">
      <c r="A585" s="8"/>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spans="1:26" ht="14.25" customHeight="1">
      <c r="A586" s="8"/>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spans="1:26" ht="14.25" customHeight="1">
      <c r="A587" s="8"/>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spans="1:26" ht="14.25" customHeight="1">
      <c r="A588" s="8"/>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spans="1:26" ht="14.25" customHeight="1">
      <c r="A589" s="8"/>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spans="1:26" ht="14.25" customHeight="1">
      <c r="A590" s="8"/>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spans="1:26" ht="14.25" customHeight="1">
      <c r="A591" s="8"/>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spans="1:26" ht="14.25" customHeight="1">
      <c r="A592" s="8"/>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spans="1:26" ht="14.25" customHeight="1">
      <c r="A593" s="8"/>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spans="1:26" ht="14.25" customHeight="1">
      <c r="A594" s="8"/>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spans="1:26" ht="14.25" customHeight="1">
      <c r="A595" s="8"/>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spans="1:26" ht="14.25" customHeight="1">
      <c r="A596" s="8"/>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spans="1:26" ht="14.25" customHeight="1">
      <c r="A597" s="8"/>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spans="1:26" ht="14.25" customHeight="1">
      <c r="A598" s="8"/>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spans="1:26" ht="14.25" customHeight="1">
      <c r="A599" s="8"/>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spans="1:26" ht="14.25" customHeight="1">
      <c r="A600" s="8"/>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spans="1:26" ht="14.25" customHeight="1">
      <c r="A601" s="8"/>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spans="1:26" ht="14.25" customHeight="1">
      <c r="A602" s="8"/>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spans="1:26" ht="14.25" customHeight="1">
      <c r="A603" s="8"/>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spans="1:26" ht="14.25" customHeight="1">
      <c r="A604" s="8"/>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spans="1:26" ht="14.25" customHeight="1">
      <c r="A605" s="8"/>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spans="1:26" ht="14.25" customHeight="1">
      <c r="A606" s="8"/>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spans="1:26" ht="14.25" customHeight="1">
      <c r="A607" s="8"/>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spans="1:26" ht="14.25" customHeight="1">
      <c r="A608" s="8"/>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spans="1:26" ht="14.25" customHeight="1">
      <c r="A609" s="8"/>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spans="1:26" ht="14.25" customHeight="1">
      <c r="A610" s="8"/>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spans="1:26" ht="14.25" customHeight="1">
      <c r="A611" s="8"/>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spans="1:26" ht="14.25" customHeight="1">
      <c r="A612" s="8"/>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spans="1:26" ht="14.25" customHeight="1">
      <c r="A613" s="8"/>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spans="1:26" ht="14.25" customHeight="1">
      <c r="A614" s="8"/>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spans="1:26" ht="14.25" customHeight="1">
      <c r="A615" s="8"/>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spans="1:26" ht="14.25" customHeight="1">
      <c r="A616" s="8"/>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spans="1:26" ht="14.25" customHeight="1">
      <c r="A617" s="8"/>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spans="1:26" ht="14.25" customHeight="1">
      <c r="A618" s="8"/>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spans="1:26" ht="14.25" customHeight="1">
      <c r="A619" s="8"/>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spans="1:26" ht="14.25" customHeight="1">
      <c r="A620" s="8"/>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spans="1:26" ht="14.25" customHeight="1">
      <c r="A621" s="8"/>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spans="1:26" ht="14.25" customHeight="1">
      <c r="A622" s="8"/>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spans="1:26" ht="14.25" customHeight="1">
      <c r="A623" s="8"/>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spans="1:26" ht="14.25" customHeight="1">
      <c r="A624" s="8"/>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spans="1:26" ht="14.25" customHeight="1">
      <c r="A625" s="8"/>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spans="1:26" ht="14.25" customHeight="1">
      <c r="A626" s="8"/>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spans="1:26" ht="14.25" customHeight="1">
      <c r="A627" s="8"/>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spans="1:26" ht="14.25" customHeight="1">
      <c r="A628" s="8"/>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spans="1:26" ht="14.25" customHeight="1">
      <c r="A629" s="8"/>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spans="1:26" ht="14.25" customHeight="1">
      <c r="A630" s="8"/>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spans="1:26" ht="14.25" customHeight="1">
      <c r="A631" s="8"/>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spans="1:26" ht="14.25" customHeight="1">
      <c r="A632" s="8"/>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spans="1:26" ht="14.25" customHeight="1">
      <c r="A633" s="8"/>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spans="1:26" ht="14.25" customHeight="1">
      <c r="A634" s="8"/>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spans="1:26" ht="14.25" customHeight="1">
      <c r="A635" s="8"/>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spans="1:26" ht="14.25" customHeight="1">
      <c r="A636" s="8"/>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spans="1:26" ht="14.25" customHeight="1">
      <c r="A637" s="8"/>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spans="1:26" ht="14.25" customHeight="1">
      <c r="A638" s="8"/>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spans="1:26" ht="14.25" customHeight="1">
      <c r="A639" s="8"/>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spans="1:26" ht="14.25" customHeight="1">
      <c r="A640" s="8"/>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spans="1:26" ht="14.25" customHeight="1">
      <c r="A641" s="8"/>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spans="1:26" ht="14.25" customHeight="1">
      <c r="A642" s="8"/>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spans="1:26" ht="14.25" customHeight="1">
      <c r="A643" s="8"/>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spans="1:26" ht="14.25" customHeight="1">
      <c r="A644" s="8"/>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spans="1:26" ht="14.25" customHeight="1">
      <c r="A645" s="8"/>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spans="1:26" ht="14.25" customHeight="1">
      <c r="A646" s="8"/>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spans="1:26" ht="14.25" customHeight="1">
      <c r="A647" s="8"/>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spans="1:26" ht="14.25" customHeight="1">
      <c r="A648" s="8"/>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spans="1:26" ht="14.25" customHeight="1">
      <c r="A649" s="8"/>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spans="1:26" ht="14.25" customHeight="1">
      <c r="A650" s="8"/>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spans="1:26" ht="14.25" customHeight="1">
      <c r="A651" s="8"/>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spans="1:26" ht="14.25" customHeight="1">
      <c r="A652" s="8"/>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spans="1:26" ht="14.25" customHeight="1">
      <c r="A653" s="8"/>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spans="1:26" ht="14.25" customHeight="1">
      <c r="A654" s="8"/>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spans="1:26" ht="14.25" customHeight="1">
      <c r="A655" s="8"/>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spans="1:26" ht="14.25" customHeight="1">
      <c r="A656" s="8"/>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spans="1:26" ht="14.25" customHeight="1">
      <c r="A657" s="8"/>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spans="1:26" ht="14.25" customHeight="1">
      <c r="A658" s="8"/>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spans="1:26" ht="14.25" customHeight="1">
      <c r="A659" s="8"/>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spans="1:26" ht="14.25" customHeight="1">
      <c r="A660" s="8"/>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spans="1:26" ht="14.25" customHeight="1">
      <c r="A661" s="8"/>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spans="1:26" ht="14.25" customHeight="1">
      <c r="A662" s="8"/>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spans="1:26" ht="14.25" customHeight="1">
      <c r="A663" s="8"/>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spans="1:26" ht="14.25" customHeight="1">
      <c r="A664" s="8"/>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spans="1:26" ht="14.25" customHeight="1">
      <c r="A665" s="8"/>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spans="1:26" ht="14.25" customHeight="1">
      <c r="A666" s="8"/>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spans="1:26" ht="14.25" customHeight="1">
      <c r="A667" s="8"/>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spans="1:26" ht="14.25" customHeight="1">
      <c r="A668" s="8"/>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spans="1:26" ht="14.25" customHeight="1">
      <c r="A669" s="8"/>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spans="1:26" ht="14.25" customHeight="1">
      <c r="A670" s="8"/>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spans="1:26" ht="14.25" customHeight="1">
      <c r="A671" s="8"/>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spans="1:26" ht="14.25" customHeight="1">
      <c r="A672" s="8"/>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spans="1:26" ht="14.25" customHeight="1">
      <c r="A673" s="8"/>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spans="1:26" ht="14.25" customHeight="1">
      <c r="A674" s="8"/>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spans="1:26" ht="14.25" customHeight="1">
      <c r="A675" s="8"/>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spans="1:26" ht="14.25" customHeight="1">
      <c r="A676" s="8"/>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spans="1:26" ht="14.25" customHeight="1">
      <c r="A677" s="8"/>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spans="1:26" ht="14.25" customHeight="1">
      <c r="A678" s="8"/>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spans="1:26" ht="14.25" customHeight="1">
      <c r="A679" s="8"/>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spans="1:26" ht="14.25" customHeight="1">
      <c r="A680" s="8"/>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spans="1:26" ht="14.25" customHeight="1">
      <c r="A681" s="8"/>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spans="1:26" ht="14.25" customHeight="1">
      <c r="A682" s="8"/>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spans="1:26" ht="14.25" customHeight="1">
      <c r="A683" s="8"/>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spans="1:26" ht="14.25" customHeight="1">
      <c r="A684" s="8"/>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spans="1:26" ht="14.25" customHeight="1">
      <c r="A685" s="8"/>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spans="1:26" ht="14.25" customHeight="1">
      <c r="A686" s="8"/>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spans="1:26" ht="14.25" customHeight="1">
      <c r="A687" s="8"/>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spans="1:26" ht="14.25" customHeight="1">
      <c r="A688" s="8"/>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spans="1:26" ht="14.25" customHeight="1">
      <c r="A689" s="8"/>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spans="1:26" ht="14.25" customHeight="1">
      <c r="A690" s="8"/>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spans="1:26" ht="14.25" customHeight="1">
      <c r="A691" s="8"/>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spans="1:26" ht="14.25" customHeight="1">
      <c r="A692" s="8"/>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spans="1:26" ht="14.25" customHeight="1">
      <c r="A693" s="8"/>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spans="1:26" ht="14.25" customHeight="1">
      <c r="A694" s="8"/>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spans="1:26" ht="14.25" customHeight="1">
      <c r="A695" s="8"/>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spans="1:26" ht="14.25" customHeight="1">
      <c r="A696" s="8"/>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spans="1:26" ht="14.25" customHeight="1">
      <c r="A697" s="8"/>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spans="1:26" ht="14.25" customHeight="1">
      <c r="A698" s="8"/>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spans="1:26" ht="14.25" customHeight="1">
      <c r="A699" s="8"/>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spans="1:26" ht="14.25" customHeight="1">
      <c r="A700" s="8"/>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spans="1:26" ht="14.25" customHeight="1">
      <c r="A701" s="8"/>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spans="1:26" ht="14.25" customHeight="1">
      <c r="A702" s="8"/>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spans="1:26" ht="14.25" customHeight="1">
      <c r="A703" s="8"/>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spans="1:26" ht="14.25" customHeight="1">
      <c r="A704" s="8"/>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spans="1:26" ht="14.25" customHeight="1">
      <c r="A705" s="8"/>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spans="1:26" ht="14.25" customHeight="1">
      <c r="A706" s="8"/>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spans="1:26" ht="14.25" customHeight="1">
      <c r="A707" s="8"/>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spans="1:26" ht="14.25" customHeight="1">
      <c r="A708" s="8"/>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spans="1:26" ht="14.25" customHeight="1">
      <c r="A709" s="8"/>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spans="1:26" ht="14.25" customHeight="1">
      <c r="A710" s="8"/>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spans="1:26" ht="14.25" customHeight="1">
      <c r="A711" s="8"/>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spans="1:26" ht="14.25" customHeight="1">
      <c r="A712" s="8"/>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spans="1:26" ht="14.25" customHeight="1">
      <c r="A713" s="8"/>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spans="1:26" ht="14.25" customHeight="1">
      <c r="A714" s="8"/>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spans="1:26" ht="14.25" customHeight="1">
      <c r="A715" s="8"/>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spans="1:26" ht="14.25" customHeight="1">
      <c r="A716" s="8"/>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spans="1:26" ht="14.25" customHeight="1">
      <c r="A717" s="8"/>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spans="1:26" ht="14.25" customHeight="1">
      <c r="A718" s="8"/>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spans="1:26" ht="14.25" customHeight="1">
      <c r="A719" s="8"/>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spans="1:26" ht="14.25" customHeight="1">
      <c r="A720" s="8"/>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spans="1:26" ht="14.25" customHeight="1">
      <c r="A721" s="8"/>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spans="1:26" ht="14.25" customHeight="1">
      <c r="A722" s="8"/>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spans="1:26" ht="14.25" customHeight="1">
      <c r="A723" s="8"/>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spans="1:26" ht="14.25" customHeight="1">
      <c r="A724" s="8"/>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spans="1:26" ht="14.25" customHeight="1">
      <c r="A725" s="8"/>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spans="1:26" ht="14.25" customHeight="1">
      <c r="A726" s="8"/>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spans="1:26" ht="14.25" customHeight="1">
      <c r="A727" s="8"/>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spans="1:26" ht="14.25" customHeight="1">
      <c r="A728" s="8"/>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spans="1:26" ht="14.25" customHeight="1">
      <c r="A729" s="8"/>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spans="1:26" ht="14.25" customHeight="1">
      <c r="A730" s="8"/>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spans="1:26" ht="14.25" customHeight="1">
      <c r="A731" s="8"/>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spans="1:26" ht="14.25" customHeight="1">
      <c r="A732" s="8"/>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spans="1:26" ht="14.25" customHeight="1">
      <c r="A733" s="8"/>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spans="1:26" ht="14.25" customHeight="1">
      <c r="A734" s="8"/>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spans="1:26" ht="14.25" customHeight="1">
      <c r="A735" s="8"/>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spans="1:26" ht="14.25" customHeight="1">
      <c r="A736" s="8"/>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spans="1:26" ht="14.25" customHeight="1">
      <c r="A737" s="8"/>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spans="1:26" ht="14.25" customHeight="1">
      <c r="A738" s="8"/>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spans="1:26" ht="14.25" customHeight="1">
      <c r="A739" s="8"/>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spans="1:26" ht="14.25" customHeight="1">
      <c r="A740" s="8"/>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spans="1:26" ht="14.25" customHeight="1">
      <c r="A741" s="8"/>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spans="1:26" ht="14.25" customHeight="1">
      <c r="A742" s="8"/>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spans="1:26" ht="14.25" customHeight="1">
      <c r="A743" s="8"/>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spans="1:26" ht="14.25" customHeight="1">
      <c r="A744" s="8"/>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spans="1:26" ht="14.25" customHeight="1">
      <c r="A745" s="8"/>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spans="1:26" ht="14.25" customHeight="1">
      <c r="A746" s="8"/>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spans="1:26" ht="14.25" customHeight="1">
      <c r="A747" s="8"/>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spans="1:26" ht="14.25" customHeight="1">
      <c r="A748" s="8"/>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spans="1:26" ht="14.25" customHeight="1">
      <c r="A749" s="8"/>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spans="1:26" ht="14.25" customHeight="1">
      <c r="A750" s="8"/>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spans="1:26" ht="14.25" customHeight="1">
      <c r="A751" s="8"/>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spans="1:26" ht="14.25" customHeight="1">
      <c r="A752" s="8"/>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spans="1:26" ht="14.25" customHeight="1">
      <c r="A753" s="8"/>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spans="1:26" ht="14.25" customHeight="1">
      <c r="A754" s="8"/>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spans="1:26" ht="14.25" customHeight="1">
      <c r="A755" s="8"/>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spans="1:26" ht="14.25" customHeight="1">
      <c r="A756" s="8"/>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spans="1:26" ht="14.25" customHeight="1">
      <c r="A757" s="8"/>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spans="1:26" ht="14.25" customHeight="1">
      <c r="A758" s="8"/>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spans="1:26" ht="14.25" customHeight="1">
      <c r="A759" s="8"/>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spans="1:26" ht="14.25" customHeight="1">
      <c r="A760" s="8"/>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spans="1:26" ht="14.25" customHeight="1">
      <c r="A761" s="8"/>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spans="1:26" ht="14.25" customHeight="1">
      <c r="A762" s="8"/>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spans="1:26" ht="14.25" customHeight="1">
      <c r="A763" s="8"/>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spans="1:26" ht="14.25" customHeight="1">
      <c r="A764" s="8"/>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spans="1:26" ht="14.25" customHeight="1">
      <c r="A765" s="8"/>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spans="1:26" ht="14.25" customHeight="1">
      <c r="A766" s="8"/>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spans="1:26" ht="14.25" customHeight="1">
      <c r="A767" s="8"/>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spans="1:26" ht="14.25" customHeight="1">
      <c r="A768" s="8"/>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spans="1:26" ht="14.25" customHeight="1">
      <c r="A769" s="8"/>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spans="1:26" ht="14.25" customHeight="1">
      <c r="A770" s="8"/>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spans="1:26" ht="14.25" customHeight="1">
      <c r="A771" s="8"/>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spans="1:26" ht="14.25" customHeight="1">
      <c r="A772" s="8"/>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spans="1:26" ht="14.25" customHeight="1">
      <c r="A773" s="8"/>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spans="1:26" ht="14.25" customHeight="1">
      <c r="A774" s="8"/>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spans="1:26" ht="14.25" customHeight="1">
      <c r="A775" s="8"/>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spans="1:26" ht="14.25" customHeight="1">
      <c r="A776" s="8"/>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spans="1:26" ht="14.25" customHeight="1">
      <c r="A777" s="8"/>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spans="1:26" ht="14.25" customHeight="1">
      <c r="A778" s="8"/>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spans="1:26" ht="14.25" customHeight="1">
      <c r="A779" s="8"/>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spans="1:26" ht="14.25" customHeight="1">
      <c r="A780" s="8"/>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spans="1:26" ht="14.25" customHeight="1">
      <c r="A781" s="8"/>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spans="1:26" ht="14.25" customHeight="1">
      <c r="A782" s="8"/>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spans="1:26" ht="14.25" customHeight="1">
      <c r="A783" s="8"/>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spans="1:26" ht="14.25" customHeight="1">
      <c r="A784" s="8"/>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spans="1:26" ht="14.25" customHeight="1">
      <c r="A785" s="8"/>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spans="1:26" ht="14.25" customHeight="1">
      <c r="A786" s="8"/>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spans="1:26" ht="14.25" customHeight="1">
      <c r="A787" s="8"/>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spans="1:26" ht="14.25" customHeight="1">
      <c r="A788" s="8"/>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spans="1:26" ht="14.25" customHeight="1">
      <c r="A789" s="8"/>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spans="1:26" ht="14.25" customHeight="1">
      <c r="A790" s="8"/>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spans="1:26" ht="14.25" customHeight="1">
      <c r="A791" s="8"/>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spans="1:26" ht="14.25" customHeight="1">
      <c r="A792" s="8"/>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spans="1:26" ht="14.25" customHeight="1">
      <c r="A793" s="8"/>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spans="1:26" ht="14.25" customHeight="1">
      <c r="A794" s="8"/>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spans="1:26" ht="14.25" customHeight="1">
      <c r="A795" s="8"/>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spans="1:26" ht="14.25" customHeight="1">
      <c r="A796" s="8"/>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spans="1:26" ht="14.25" customHeight="1">
      <c r="A797" s="8"/>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spans="1:26" ht="14.25" customHeight="1">
      <c r="A798" s="8"/>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spans="1:26" ht="14.25" customHeight="1">
      <c r="A799" s="8"/>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spans="1:26" ht="14.25" customHeight="1">
      <c r="A800" s="8"/>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spans="1:26" ht="14.25" customHeight="1">
      <c r="A801" s="8"/>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spans="1:26" ht="14.25" customHeight="1">
      <c r="A802" s="8"/>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spans="1:26" ht="14.25" customHeight="1">
      <c r="A803" s="8"/>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spans="1:26" ht="14.25" customHeight="1">
      <c r="A804" s="8"/>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spans="1:26" ht="14.25" customHeight="1">
      <c r="A805" s="8"/>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spans="1:26" ht="14.25" customHeight="1">
      <c r="A806" s="8"/>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spans="1:26" ht="14.25" customHeight="1">
      <c r="A807" s="8"/>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spans="1:26" ht="14.25" customHeight="1">
      <c r="A808" s="8"/>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spans="1:26" ht="14.25" customHeight="1">
      <c r="A809" s="8"/>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spans="1:26" ht="14.25" customHeight="1">
      <c r="A810" s="8"/>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spans="1:26" ht="14.25" customHeight="1">
      <c r="A811" s="8"/>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spans="1:26" ht="14.25" customHeight="1">
      <c r="A812" s="8"/>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spans="1:26" ht="14.25" customHeight="1">
      <c r="A813" s="8"/>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spans="1:26" ht="14.25" customHeight="1">
      <c r="A814" s="8"/>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spans="1:26" ht="14.25" customHeight="1">
      <c r="A815" s="8"/>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spans="1:26" ht="14.25" customHeight="1">
      <c r="A816" s="8"/>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spans="1:26" ht="14.25" customHeight="1">
      <c r="A817" s="8"/>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spans="1:26" ht="14.25" customHeight="1">
      <c r="A818" s="8"/>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spans="1:26" ht="14.25" customHeight="1">
      <c r="A819" s="8"/>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spans="1:26" ht="14.25" customHeight="1">
      <c r="A820" s="8"/>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spans="1:26" ht="14.25" customHeight="1">
      <c r="A821" s="8"/>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spans="1:26" ht="14.25" customHeight="1">
      <c r="A822" s="8"/>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spans="1:26" ht="14.25" customHeight="1">
      <c r="A823" s="8"/>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spans="1:26" ht="14.25" customHeight="1">
      <c r="A824" s="8"/>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spans="1:26" ht="14.25" customHeight="1">
      <c r="A825" s="8"/>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spans="1:26" ht="14.25" customHeight="1">
      <c r="A826" s="8"/>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spans="1:26" ht="14.25" customHeight="1">
      <c r="A827" s="8"/>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spans="1:26" ht="14.25" customHeight="1">
      <c r="A828" s="8"/>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spans="1:26" ht="14.25" customHeight="1">
      <c r="A829" s="8"/>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spans="1:26" ht="14.25" customHeight="1">
      <c r="A830" s="8"/>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spans="1:26" ht="14.25" customHeight="1">
      <c r="A831" s="8"/>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spans="1:26" ht="14.25" customHeight="1">
      <c r="A832" s="8"/>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spans="1:26" ht="14.25" customHeight="1">
      <c r="A833" s="8"/>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spans="1:26" ht="14.25" customHeight="1">
      <c r="A834" s="8"/>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spans="1:26" ht="14.25" customHeight="1">
      <c r="A835" s="8"/>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spans="1:26" ht="14.25" customHeight="1">
      <c r="A836" s="8"/>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spans="1:26" ht="14.25" customHeight="1">
      <c r="A837" s="8"/>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spans="1:26" ht="14.25" customHeight="1">
      <c r="A838" s="8"/>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spans="1:26" ht="14.25" customHeight="1">
      <c r="A839" s="8"/>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spans="1:26" ht="14.25" customHeight="1">
      <c r="A840" s="8"/>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spans="1:26" ht="14.25" customHeight="1">
      <c r="A841" s="8"/>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spans="1:26" ht="14.25" customHeight="1">
      <c r="A842" s="8"/>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spans="1:26" ht="14.25" customHeight="1">
      <c r="A843" s="8"/>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spans="1:26" ht="14.25" customHeight="1">
      <c r="A844" s="8"/>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spans="1:26" ht="14.25" customHeight="1">
      <c r="A845" s="8"/>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spans="1:26" ht="14.25" customHeight="1">
      <c r="A846" s="8"/>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spans="1:26" ht="14.25" customHeight="1">
      <c r="A847" s="8"/>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spans="1:26" ht="14.25" customHeight="1">
      <c r="A848" s="8"/>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spans="1:26" ht="14.25" customHeight="1">
      <c r="A849" s="8"/>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spans="1:26" ht="14.25" customHeight="1">
      <c r="A850" s="8"/>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spans="1:26" ht="14.25" customHeight="1">
      <c r="A851" s="8"/>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spans="1:26" ht="14.25" customHeight="1">
      <c r="A852" s="8"/>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spans="1:26" ht="14.25" customHeight="1">
      <c r="A853" s="8"/>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spans="1:26" ht="14.25" customHeight="1">
      <c r="A854" s="8"/>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spans="1:26" ht="14.25" customHeight="1">
      <c r="A855" s="8"/>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spans="1:26" ht="14.25" customHeight="1">
      <c r="A856" s="8"/>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spans="1:26" ht="14.25" customHeight="1">
      <c r="A857" s="8"/>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spans="1:26" ht="14.25" customHeight="1">
      <c r="A858" s="8"/>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spans="1:26" ht="14.25" customHeight="1">
      <c r="A859" s="8"/>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spans="1:26" ht="14.25" customHeight="1">
      <c r="A860" s="8"/>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spans="1:26" ht="14.25" customHeight="1">
      <c r="A861" s="8"/>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spans="1:26" ht="14.25" customHeight="1">
      <c r="A862" s="8"/>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spans="1:26" ht="14.25" customHeight="1">
      <c r="A863" s="8"/>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spans="1:26" ht="14.25" customHeight="1">
      <c r="A864" s="8"/>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spans="1:26" ht="14.25" customHeight="1">
      <c r="A865" s="8"/>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spans="1:26" ht="14.25" customHeight="1">
      <c r="A866" s="8"/>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spans="1:26" ht="14.25" customHeight="1">
      <c r="A867" s="8"/>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spans="1:26" ht="14.25" customHeight="1">
      <c r="A868" s="8"/>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spans="1:26" ht="14.25" customHeight="1">
      <c r="A869" s="8"/>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spans="1:26" ht="14.25" customHeight="1">
      <c r="A870" s="8"/>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spans="1:26" ht="14.25" customHeight="1">
      <c r="A871" s="8"/>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spans="1:26" ht="14.25" customHeight="1">
      <c r="A872" s="8"/>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spans="1:26" ht="14.25" customHeight="1">
      <c r="A873" s="8"/>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spans="1:26" ht="14.25" customHeight="1">
      <c r="A874" s="8"/>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spans="1:26" ht="14.25" customHeight="1">
      <c r="A875" s="8"/>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spans="1:26" ht="14.25" customHeight="1">
      <c r="A876" s="8"/>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spans="1:26" ht="14.25" customHeight="1">
      <c r="A877" s="8"/>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spans="1:26" ht="14.25" customHeight="1">
      <c r="A878" s="8"/>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spans="1:26" ht="14.25" customHeight="1">
      <c r="A879" s="8"/>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spans="1:26" ht="14.25" customHeight="1">
      <c r="A880" s="8"/>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spans="1:26" ht="14.25" customHeight="1">
      <c r="A881" s="8"/>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spans="1:26" ht="14.25" customHeight="1">
      <c r="A882" s="8"/>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spans="1:26" ht="14.25" customHeight="1">
      <c r="A883" s="8"/>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spans="1:26" ht="14.25" customHeight="1">
      <c r="A884" s="8"/>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spans="1:26" ht="14.25" customHeight="1">
      <c r="A885" s="8"/>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spans="1:26" ht="14.25" customHeight="1">
      <c r="A886" s="8"/>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spans="1:26" ht="14.25" customHeight="1">
      <c r="A887" s="8"/>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spans="1:26" ht="14.25" customHeight="1">
      <c r="A888" s="8"/>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spans="1:26" ht="14.25" customHeight="1">
      <c r="A889" s="8"/>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spans="1:26" ht="14.25" customHeight="1">
      <c r="A890" s="8"/>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spans="1:26" ht="14.25" customHeight="1">
      <c r="A891" s="8"/>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spans="1:26" ht="14.25" customHeight="1">
      <c r="A892" s="8"/>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spans="1:26" ht="14.25" customHeight="1">
      <c r="A893" s="8"/>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spans="1:26" ht="14.25" customHeight="1">
      <c r="A894" s="8"/>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spans="1:26" ht="14.25" customHeight="1">
      <c r="A895" s="8"/>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spans="1:26" ht="14.25" customHeight="1">
      <c r="A896" s="8"/>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spans="1:26" ht="14.25" customHeight="1">
      <c r="A897" s="8"/>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spans="1:26" ht="14.25" customHeight="1">
      <c r="A898" s="8"/>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spans="1:26" ht="14.25" customHeight="1">
      <c r="A899" s="8"/>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spans="1:26" ht="14.25" customHeight="1">
      <c r="A900" s="8"/>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spans="1:26" ht="14.25" customHeight="1">
      <c r="A901" s="8"/>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spans="1:26" ht="14.25" customHeight="1">
      <c r="A902" s="8"/>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spans="1:26" ht="14.25" customHeight="1">
      <c r="A903" s="8"/>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spans="1:26" ht="14.25" customHeight="1">
      <c r="A904" s="8"/>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spans="1:26" ht="14.25" customHeight="1">
      <c r="A905" s="8"/>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spans="1:26" ht="14.25" customHeight="1">
      <c r="A906" s="8"/>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spans="1:26" ht="14.25" customHeight="1">
      <c r="A907" s="8"/>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spans="1:26" ht="14.25" customHeight="1">
      <c r="A908" s="8"/>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spans="1:26" ht="14.25" customHeight="1">
      <c r="A909" s="8"/>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spans="1:26" ht="14.25" customHeight="1">
      <c r="A910" s="8"/>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spans="1:26" ht="14.25" customHeight="1">
      <c r="A911" s="8"/>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spans="1:26" ht="14.25" customHeight="1">
      <c r="A912" s="8"/>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spans="1:26" ht="14.25" customHeight="1">
      <c r="A913" s="8"/>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spans="1:26" ht="14.25" customHeight="1">
      <c r="A914" s="8"/>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spans="1:26" ht="14.25" customHeight="1">
      <c r="A915" s="8"/>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spans="1:26" ht="14.25" customHeight="1">
      <c r="A916" s="8"/>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spans="1:26" ht="14.25" customHeight="1">
      <c r="A917" s="8"/>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spans="1:26" ht="14.25" customHeight="1">
      <c r="A918" s="8"/>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spans="1:26" ht="14.25" customHeight="1">
      <c r="A919" s="8"/>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spans="1:26" ht="14.25" customHeight="1">
      <c r="A920" s="8"/>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spans="1:26" ht="14.25" customHeight="1">
      <c r="A921" s="8"/>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spans="1:26" ht="14.25" customHeight="1">
      <c r="A922" s="8"/>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spans="1:26" ht="14.25" customHeight="1">
      <c r="A923" s="8"/>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spans="1:26" ht="14.25" customHeight="1">
      <c r="A924" s="8"/>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spans="1:26" ht="14.25" customHeight="1">
      <c r="A925" s="8"/>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spans="1:26" ht="14.25" customHeight="1">
      <c r="A926" s="8"/>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spans="1:26" ht="14.25" customHeight="1">
      <c r="A927" s="8"/>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spans="1:26" ht="14.25" customHeight="1">
      <c r="A928" s="8"/>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spans="1:26" ht="14.25" customHeight="1">
      <c r="A929" s="8"/>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spans="1:26" ht="14.25" customHeight="1">
      <c r="A930" s="8"/>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spans="1:26" ht="14.25" customHeight="1">
      <c r="A931" s="8"/>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spans="1:26" ht="14.25" customHeight="1">
      <c r="A932" s="8"/>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spans="1:26" ht="14.25" customHeight="1">
      <c r="A933" s="8"/>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spans="1:26" ht="14.25" customHeight="1">
      <c r="A934" s="8"/>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spans="1:26" ht="14.25" customHeight="1">
      <c r="A935" s="8"/>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spans="1:26" ht="14.25" customHeight="1">
      <c r="A936" s="8"/>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spans="1:26" ht="14.25" customHeight="1">
      <c r="A937" s="8"/>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spans="1:26" ht="14.25" customHeight="1">
      <c r="A938" s="8"/>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spans="1:26" ht="14.25" customHeight="1">
      <c r="A939" s="8"/>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spans="1:26" ht="14.25" customHeight="1">
      <c r="A940" s="8"/>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spans="1:26" ht="14.25" customHeight="1">
      <c r="A941" s="8"/>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spans="1:26" ht="14.25" customHeight="1">
      <c r="A942" s="8"/>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spans="1:26" ht="14.25" customHeight="1">
      <c r="A943" s="8"/>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spans="1:26" ht="14.25" customHeight="1">
      <c r="A944" s="8"/>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spans="1:26" ht="14.25" customHeight="1">
      <c r="A945" s="8"/>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spans="1:26" ht="14.25" customHeight="1">
      <c r="A946" s="8"/>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spans="1:26" ht="14.25" customHeight="1">
      <c r="A947" s="8"/>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spans="1:26" ht="14.25" customHeight="1">
      <c r="A948" s="8"/>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spans="1:26" ht="14.25" customHeight="1">
      <c r="A949" s="8"/>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spans="1:26" ht="14.25" customHeight="1">
      <c r="A950" s="8"/>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spans="1:26" ht="14.25" customHeight="1">
      <c r="A951" s="8"/>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spans="1:26" ht="14.25" customHeight="1">
      <c r="A952" s="8"/>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spans="1:26" ht="14.25" customHeight="1">
      <c r="A953" s="8"/>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spans="1:26" ht="14.25" customHeight="1">
      <c r="A954" s="8"/>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spans="1:26" ht="14.25" customHeight="1">
      <c r="A955" s="8"/>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spans="1:26" ht="14.25" customHeight="1">
      <c r="A956" s="8"/>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spans="1:26" ht="14.25" customHeight="1">
      <c r="A957" s="8"/>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spans="1:26" ht="14.25" customHeight="1">
      <c r="A958" s="8"/>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spans="1:26" ht="14.25" customHeight="1">
      <c r="A959" s="8"/>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spans="1:26" ht="14.25" customHeight="1">
      <c r="A960" s="8"/>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spans="1:26" ht="14.25" customHeight="1">
      <c r="A961" s="8"/>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spans="1:26" ht="14.25" customHeight="1">
      <c r="A962" s="8"/>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spans="1:26" ht="14.25" customHeight="1">
      <c r="A963" s="8"/>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spans="1:26" ht="14.25" customHeight="1">
      <c r="A964" s="8"/>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spans="1:26" ht="14.25" customHeight="1">
      <c r="A965" s="8"/>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spans="1:26" ht="14.25" customHeight="1">
      <c r="A966" s="8"/>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spans="1:26" ht="14.25" customHeight="1">
      <c r="A967" s="8"/>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spans="1:26" ht="14.25" customHeight="1">
      <c r="A968" s="8"/>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spans="1:26" ht="14.25" customHeight="1">
      <c r="A969" s="8"/>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spans="1:26" ht="14.25" customHeight="1">
      <c r="A970" s="8"/>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spans="1:26" ht="14.25" customHeight="1">
      <c r="A971" s="8"/>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spans="1:26" ht="14.25" customHeight="1">
      <c r="A972" s="8"/>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spans="1:26" ht="14.25" customHeight="1">
      <c r="A973" s="8"/>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spans="1:26" ht="14.25" customHeight="1">
      <c r="A974" s="8"/>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spans="1:26" ht="14.25" customHeight="1">
      <c r="A975" s="8"/>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spans="1:26" ht="14.25" customHeight="1">
      <c r="A976" s="8"/>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spans="1:26" ht="14.25" customHeight="1">
      <c r="A977" s="8"/>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spans="1:26" ht="14.25" customHeight="1">
      <c r="A978" s="8"/>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spans="1:26" ht="14.25" customHeight="1">
      <c r="A979" s="8"/>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spans="1:26" ht="14.25" customHeight="1">
      <c r="A980" s="8"/>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spans="1:26" ht="14.25" customHeight="1">
      <c r="A981" s="8"/>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spans="1:26" ht="14.25" customHeight="1">
      <c r="A982" s="8"/>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spans="1:26" ht="14.25" customHeight="1">
      <c r="A983" s="8"/>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spans="1:26" ht="14.25" customHeight="1">
      <c r="A984" s="8"/>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spans="1:26" ht="14.25" customHeight="1">
      <c r="A985" s="8"/>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spans="1:26" ht="14.25" customHeight="1">
      <c r="A986" s="8"/>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spans="1:26" ht="14.25" customHeight="1">
      <c r="A987" s="8"/>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spans="1:26" ht="14.25" customHeight="1">
      <c r="A988" s="8"/>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spans="1:26" ht="14.25" customHeight="1">
      <c r="A989" s="8"/>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spans="1:26" ht="14.25" customHeight="1">
      <c r="A990" s="8"/>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spans="1:26" ht="14.25" customHeight="1">
      <c r="A991" s="8"/>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spans="1:26" ht="14.25" customHeight="1">
      <c r="A992" s="8"/>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spans="1:26" ht="14.25" customHeight="1">
      <c r="A993" s="8"/>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spans="1:26" ht="14.25" customHeight="1">
      <c r="A994" s="8"/>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spans="1:26" ht="14.25" customHeight="1">
      <c r="A995" s="8"/>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spans="1:26" ht="14.25" customHeight="1">
      <c r="A996" s="8"/>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spans="1:26" ht="14.25" customHeight="1">
      <c r="A997" s="8"/>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spans="1:26" ht="14.25" customHeight="1">
      <c r="A998" s="8"/>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spans="1:26" ht="14.25" customHeight="1">
      <c r="A999" s="8"/>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spans="1:26" ht="14.25" customHeight="1">
      <c r="A1000" s="8"/>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mergeCells count="5">
    <mergeCell ref="A1:L1"/>
    <mergeCell ref="B10:C10"/>
    <mergeCell ref="E13:K13"/>
    <mergeCell ref="G15:K15"/>
    <mergeCell ref="E17:E21"/>
  </mergeCell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D24"/>
  <sheetViews>
    <sheetView showGridLines="0" workbookViewId="0">
      <selection sqref="A1:L1"/>
    </sheetView>
  </sheetViews>
  <sheetFormatPr defaultColWidth="8.88671875" defaultRowHeight="15" customHeight="1"/>
  <cols>
    <col min="1" max="1" width="31" customWidth="1"/>
    <col min="2" max="3" width="9.21875" customWidth="1"/>
    <col min="4" max="11" width="9" customWidth="1"/>
    <col min="12" max="12" width="9.77734375" customWidth="1"/>
    <col min="13" max="13" width="8.88671875" customWidth="1"/>
  </cols>
  <sheetData>
    <row r="1" spans="1:16384" ht="27" customHeight="1">
      <c r="A1" s="431" t="s">
        <v>263</v>
      </c>
      <c r="B1" s="404"/>
      <c r="C1" s="404"/>
      <c r="D1" s="404"/>
      <c r="E1" s="404"/>
      <c r="F1" s="404"/>
      <c r="G1" s="404"/>
      <c r="H1" s="404"/>
      <c r="I1" s="404"/>
      <c r="J1" s="404"/>
      <c r="K1" s="404"/>
      <c r="L1" s="417"/>
      <c r="M1" s="364"/>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t="s">
        <v>41</v>
      </c>
      <c r="AP1" s="162"/>
      <c r="AQ1" s="162"/>
      <c r="AR1" s="162"/>
      <c r="AS1" s="162"/>
      <c r="AT1" s="162"/>
      <c r="AU1" s="162"/>
      <c r="AV1" s="162"/>
      <c r="AW1" s="162" t="s">
        <v>41</v>
      </c>
      <c r="AX1" s="162"/>
      <c r="AY1" s="162"/>
      <c r="AZ1" s="162"/>
      <c r="BA1" s="162"/>
      <c r="BB1" s="162"/>
      <c r="BC1" s="162"/>
      <c r="BD1" s="162"/>
      <c r="BE1" s="432" t="s">
        <v>41</v>
      </c>
      <c r="BF1" s="404"/>
      <c r="BG1" s="404"/>
      <c r="BH1" s="404"/>
      <c r="BI1" s="404"/>
      <c r="BJ1" s="404"/>
      <c r="BK1" s="404"/>
      <c r="BL1" s="405"/>
      <c r="BM1" s="432" t="s">
        <v>41</v>
      </c>
      <c r="BN1" s="404"/>
      <c r="BO1" s="404"/>
      <c r="BP1" s="404"/>
      <c r="BQ1" s="404"/>
      <c r="BR1" s="404"/>
      <c r="BS1" s="404"/>
      <c r="BT1" s="405"/>
      <c r="BU1" s="432" t="s">
        <v>41</v>
      </c>
      <c r="BV1" s="404"/>
      <c r="BW1" s="404"/>
      <c r="BX1" s="404"/>
      <c r="BY1" s="404"/>
      <c r="BZ1" s="404"/>
      <c r="CA1" s="404"/>
      <c r="CB1" s="405"/>
      <c r="CC1" s="432" t="s">
        <v>41</v>
      </c>
      <c r="CD1" s="404"/>
      <c r="CE1" s="404"/>
      <c r="CF1" s="404"/>
      <c r="CG1" s="404"/>
      <c r="CH1" s="404"/>
      <c r="CI1" s="404"/>
      <c r="CJ1" s="405"/>
      <c r="CK1" s="432" t="s">
        <v>41</v>
      </c>
      <c r="CL1" s="404"/>
      <c r="CM1" s="404"/>
      <c r="CN1" s="404"/>
      <c r="CO1" s="404"/>
      <c r="CP1" s="404"/>
      <c r="CQ1" s="404"/>
      <c r="CR1" s="405"/>
      <c r="CS1" s="432" t="s">
        <v>41</v>
      </c>
      <c r="CT1" s="404"/>
      <c r="CU1" s="404"/>
      <c r="CV1" s="404"/>
      <c r="CW1" s="404"/>
      <c r="CX1" s="404"/>
      <c r="CY1" s="404"/>
      <c r="CZ1" s="405"/>
      <c r="DA1" s="432" t="s">
        <v>41</v>
      </c>
      <c r="DB1" s="404"/>
      <c r="DC1" s="404"/>
      <c r="DD1" s="404"/>
      <c r="DE1" s="404"/>
      <c r="DF1" s="404"/>
      <c r="DG1" s="404"/>
      <c r="DH1" s="405"/>
      <c r="DI1" s="432" t="s">
        <v>41</v>
      </c>
      <c r="DJ1" s="404"/>
      <c r="DK1" s="404"/>
      <c r="DL1" s="404"/>
      <c r="DM1" s="404"/>
      <c r="DN1" s="404"/>
      <c r="DO1" s="404"/>
      <c r="DP1" s="405"/>
      <c r="DQ1" s="432" t="s">
        <v>41</v>
      </c>
      <c r="DR1" s="404"/>
      <c r="DS1" s="404"/>
      <c r="DT1" s="404"/>
      <c r="DU1" s="404"/>
      <c r="DV1" s="404"/>
      <c r="DW1" s="404"/>
      <c r="DX1" s="405"/>
      <c r="DY1" s="432" t="s">
        <v>41</v>
      </c>
      <c r="DZ1" s="404"/>
      <c r="EA1" s="404"/>
      <c r="EB1" s="404"/>
      <c r="EC1" s="404"/>
      <c r="ED1" s="404"/>
      <c r="EE1" s="404"/>
      <c r="EF1" s="405"/>
      <c r="EG1" s="432" t="s">
        <v>41</v>
      </c>
      <c r="EH1" s="404"/>
      <c r="EI1" s="404"/>
      <c r="EJ1" s="404"/>
      <c r="EK1" s="404"/>
      <c r="EL1" s="404"/>
      <c r="EM1" s="404"/>
      <c r="EN1" s="405"/>
      <c r="EO1" s="432" t="s">
        <v>41</v>
      </c>
      <c r="EP1" s="404"/>
      <c r="EQ1" s="404"/>
      <c r="ER1" s="404"/>
      <c r="ES1" s="404"/>
      <c r="ET1" s="404"/>
      <c r="EU1" s="404"/>
      <c r="EV1" s="405"/>
      <c r="EW1" s="432" t="s">
        <v>41</v>
      </c>
      <c r="EX1" s="404"/>
      <c r="EY1" s="404"/>
      <c r="EZ1" s="404"/>
      <c r="FA1" s="404"/>
      <c r="FB1" s="404"/>
      <c r="FC1" s="404"/>
      <c r="FD1" s="405"/>
      <c r="FE1" s="432" t="s">
        <v>41</v>
      </c>
      <c r="FF1" s="404"/>
      <c r="FG1" s="404"/>
      <c r="FH1" s="404"/>
      <c r="FI1" s="404"/>
      <c r="FJ1" s="404"/>
      <c r="FK1" s="404"/>
      <c r="FL1" s="405"/>
      <c r="FM1" s="432" t="s">
        <v>41</v>
      </c>
      <c r="FN1" s="404"/>
      <c r="FO1" s="404"/>
      <c r="FP1" s="404"/>
      <c r="FQ1" s="404"/>
      <c r="FR1" s="404"/>
      <c r="FS1" s="404"/>
      <c r="FT1" s="405"/>
      <c r="FU1" s="432" t="s">
        <v>41</v>
      </c>
      <c r="FV1" s="404"/>
      <c r="FW1" s="404"/>
      <c r="FX1" s="404"/>
      <c r="FY1" s="404"/>
      <c r="FZ1" s="404"/>
      <c r="GA1" s="404"/>
      <c r="GB1" s="405"/>
      <c r="GC1" s="432" t="s">
        <v>41</v>
      </c>
      <c r="GD1" s="404"/>
      <c r="GE1" s="404"/>
      <c r="GF1" s="404"/>
      <c r="GG1" s="404"/>
      <c r="GH1" s="404"/>
      <c r="GI1" s="404"/>
      <c r="GJ1" s="405"/>
      <c r="GK1" s="432" t="s">
        <v>41</v>
      </c>
      <c r="GL1" s="404"/>
      <c r="GM1" s="404"/>
      <c r="GN1" s="404"/>
      <c r="GO1" s="404"/>
      <c r="GP1" s="404"/>
      <c r="GQ1" s="404"/>
      <c r="GR1" s="405"/>
      <c r="GS1" s="432" t="s">
        <v>41</v>
      </c>
      <c r="GT1" s="404"/>
      <c r="GU1" s="404"/>
      <c r="GV1" s="404"/>
      <c r="GW1" s="404"/>
      <c r="GX1" s="404"/>
      <c r="GY1" s="404"/>
      <c r="GZ1" s="405"/>
      <c r="HA1" s="432" t="s">
        <v>41</v>
      </c>
      <c r="HB1" s="404"/>
      <c r="HC1" s="404"/>
      <c r="HD1" s="404"/>
      <c r="HE1" s="404"/>
      <c r="HF1" s="404"/>
      <c r="HG1" s="404"/>
      <c r="HH1" s="405"/>
      <c r="HI1" s="432" t="s">
        <v>41</v>
      </c>
      <c r="HJ1" s="404"/>
      <c r="HK1" s="404"/>
      <c r="HL1" s="404"/>
      <c r="HM1" s="404"/>
      <c r="HN1" s="404"/>
      <c r="HO1" s="404"/>
      <c r="HP1" s="405"/>
      <c r="HQ1" s="432" t="s">
        <v>41</v>
      </c>
      <c r="HR1" s="404"/>
      <c r="HS1" s="404"/>
      <c r="HT1" s="404"/>
      <c r="HU1" s="404"/>
      <c r="HV1" s="404"/>
      <c r="HW1" s="404"/>
      <c r="HX1" s="405"/>
      <c r="HY1" s="432" t="s">
        <v>41</v>
      </c>
      <c r="HZ1" s="404"/>
      <c r="IA1" s="404"/>
      <c r="IB1" s="404"/>
      <c r="IC1" s="404"/>
      <c r="ID1" s="404"/>
      <c r="IE1" s="404"/>
      <c r="IF1" s="405"/>
      <c r="IG1" s="432" t="s">
        <v>41</v>
      </c>
      <c r="IH1" s="404"/>
      <c r="II1" s="404"/>
      <c r="IJ1" s="404"/>
      <c r="IK1" s="404"/>
      <c r="IL1" s="404"/>
      <c r="IM1" s="404"/>
      <c r="IN1" s="405"/>
      <c r="IO1" s="432" t="s">
        <v>41</v>
      </c>
      <c r="IP1" s="404"/>
      <c r="IQ1" s="404"/>
      <c r="IR1" s="404"/>
      <c r="IS1" s="404"/>
      <c r="IT1" s="404"/>
      <c r="IU1" s="404"/>
      <c r="IV1" s="405"/>
      <c r="IW1" s="432" t="s">
        <v>41</v>
      </c>
      <c r="IX1" s="404"/>
      <c r="IY1" s="404"/>
      <c r="IZ1" s="404"/>
      <c r="JA1" s="404"/>
      <c r="JB1" s="404"/>
      <c r="JC1" s="404"/>
      <c r="JD1" s="405"/>
      <c r="JE1" s="432" t="s">
        <v>41</v>
      </c>
      <c r="JF1" s="404"/>
      <c r="JG1" s="404"/>
      <c r="JH1" s="404"/>
      <c r="JI1" s="404"/>
      <c r="JJ1" s="404"/>
      <c r="JK1" s="404"/>
      <c r="JL1" s="405"/>
      <c r="JM1" s="432" t="s">
        <v>41</v>
      </c>
      <c r="JN1" s="404"/>
      <c r="JO1" s="404"/>
      <c r="JP1" s="404"/>
      <c r="JQ1" s="404"/>
      <c r="JR1" s="404"/>
      <c r="JS1" s="404"/>
      <c r="JT1" s="405"/>
      <c r="JU1" s="432" t="s">
        <v>41</v>
      </c>
      <c r="JV1" s="404"/>
      <c r="JW1" s="404"/>
      <c r="JX1" s="404"/>
      <c r="JY1" s="404"/>
      <c r="JZ1" s="404"/>
      <c r="KA1" s="404"/>
      <c r="KB1" s="405"/>
      <c r="KC1" s="432" t="s">
        <v>41</v>
      </c>
      <c r="KD1" s="404"/>
      <c r="KE1" s="404"/>
      <c r="KF1" s="404"/>
      <c r="KG1" s="404"/>
      <c r="KH1" s="404"/>
      <c r="KI1" s="404"/>
      <c r="KJ1" s="405"/>
      <c r="KK1" s="432" t="s">
        <v>41</v>
      </c>
      <c r="KL1" s="404"/>
      <c r="KM1" s="404"/>
      <c r="KN1" s="404"/>
      <c r="KO1" s="404"/>
      <c r="KP1" s="404"/>
      <c r="KQ1" s="404"/>
      <c r="KR1" s="405"/>
      <c r="KS1" s="432" t="s">
        <v>41</v>
      </c>
      <c r="KT1" s="404"/>
      <c r="KU1" s="404"/>
      <c r="KV1" s="404"/>
      <c r="KW1" s="404"/>
      <c r="KX1" s="404"/>
      <c r="KY1" s="404"/>
      <c r="KZ1" s="405"/>
      <c r="LA1" s="432" t="s">
        <v>41</v>
      </c>
      <c r="LB1" s="404"/>
      <c r="LC1" s="404"/>
      <c r="LD1" s="404"/>
      <c r="LE1" s="404"/>
      <c r="LF1" s="404"/>
      <c r="LG1" s="404"/>
      <c r="LH1" s="405"/>
      <c r="LI1" s="432" t="s">
        <v>41</v>
      </c>
      <c r="LJ1" s="404"/>
      <c r="LK1" s="404"/>
      <c r="LL1" s="404"/>
      <c r="LM1" s="404"/>
      <c r="LN1" s="404"/>
      <c r="LO1" s="404"/>
      <c r="LP1" s="405"/>
      <c r="LQ1" s="432" t="s">
        <v>41</v>
      </c>
      <c r="LR1" s="404"/>
      <c r="LS1" s="404"/>
      <c r="LT1" s="404"/>
      <c r="LU1" s="404"/>
      <c r="LV1" s="404"/>
      <c r="LW1" s="404"/>
      <c r="LX1" s="405"/>
      <c r="LY1" s="432" t="s">
        <v>41</v>
      </c>
      <c r="LZ1" s="404"/>
      <c r="MA1" s="404"/>
      <c r="MB1" s="404"/>
      <c r="MC1" s="404"/>
      <c r="MD1" s="404"/>
      <c r="ME1" s="404"/>
      <c r="MF1" s="405"/>
      <c r="MG1" s="432" t="s">
        <v>41</v>
      </c>
      <c r="MH1" s="404"/>
      <c r="MI1" s="404"/>
      <c r="MJ1" s="404"/>
      <c r="MK1" s="404"/>
      <c r="ML1" s="404"/>
      <c r="MM1" s="404"/>
      <c r="MN1" s="405"/>
      <c r="MO1" s="432" t="s">
        <v>41</v>
      </c>
      <c r="MP1" s="404"/>
      <c r="MQ1" s="404"/>
      <c r="MR1" s="404"/>
      <c r="MS1" s="404"/>
      <c r="MT1" s="404"/>
      <c r="MU1" s="404"/>
      <c r="MV1" s="405"/>
      <c r="MW1" s="432" t="s">
        <v>41</v>
      </c>
      <c r="MX1" s="404"/>
      <c r="MY1" s="404"/>
      <c r="MZ1" s="404"/>
      <c r="NA1" s="404"/>
      <c r="NB1" s="404"/>
      <c r="NC1" s="404"/>
      <c r="ND1" s="405"/>
      <c r="NE1" s="432" t="s">
        <v>41</v>
      </c>
      <c r="NF1" s="404"/>
      <c r="NG1" s="404"/>
      <c r="NH1" s="404"/>
      <c r="NI1" s="404"/>
      <c r="NJ1" s="404"/>
      <c r="NK1" s="404"/>
      <c r="NL1" s="405"/>
      <c r="NM1" s="432" t="s">
        <v>41</v>
      </c>
      <c r="NN1" s="404"/>
      <c r="NO1" s="404"/>
      <c r="NP1" s="404"/>
      <c r="NQ1" s="404"/>
      <c r="NR1" s="404"/>
      <c r="NS1" s="404"/>
      <c r="NT1" s="405"/>
      <c r="NU1" s="432" t="s">
        <v>41</v>
      </c>
      <c r="NV1" s="404"/>
      <c r="NW1" s="404"/>
      <c r="NX1" s="404"/>
      <c r="NY1" s="404"/>
      <c r="NZ1" s="404"/>
      <c r="OA1" s="404"/>
      <c r="OB1" s="405"/>
      <c r="OC1" s="432" t="s">
        <v>41</v>
      </c>
      <c r="OD1" s="404"/>
      <c r="OE1" s="404"/>
      <c r="OF1" s="404"/>
      <c r="OG1" s="404"/>
      <c r="OH1" s="404"/>
      <c r="OI1" s="404"/>
      <c r="OJ1" s="405"/>
      <c r="OK1" s="432" t="s">
        <v>41</v>
      </c>
      <c r="OL1" s="404"/>
      <c r="OM1" s="404"/>
      <c r="ON1" s="404"/>
      <c r="OO1" s="404"/>
      <c r="OP1" s="404"/>
      <c r="OQ1" s="404"/>
      <c r="OR1" s="405"/>
      <c r="OS1" s="432" t="s">
        <v>41</v>
      </c>
      <c r="OT1" s="404"/>
      <c r="OU1" s="404"/>
      <c r="OV1" s="404"/>
      <c r="OW1" s="404"/>
      <c r="OX1" s="404"/>
      <c r="OY1" s="404"/>
      <c r="OZ1" s="405"/>
      <c r="PA1" s="432" t="s">
        <v>41</v>
      </c>
      <c r="PB1" s="404"/>
      <c r="PC1" s="404"/>
      <c r="PD1" s="404"/>
      <c r="PE1" s="404"/>
      <c r="PF1" s="404"/>
      <c r="PG1" s="404"/>
      <c r="PH1" s="405"/>
      <c r="PI1" s="432" t="s">
        <v>41</v>
      </c>
      <c r="PJ1" s="404"/>
      <c r="PK1" s="404"/>
      <c r="PL1" s="404"/>
      <c r="PM1" s="404"/>
      <c r="PN1" s="404"/>
      <c r="PO1" s="404"/>
      <c r="PP1" s="405"/>
      <c r="PQ1" s="432" t="s">
        <v>41</v>
      </c>
      <c r="PR1" s="404"/>
      <c r="PS1" s="404"/>
      <c r="PT1" s="404"/>
      <c r="PU1" s="404"/>
      <c r="PV1" s="404"/>
      <c r="PW1" s="404"/>
      <c r="PX1" s="405"/>
      <c r="PY1" s="432" t="s">
        <v>41</v>
      </c>
      <c r="PZ1" s="404"/>
      <c r="QA1" s="404"/>
      <c r="QB1" s="404"/>
      <c r="QC1" s="404"/>
      <c r="QD1" s="404"/>
      <c r="QE1" s="404"/>
      <c r="QF1" s="405"/>
      <c r="QG1" s="432" t="s">
        <v>41</v>
      </c>
      <c r="QH1" s="404"/>
      <c r="QI1" s="404"/>
      <c r="QJ1" s="404"/>
      <c r="QK1" s="404"/>
      <c r="QL1" s="404"/>
      <c r="QM1" s="404"/>
      <c r="QN1" s="405"/>
      <c r="QO1" s="432" t="s">
        <v>41</v>
      </c>
      <c r="QP1" s="404"/>
      <c r="QQ1" s="404"/>
      <c r="QR1" s="404"/>
      <c r="QS1" s="404"/>
      <c r="QT1" s="404"/>
      <c r="QU1" s="404"/>
      <c r="QV1" s="405"/>
      <c r="QW1" s="432" t="s">
        <v>41</v>
      </c>
      <c r="QX1" s="404"/>
      <c r="QY1" s="404"/>
      <c r="QZ1" s="404"/>
      <c r="RA1" s="404"/>
      <c r="RB1" s="404"/>
      <c r="RC1" s="404"/>
      <c r="RD1" s="405"/>
      <c r="RE1" s="432" t="s">
        <v>41</v>
      </c>
      <c r="RF1" s="404"/>
      <c r="RG1" s="404"/>
      <c r="RH1" s="404"/>
      <c r="RI1" s="404"/>
      <c r="RJ1" s="404"/>
      <c r="RK1" s="404"/>
      <c r="RL1" s="405"/>
      <c r="RM1" s="432" t="s">
        <v>41</v>
      </c>
      <c r="RN1" s="404"/>
      <c r="RO1" s="404"/>
      <c r="RP1" s="404"/>
      <c r="RQ1" s="404"/>
      <c r="RR1" s="404"/>
      <c r="RS1" s="404"/>
      <c r="RT1" s="405"/>
      <c r="RU1" s="432" t="s">
        <v>41</v>
      </c>
      <c r="RV1" s="404"/>
      <c r="RW1" s="404"/>
      <c r="RX1" s="404"/>
      <c r="RY1" s="404"/>
      <c r="RZ1" s="404"/>
      <c r="SA1" s="404"/>
      <c r="SB1" s="405"/>
      <c r="SC1" s="432" t="s">
        <v>41</v>
      </c>
      <c r="SD1" s="404"/>
      <c r="SE1" s="404"/>
      <c r="SF1" s="404"/>
      <c r="SG1" s="404"/>
      <c r="SH1" s="404"/>
      <c r="SI1" s="404"/>
      <c r="SJ1" s="405"/>
      <c r="SK1" s="432" t="s">
        <v>41</v>
      </c>
      <c r="SL1" s="404"/>
      <c r="SM1" s="404"/>
      <c r="SN1" s="404"/>
      <c r="SO1" s="404"/>
      <c r="SP1" s="404"/>
      <c r="SQ1" s="404"/>
      <c r="SR1" s="405"/>
      <c r="SS1" s="432" t="s">
        <v>41</v>
      </c>
      <c r="ST1" s="404"/>
      <c r="SU1" s="404"/>
      <c r="SV1" s="404"/>
      <c r="SW1" s="404"/>
      <c r="SX1" s="404"/>
      <c r="SY1" s="404"/>
      <c r="SZ1" s="405"/>
      <c r="TA1" s="432" t="s">
        <v>41</v>
      </c>
      <c r="TB1" s="404"/>
      <c r="TC1" s="404"/>
      <c r="TD1" s="404"/>
      <c r="TE1" s="404"/>
      <c r="TF1" s="404"/>
      <c r="TG1" s="404"/>
      <c r="TH1" s="405"/>
      <c r="TI1" s="432" t="s">
        <v>41</v>
      </c>
      <c r="TJ1" s="404"/>
      <c r="TK1" s="404"/>
      <c r="TL1" s="404"/>
      <c r="TM1" s="404"/>
      <c r="TN1" s="404"/>
      <c r="TO1" s="404"/>
      <c r="TP1" s="405"/>
      <c r="TQ1" s="432" t="s">
        <v>41</v>
      </c>
      <c r="TR1" s="404"/>
      <c r="TS1" s="404"/>
      <c r="TT1" s="404"/>
      <c r="TU1" s="404"/>
      <c r="TV1" s="404"/>
      <c r="TW1" s="404"/>
      <c r="TX1" s="405"/>
      <c r="TY1" s="432" t="s">
        <v>41</v>
      </c>
      <c r="TZ1" s="404"/>
      <c r="UA1" s="404"/>
      <c r="UB1" s="404"/>
      <c r="UC1" s="404"/>
      <c r="UD1" s="404"/>
      <c r="UE1" s="404"/>
      <c r="UF1" s="405"/>
      <c r="UG1" s="432" t="s">
        <v>41</v>
      </c>
      <c r="UH1" s="404"/>
      <c r="UI1" s="404"/>
      <c r="UJ1" s="404"/>
      <c r="UK1" s="404"/>
      <c r="UL1" s="404"/>
      <c r="UM1" s="404"/>
      <c r="UN1" s="405"/>
      <c r="UO1" s="432" t="s">
        <v>41</v>
      </c>
      <c r="UP1" s="404"/>
      <c r="UQ1" s="404"/>
      <c r="UR1" s="404"/>
      <c r="US1" s="404"/>
      <c r="UT1" s="404"/>
      <c r="UU1" s="404"/>
      <c r="UV1" s="405"/>
      <c r="UW1" s="432" t="s">
        <v>41</v>
      </c>
      <c r="UX1" s="404"/>
      <c r="UY1" s="404"/>
      <c r="UZ1" s="404"/>
      <c r="VA1" s="404"/>
      <c r="VB1" s="404"/>
      <c r="VC1" s="404"/>
      <c r="VD1" s="405"/>
      <c r="VE1" s="432" t="s">
        <v>41</v>
      </c>
      <c r="VF1" s="404"/>
      <c r="VG1" s="404"/>
      <c r="VH1" s="404"/>
      <c r="VI1" s="404"/>
      <c r="VJ1" s="404"/>
      <c r="VK1" s="404"/>
      <c r="VL1" s="405"/>
      <c r="VM1" s="432" t="s">
        <v>41</v>
      </c>
      <c r="VN1" s="404"/>
      <c r="VO1" s="404"/>
      <c r="VP1" s="404"/>
      <c r="VQ1" s="404"/>
      <c r="VR1" s="404"/>
      <c r="VS1" s="404"/>
      <c r="VT1" s="405"/>
      <c r="VU1" s="432" t="s">
        <v>41</v>
      </c>
      <c r="VV1" s="404"/>
      <c r="VW1" s="404"/>
      <c r="VX1" s="404"/>
      <c r="VY1" s="404"/>
      <c r="VZ1" s="404"/>
      <c r="WA1" s="404"/>
      <c r="WB1" s="405"/>
      <c r="WC1" s="432" t="s">
        <v>41</v>
      </c>
      <c r="WD1" s="404"/>
      <c r="WE1" s="404"/>
      <c r="WF1" s="404"/>
      <c r="WG1" s="404"/>
      <c r="WH1" s="404"/>
      <c r="WI1" s="404"/>
      <c r="WJ1" s="405"/>
      <c r="WK1" s="432" t="s">
        <v>41</v>
      </c>
      <c r="WL1" s="404"/>
      <c r="WM1" s="404"/>
      <c r="WN1" s="404"/>
      <c r="WO1" s="404"/>
      <c r="WP1" s="404"/>
      <c r="WQ1" s="404"/>
      <c r="WR1" s="405"/>
      <c r="WS1" s="432" t="s">
        <v>41</v>
      </c>
      <c r="WT1" s="404"/>
      <c r="WU1" s="404"/>
      <c r="WV1" s="404"/>
      <c r="WW1" s="404"/>
      <c r="WX1" s="404"/>
      <c r="WY1" s="404"/>
      <c r="WZ1" s="405"/>
      <c r="XA1" s="432" t="s">
        <v>41</v>
      </c>
      <c r="XB1" s="404"/>
      <c r="XC1" s="404"/>
      <c r="XD1" s="404"/>
      <c r="XE1" s="404"/>
      <c r="XF1" s="404"/>
      <c r="XG1" s="404"/>
      <c r="XH1" s="405"/>
      <c r="XI1" s="432" t="s">
        <v>41</v>
      </c>
      <c r="XJ1" s="404"/>
      <c r="XK1" s="404"/>
      <c r="XL1" s="404"/>
      <c r="XM1" s="404"/>
      <c r="XN1" s="404"/>
      <c r="XO1" s="404"/>
      <c r="XP1" s="405"/>
      <c r="XQ1" s="432" t="s">
        <v>41</v>
      </c>
      <c r="XR1" s="404"/>
      <c r="XS1" s="404"/>
      <c r="XT1" s="404"/>
      <c r="XU1" s="404"/>
      <c r="XV1" s="404"/>
      <c r="XW1" s="404"/>
      <c r="XX1" s="405"/>
      <c r="XY1" s="432" t="s">
        <v>41</v>
      </c>
      <c r="XZ1" s="404"/>
      <c r="YA1" s="404"/>
      <c r="YB1" s="404"/>
      <c r="YC1" s="404"/>
      <c r="YD1" s="404"/>
      <c r="YE1" s="404"/>
      <c r="YF1" s="405"/>
      <c r="YG1" s="432" t="s">
        <v>41</v>
      </c>
      <c r="YH1" s="404"/>
      <c r="YI1" s="404"/>
      <c r="YJ1" s="404"/>
      <c r="YK1" s="404"/>
      <c r="YL1" s="404"/>
      <c r="YM1" s="404"/>
      <c r="YN1" s="405"/>
      <c r="YO1" s="432" t="s">
        <v>41</v>
      </c>
      <c r="YP1" s="404"/>
      <c r="YQ1" s="404"/>
      <c r="YR1" s="404"/>
      <c r="YS1" s="404"/>
      <c r="YT1" s="404"/>
      <c r="YU1" s="404"/>
      <c r="YV1" s="405"/>
      <c r="YW1" s="432" t="s">
        <v>41</v>
      </c>
      <c r="YX1" s="404"/>
      <c r="YY1" s="404"/>
      <c r="YZ1" s="404"/>
      <c r="ZA1" s="404"/>
      <c r="ZB1" s="404"/>
      <c r="ZC1" s="404"/>
      <c r="ZD1" s="405"/>
      <c r="ZE1" s="432" t="s">
        <v>41</v>
      </c>
      <c r="ZF1" s="404"/>
      <c r="ZG1" s="404"/>
      <c r="ZH1" s="404"/>
      <c r="ZI1" s="404"/>
      <c r="ZJ1" s="404"/>
      <c r="ZK1" s="404"/>
      <c r="ZL1" s="405"/>
      <c r="ZM1" s="432" t="s">
        <v>41</v>
      </c>
      <c r="ZN1" s="404"/>
      <c r="ZO1" s="404"/>
      <c r="ZP1" s="404"/>
      <c r="ZQ1" s="404"/>
      <c r="ZR1" s="404"/>
      <c r="ZS1" s="404"/>
      <c r="ZT1" s="405"/>
      <c r="ZU1" s="432" t="s">
        <v>41</v>
      </c>
      <c r="ZV1" s="404"/>
      <c r="ZW1" s="404"/>
      <c r="ZX1" s="404"/>
      <c r="ZY1" s="404"/>
      <c r="ZZ1" s="404"/>
      <c r="AAA1" s="404"/>
      <c r="AAB1" s="405"/>
      <c r="AAC1" s="432" t="s">
        <v>41</v>
      </c>
      <c r="AAD1" s="404"/>
      <c r="AAE1" s="404"/>
      <c r="AAF1" s="404"/>
      <c r="AAG1" s="404"/>
      <c r="AAH1" s="404"/>
      <c r="AAI1" s="404"/>
      <c r="AAJ1" s="405"/>
      <c r="AAK1" s="432" t="s">
        <v>41</v>
      </c>
      <c r="AAL1" s="404"/>
      <c r="AAM1" s="404"/>
      <c r="AAN1" s="404"/>
      <c r="AAO1" s="404"/>
      <c r="AAP1" s="404"/>
      <c r="AAQ1" s="404"/>
      <c r="AAR1" s="405"/>
      <c r="AAS1" s="432" t="s">
        <v>41</v>
      </c>
      <c r="AAT1" s="404"/>
      <c r="AAU1" s="404"/>
      <c r="AAV1" s="404"/>
      <c r="AAW1" s="404"/>
      <c r="AAX1" s="404"/>
      <c r="AAY1" s="404"/>
      <c r="AAZ1" s="405"/>
      <c r="ABA1" s="432" t="s">
        <v>41</v>
      </c>
      <c r="ABB1" s="404"/>
      <c r="ABC1" s="404"/>
      <c r="ABD1" s="404"/>
      <c r="ABE1" s="404"/>
      <c r="ABF1" s="404"/>
      <c r="ABG1" s="404"/>
      <c r="ABH1" s="405"/>
      <c r="ABI1" s="432" t="s">
        <v>41</v>
      </c>
      <c r="ABJ1" s="404"/>
      <c r="ABK1" s="404"/>
      <c r="ABL1" s="404"/>
      <c r="ABM1" s="404"/>
      <c r="ABN1" s="404"/>
      <c r="ABO1" s="404"/>
      <c r="ABP1" s="405"/>
      <c r="ABQ1" s="432" t="s">
        <v>41</v>
      </c>
      <c r="ABR1" s="404"/>
      <c r="ABS1" s="404"/>
      <c r="ABT1" s="404"/>
      <c r="ABU1" s="404"/>
      <c r="ABV1" s="404"/>
      <c r="ABW1" s="404"/>
      <c r="ABX1" s="405"/>
      <c r="ABY1" s="432" t="s">
        <v>41</v>
      </c>
      <c r="ABZ1" s="404"/>
      <c r="ACA1" s="404"/>
      <c r="ACB1" s="404"/>
      <c r="ACC1" s="404"/>
      <c r="ACD1" s="404"/>
      <c r="ACE1" s="404"/>
      <c r="ACF1" s="405"/>
      <c r="ACG1" s="432" t="s">
        <v>41</v>
      </c>
      <c r="ACH1" s="404"/>
      <c r="ACI1" s="404"/>
      <c r="ACJ1" s="404"/>
      <c r="ACK1" s="404"/>
      <c r="ACL1" s="404"/>
      <c r="ACM1" s="404"/>
      <c r="ACN1" s="405"/>
      <c r="ACO1" s="432" t="s">
        <v>41</v>
      </c>
      <c r="ACP1" s="404"/>
      <c r="ACQ1" s="404"/>
      <c r="ACR1" s="404"/>
      <c r="ACS1" s="404"/>
      <c r="ACT1" s="404"/>
      <c r="ACU1" s="404"/>
      <c r="ACV1" s="405"/>
      <c r="ACW1" s="432" t="s">
        <v>41</v>
      </c>
      <c r="ACX1" s="404"/>
      <c r="ACY1" s="404"/>
      <c r="ACZ1" s="404"/>
      <c r="ADA1" s="404"/>
      <c r="ADB1" s="404"/>
      <c r="ADC1" s="404"/>
      <c r="ADD1" s="405"/>
      <c r="ADE1" s="432" t="s">
        <v>41</v>
      </c>
      <c r="ADF1" s="404"/>
      <c r="ADG1" s="404"/>
      <c r="ADH1" s="404"/>
      <c r="ADI1" s="404"/>
      <c r="ADJ1" s="404"/>
      <c r="ADK1" s="404"/>
      <c r="ADL1" s="405"/>
      <c r="ADM1" s="432" t="s">
        <v>41</v>
      </c>
      <c r="ADN1" s="404"/>
      <c r="ADO1" s="404"/>
      <c r="ADP1" s="404"/>
      <c r="ADQ1" s="404"/>
      <c r="ADR1" s="404"/>
      <c r="ADS1" s="404"/>
      <c r="ADT1" s="405"/>
      <c r="ADU1" s="432" t="s">
        <v>41</v>
      </c>
      <c r="ADV1" s="404"/>
      <c r="ADW1" s="404"/>
      <c r="ADX1" s="404"/>
      <c r="ADY1" s="404"/>
      <c r="ADZ1" s="404"/>
      <c r="AEA1" s="404"/>
      <c r="AEB1" s="405"/>
      <c r="AEC1" s="432" t="s">
        <v>41</v>
      </c>
      <c r="AED1" s="404"/>
      <c r="AEE1" s="404"/>
      <c r="AEF1" s="404"/>
      <c r="AEG1" s="404"/>
      <c r="AEH1" s="404"/>
      <c r="AEI1" s="404"/>
      <c r="AEJ1" s="405"/>
      <c r="AEK1" s="432" t="s">
        <v>41</v>
      </c>
      <c r="AEL1" s="404"/>
      <c r="AEM1" s="404"/>
      <c r="AEN1" s="404"/>
      <c r="AEO1" s="404"/>
      <c r="AEP1" s="404"/>
      <c r="AEQ1" s="404"/>
      <c r="AER1" s="405"/>
      <c r="AES1" s="432" t="s">
        <v>41</v>
      </c>
      <c r="AET1" s="404"/>
      <c r="AEU1" s="404"/>
      <c r="AEV1" s="404"/>
      <c r="AEW1" s="404"/>
      <c r="AEX1" s="404"/>
      <c r="AEY1" s="404"/>
      <c r="AEZ1" s="405"/>
      <c r="AFA1" s="432" t="s">
        <v>41</v>
      </c>
      <c r="AFB1" s="404"/>
      <c r="AFC1" s="404"/>
      <c r="AFD1" s="404"/>
      <c r="AFE1" s="404"/>
      <c r="AFF1" s="404"/>
      <c r="AFG1" s="404"/>
      <c r="AFH1" s="405"/>
      <c r="AFI1" s="432" t="s">
        <v>41</v>
      </c>
      <c r="AFJ1" s="404"/>
      <c r="AFK1" s="404"/>
      <c r="AFL1" s="404"/>
      <c r="AFM1" s="404"/>
      <c r="AFN1" s="404"/>
      <c r="AFO1" s="404"/>
      <c r="AFP1" s="405"/>
      <c r="AFQ1" s="432" t="s">
        <v>41</v>
      </c>
      <c r="AFR1" s="404"/>
      <c r="AFS1" s="404"/>
      <c r="AFT1" s="404"/>
      <c r="AFU1" s="404"/>
      <c r="AFV1" s="404"/>
      <c r="AFW1" s="404"/>
      <c r="AFX1" s="405"/>
      <c r="AFY1" s="432" t="s">
        <v>41</v>
      </c>
      <c r="AFZ1" s="404"/>
      <c r="AGA1" s="404"/>
      <c r="AGB1" s="404"/>
      <c r="AGC1" s="404"/>
      <c r="AGD1" s="404"/>
      <c r="AGE1" s="404"/>
      <c r="AGF1" s="405"/>
      <c r="AGG1" s="432" t="s">
        <v>41</v>
      </c>
      <c r="AGH1" s="404"/>
      <c r="AGI1" s="404"/>
      <c r="AGJ1" s="404"/>
      <c r="AGK1" s="404"/>
      <c r="AGL1" s="404"/>
      <c r="AGM1" s="404"/>
      <c r="AGN1" s="405"/>
      <c r="AGO1" s="432" t="s">
        <v>41</v>
      </c>
      <c r="AGP1" s="404"/>
      <c r="AGQ1" s="404"/>
      <c r="AGR1" s="404"/>
      <c r="AGS1" s="404"/>
      <c r="AGT1" s="404"/>
      <c r="AGU1" s="404"/>
      <c r="AGV1" s="405"/>
      <c r="AGW1" s="432" t="s">
        <v>41</v>
      </c>
      <c r="AGX1" s="404"/>
      <c r="AGY1" s="404"/>
      <c r="AGZ1" s="404"/>
      <c r="AHA1" s="404"/>
      <c r="AHB1" s="404"/>
      <c r="AHC1" s="404"/>
      <c r="AHD1" s="405"/>
      <c r="AHE1" s="432" t="s">
        <v>41</v>
      </c>
      <c r="AHF1" s="404"/>
      <c r="AHG1" s="404"/>
      <c r="AHH1" s="404"/>
      <c r="AHI1" s="404"/>
      <c r="AHJ1" s="404"/>
      <c r="AHK1" s="404"/>
      <c r="AHL1" s="405"/>
      <c r="AHM1" s="432" t="s">
        <v>41</v>
      </c>
      <c r="AHN1" s="404"/>
      <c r="AHO1" s="404"/>
      <c r="AHP1" s="404"/>
      <c r="AHQ1" s="404"/>
      <c r="AHR1" s="404"/>
      <c r="AHS1" s="404"/>
      <c r="AHT1" s="405"/>
      <c r="AHU1" s="432" t="s">
        <v>41</v>
      </c>
      <c r="AHV1" s="404"/>
      <c r="AHW1" s="404"/>
      <c r="AHX1" s="404"/>
      <c r="AHY1" s="404"/>
      <c r="AHZ1" s="404"/>
      <c r="AIA1" s="404"/>
      <c r="AIB1" s="405"/>
      <c r="AIC1" s="432" t="s">
        <v>41</v>
      </c>
      <c r="AID1" s="404"/>
      <c r="AIE1" s="404"/>
      <c r="AIF1" s="404"/>
      <c r="AIG1" s="404"/>
      <c r="AIH1" s="404"/>
      <c r="AII1" s="404"/>
      <c r="AIJ1" s="405"/>
      <c r="AIK1" s="432" t="s">
        <v>41</v>
      </c>
      <c r="AIL1" s="404"/>
      <c r="AIM1" s="404"/>
      <c r="AIN1" s="404"/>
      <c r="AIO1" s="404"/>
      <c r="AIP1" s="404"/>
      <c r="AIQ1" s="404"/>
      <c r="AIR1" s="405"/>
      <c r="AIS1" s="432" t="s">
        <v>41</v>
      </c>
      <c r="AIT1" s="404"/>
      <c r="AIU1" s="404"/>
      <c r="AIV1" s="404"/>
      <c r="AIW1" s="404"/>
      <c r="AIX1" s="404"/>
      <c r="AIY1" s="404"/>
      <c r="AIZ1" s="405"/>
      <c r="AJA1" s="432" t="s">
        <v>41</v>
      </c>
      <c r="AJB1" s="404"/>
      <c r="AJC1" s="404"/>
      <c r="AJD1" s="404"/>
      <c r="AJE1" s="404"/>
      <c r="AJF1" s="404"/>
      <c r="AJG1" s="404"/>
      <c r="AJH1" s="405"/>
      <c r="AJI1" s="432" t="s">
        <v>41</v>
      </c>
      <c r="AJJ1" s="404"/>
      <c r="AJK1" s="404"/>
      <c r="AJL1" s="404"/>
      <c r="AJM1" s="404"/>
      <c r="AJN1" s="404"/>
      <c r="AJO1" s="404"/>
      <c r="AJP1" s="405"/>
      <c r="AJQ1" s="432" t="s">
        <v>41</v>
      </c>
      <c r="AJR1" s="404"/>
      <c r="AJS1" s="404"/>
      <c r="AJT1" s="404"/>
      <c r="AJU1" s="404"/>
      <c r="AJV1" s="404"/>
      <c r="AJW1" s="404"/>
      <c r="AJX1" s="405"/>
      <c r="AJY1" s="432" t="s">
        <v>41</v>
      </c>
      <c r="AJZ1" s="404"/>
      <c r="AKA1" s="404"/>
      <c r="AKB1" s="404"/>
      <c r="AKC1" s="404"/>
      <c r="AKD1" s="404"/>
      <c r="AKE1" s="404"/>
      <c r="AKF1" s="405"/>
      <c r="AKG1" s="432" t="s">
        <v>41</v>
      </c>
      <c r="AKH1" s="404"/>
      <c r="AKI1" s="404"/>
      <c r="AKJ1" s="404"/>
      <c r="AKK1" s="404"/>
      <c r="AKL1" s="404"/>
      <c r="AKM1" s="404"/>
      <c r="AKN1" s="405"/>
      <c r="AKO1" s="432" t="s">
        <v>41</v>
      </c>
      <c r="AKP1" s="404"/>
      <c r="AKQ1" s="404"/>
      <c r="AKR1" s="404"/>
      <c r="AKS1" s="404"/>
      <c r="AKT1" s="404"/>
      <c r="AKU1" s="404"/>
      <c r="AKV1" s="405"/>
      <c r="AKW1" s="432" t="s">
        <v>41</v>
      </c>
      <c r="AKX1" s="404"/>
      <c r="AKY1" s="404"/>
      <c r="AKZ1" s="404"/>
      <c r="ALA1" s="404"/>
      <c r="ALB1" s="404"/>
      <c r="ALC1" s="404"/>
      <c r="ALD1" s="405"/>
      <c r="ALE1" s="432" t="s">
        <v>41</v>
      </c>
      <c r="ALF1" s="404"/>
      <c r="ALG1" s="404"/>
      <c r="ALH1" s="404"/>
      <c r="ALI1" s="404"/>
      <c r="ALJ1" s="404"/>
      <c r="ALK1" s="404"/>
      <c r="ALL1" s="405"/>
      <c r="ALM1" s="432" t="s">
        <v>41</v>
      </c>
      <c r="ALN1" s="404"/>
      <c r="ALO1" s="404"/>
      <c r="ALP1" s="404"/>
      <c r="ALQ1" s="404"/>
      <c r="ALR1" s="404"/>
      <c r="ALS1" s="404"/>
      <c r="ALT1" s="405"/>
      <c r="ALU1" s="432" t="s">
        <v>41</v>
      </c>
      <c r="ALV1" s="404"/>
      <c r="ALW1" s="404"/>
      <c r="ALX1" s="404"/>
      <c r="ALY1" s="404"/>
      <c r="ALZ1" s="404"/>
      <c r="AMA1" s="404"/>
      <c r="AMB1" s="405"/>
      <c r="AMC1" s="432" t="s">
        <v>41</v>
      </c>
      <c r="AMD1" s="404"/>
      <c r="AME1" s="404"/>
      <c r="AMF1" s="404"/>
      <c r="AMG1" s="404"/>
      <c r="AMH1" s="404"/>
      <c r="AMI1" s="404"/>
      <c r="AMJ1" s="405"/>
      <c r="AMK1" s="432" t="s">
        <v>41</v>
      </c>
      <c r="AML1" s="404"/>
      <c r="AMM1" s="404"/>
      <c r="AMN1" s="404"/>
      <c r="AMO1" s="404"/>
      <c r="AMP1" s="404"/>
      <c r="AMQ1" s="404"/>
      <c r="AMR1" s="405"/>
      <c r="AMS1" s="432" t="s">
        <v>41</v>
      </c>
      <c r="AMT1" s="404"/>
      <c r="AMU1" s="404"/>
      <c r="AMV1" s="404"/>
      <c r="AMW1" s="404"/>
      <c r="AMX1" s="404"/>
      <c r="AMY1" s="404"/>
      <c r="AMZ1" s="405"/>
      <c r="ANA1" s="432" t="s">
        <v>41</v>
      </c>
      <c r="ANB1" s="404"/>
      <c r="ANC1" s="404"/>
      <c r="AND1" s="404"/>
      <c r="ANE1" s="404"/>
      <c r="ANF1" s="404"/>
      <c r="ANG1" s="404"/>
      <c r="ANH1" s="405"/>
      <c r="ANI1" s="432" t="s">
        <v>41</v>
      </c>
      <c r="ANJ1" s="404"/>
      <c r="ANK1" s="404"/>
      <c r="ANL1" s="404"/>
      <c r="ANM1" s="404"/>
      <c r="ANN1" s="404"/>
      <c r="ANO1" s="404"/>
      <c r="ANP1" s="405"/>
      <c r="ANQ1" s="432" t="s">
        <v>41</v>
      </c>
      <c r="ANR1" s="404"/>
      <c r="ANS1" s="404"/>
      <c r="ANT1" s="404"/>
      <c r="ANU1" s="404"/>
      <c r="ANV1" s="404"/>
      <c r="ANW1" s="404"/>
      <c r="ANX1" s="405"/>
      <c r="ANY1" s="432" t="s">
        <v>41</v>
      </c>
      <c r="ANZ1" s="404"/>
      <c r="AOA1" s="404"/>
      <c r="AOB1" s="404"/>
      <c r="AOC1" s="404"/>
      <c r="AOD1" s="404"/>
      <c r="AOE1" s="404"/>
      <c r="AOF1" s="405"/>
      <c r="AOG1" s="432" t="s">
        <v>41</v>
      </c>
      <c r="AOH1" s="404"/>
      <c r="AOI1" s="404"/>
      <c r="AOJ1" s="404"/>
      <c r="AOK1" s="404"/>
      <c r="AOL1" s="404"/>
      <c r="AOM1" s="404"/>
      <c r="AON1" s="405"/>
      <c r="AOO1" s="432" t="s">
        <v>41</v>
      </c>
      <c r="AOP1" s="404"/>
      <c r="AOQ1" s="404"/>
      <c r="AOR1" s="404"/>
      <c r="AOS1" s="404"/>
      <c r="AOT1" s="404"/>
      <c r="AOU1" s="404"/>
      <c r="AOV1" s="405"/>
      <c r="AOW1" s="432" t="s">
        <v>41</v>
      </c>
      <c r="AOX1" s="404"/>
      <c r="AOY1" s="404"/>
      <c r="AOZ1" s="404"/>
      <c r="APA1" s="404"/>
      <c r="APB1" s="404"/>
      <c r="APC1" s="404"/>
      <c r="APD1" s="405"/>
      <c r="APE1" s="432" t="s">
        <v>41</v>
      </c>
      <c r="APF1" s="404"/>
      <c r="APG1" s="404"/>
      <c r="APH1" s="404"/>
      <c r="API1" s="404"/>
      <c r="APJ1" s="404"/>
      <c r="APK1" s="404"/>
      <c r="APL1" s="405"/>
      <c r="APM1" s="432" t="s">
        <v>41</v>
      </c>
      <c r="APN1" s="404"/>
      <c r="APO1" s="404"/>
      <c r="APP1" s="404"/>
      <c r="APQ1" s="404"/>
      <c r="APR1" s="404"/>
      <c r="APS1" s="404"/>
      <c r="APT1" s="405"/>
      <c r="APU1" s="432" t="s">
        <v>41</v>
      </c>
      <c r="APV1" s="404"/>
      <c r="APW1" s="404"/>
      <c r="APX1" s="404"/>
      <c r="APY1" s="404"/>
      <c r="APZ1" s="404"/>
      <c r="AQA1" s="404"/>
      <c r="AQB1" s="405"/>
      <c r="AQC1" s="432" t="s">
        <v>41</v>
      </c>
      <c r="AQD1" s="404"/>
      <c r="AQE1" s="404"/>
      <c r="AQF1" s="404"/>
      <c r="AQG1" s="404"/>
      <c r="AQH1" s="404"/>
      <c r="AQI1" s="404"/>
      <c r="AQJ1" s="405"/>
      <c r="AQK1" s="432" t="s">
        <v>41</v>
      </c>
      <c r="AQL1" s="404"/>
      <c r="AQM1" s="404"/>
      <c r="AQN1" s="404"/>
      <c r="AQO1" s="404"/>
      <c r="AQP1" s="404"/>
      <c r="AQQ1" s="404"/>
      <c r="AQR1" s="405"/>
      <c r="AQS1" s="432" t="s">
        <v>41</v>
      </c>
      <c r="AQT1" s="404"/>
      <c r="AQU1" s="404"/>
      <c r="AQV1" s="404"/>
      <c r="AQW1" s="404"/>
      <c r="AQX1" s="404"/>
      <c r="AQY1" s="404"/>
      <c r="AQZ1" s="405"/>
      <c r="ARA1" s="432" t="s">
        <v>41</v>
      </c>
      <c r="ARB1" s="404"/>
      <c r="ARC1" s="404"/>
      <c r="ARD1" s="404"/>
      <c r="ARE1" s="404"/>
      <c r="ARF1" s="404"/>
      <c r="ARG1" s="404"/>
      <c r="ARH1" s="405"/>
      <c r="ARI1" s="432" t="s">
        <v>41</v>
      </c>
      <c r="ARJ1" s="404"/>
      <c r="ARK1" s="404"/>
      <c r="ARL1" s="404"/>
      <c r="ARM1" s="404"/>
      <c r="ARN1" s="404"/>
      <c r="ARO1" s="404"/>
      <c r="ARP1" s="405"/>
      <c r="ARQ1" s="432" t="s">
        <v>41</v>
      </c>
      <c r="ARR1" s="404"/>
      <c r="ARS1" s="404"/>
      <c r="ART1" s="404"/>
      <c r="ARU1" s="404"/>
      <c r="ARV1" s="404"/>
      <c r="ARW1" s="404"/>
      <c r="ARX1" s="405"/>
      <c r="ARY1" s="432" t="s">
        <v>41</v>
      </c>
      <c r="ARZ1" s="404"/>
      <c r="ASA1" s="404"/>
      <c r="ASB1" s="404"/>
      <c r="ASC1" s="404"/>
      <c r="ASD1" s="404"/>
      <c r="ASE1" s="404"/>
      <c r="ASF1" s="405"/>
      <c r="ASG1" s="432" t="s">
        <v>41</v>
      </c>
      <c r="ASH1" s="404"/>
      <c r="ASI1" s="404"/>
      <c r="ASJ1" s="404"/>
      <c r="ASK1" s="404"/>
      <c r="ASL1" s="404"/>
      <c r="ASM1" s="404"/>
      <c r="ASN1" s="405"/>
      <c r="ASO1" s="432" t="s">
        <v>41</v>
      </c>
      <c r="ASP1" s="404"/>
      <c r="ASQ1" s="404"/>
      <c r="ASR1" s="404"/>
      <c r="ASS1" s="404"/>
      <c r="AST1" s="404"/>
      <c r="ASU1" s="404"/>
      <c r="ASV1" s="405"/>
      <c r="ASW1" s="432" t="s">
        <v>41</v>
      </c>
      <c r="ASX1" s="404"/>
      <c r="ASY1" s="404"/>
      <c r="ASZ1" s="404"/>
      <c r="ATA1" s="404"/>
      <c r="ATB1" s="404"/>
      <c r="ATC1" s="404"/>
      <c r="ATD1" s="405"/>
      <c r="ATE1" s="432" t="s">
        <v>41</v>
      </c>
      <c r="ATF1" s="404"/>
      <c r="ATG1" s="404"/>
      <c r="ATH1" s="404"/>
      <c r="ATI1" s="404"/>
      <c r="ATJ1" s="404"/>
      <c r="ATK1" s="404"/>
      <c r="ATL1" s="405"/>
      <c r="ATM1" s="432" t="s">
        <v>41</v>
      </c>
      <c r="ATN1" s="404"/>
      <c r="ATO1" s="404"/>
      <c r="ATP1" s="404"/>
      <c r="ATQ1" s="404"/>
      <c r="ATR1" s="404"/>
      <c r="ATS1" s="404"/>
      <c r="ATT1" s="405"/>
      <c r="ATU1" s="432" t="s">
        <v>41</v>
      </c>
      <c r="ATV1" s="404"/>
      <c r="ATW1" s="404"/>
      <c r="ATX1" s="404"/>
      <c r="ATY1" s="404"/>
      <c r="ATZ1" s="404"/>
      <c r="AUA1" s="404"/>
      <c r="AUB1" s="405"/>
      <c r="AUC1" s="432" t="s">
        <v>41</v>
      </c>
      <c r="AUD1" s="404"/>
      <c r="AUE1" s="404"/>
      <c r="AUF1" s="404"/>
      <c r="AUG1" s="404"/>
      <c r="AUH1" s="404"/>
      <c r="AUI1" s="404"/>
      <c r="AUJ1" s="405"/>
      <c r="AUK1" s="432" t="s">
        <v>41</v>
      </c>
      <c r="AUL1" s="404"/>
      <c r="AUM1" s="404"/>
      <c r="AUN1" s="404"/>
      <c r="AUO1" s="404"/>
      <c r="AUP1" s="404"/>
      <c r="AUQ1" s="404"/>
      <c r="AUR1" s="405"/>
      <c r="AUS1" s="432" t="s">
        <v>41</v>
      </c>
      <c r="AUT1" s="404"/>
      <c r="AUU1" s="404"/>
      <c r="AUV1" s="404"/>
      <c r="AUW1" s="404"/>
      <c r="AUX1" s="404"/>
      <c r="AUY1" s="404"/>
      <c r="AUZ1" s="405"/>
      <c r="AVA1" s="432" t="s">
        <v>41</v>
      </c>
      <c r="AVB1" s="404"/>
      <c r="AVC1" s="404"/>
      <c r="AVD1" s="404"/>
      <c r="AVE1" s="404"/>
      <c r="AVF1" s="404"/>
      <c r="AVG1" s="404"/>
      <c r="AVH1" s="405"/>
      <c r="AVI1" s="432" t="s">
        <v>41</v>
      </c>
      <c r="AVJ1" s="404"/>
      <c r="AVK1" s="404"/>
      <c r="AVL1" s="404"/>
      <c r="AVM1" s="404"/>
      <c r="AVN1" s="404"/>
      <c r="AVO1" s="404"/>
      <c r="AVP1" s="405"/>
      <c r="AVQ1" s="432" t="s">
        <v>41</v>
      </c>
      <c r="AVR1" s="404"/>
      <c r="AVS1" s="404"/>
      <c r="AVT1" s="404"/>
      <c r="AVU1" s="404"/>
      <c r="AVV1" s="404"/>
      <c r="AVW1" s="404"/>
      <c r="AVX1" s="405"/>
      <c r="AVY1" s="432" t="s">
        <v>41</v>
      </c>
      <c r="AVZ1" s="404"/>
      <c r="AWA1" s="404"/>
      <c r="AWB1" s="404"/>
      <c r="AWC1" s="404"/>
      <c r="AWD1" s="404"/>
      <c r="AWE1" s="404"/>
      <c r="AWF1" s="405"/>
      <c r="AWG1" s="432" t="s">
        <v>41</v>
      </c>
      <c r="AWH1" s="404"/>
      <c r="AWI1" s="404"/>
      <c r="AWJ1" s="404"/>
      <c r="AWK1" s="404"/>
      <c r="AWL1" s="404"/>
      <c r="AWM1" s="404"/>
      <c r="AWN1" s="405"/>
      <c r="AWO1" s="432" t="s">
        <v>41</v>
      </c>
      <c r="AWP1" s="404"/>
      <c r="AWQ1" s="404"/>
      <c r="AWR1" s="404"/>
      <c r="AWS1" s="404"/>
      <c r="AWT1" s="404"/>
      <c r="AWU1" s="404"/>
      <c r="AWV1" s="405"/>
      <c r="AWW1" s="432" t="s">
        <v>41</v>
      </c>
      <c r="AWX1" s="404"/>
      <c r="AWY1" s="404"/>
      <c r="AWZ1" s="404"/>
      <c r="AXA1" s="404"/>
      <c r="AXB1" s="404"/>
      <c r="AXC1" s="404"/>
      <c r="AXD1" s="405"/>
      <c r="AXE1" s="432" t="s">
        <v>41</v>
      </c>
      <c r="AXF1" s="404"/>
      <c r="AXG1" s="404"/>
      <c r="AXH1" s="404"/>
      <c r="AXI1" s="404"/>
      <c r="AXJ1" s="404"/>
      <c r="AXK1" s="404"/>
      <c r="AXL1" s="405"/>
      <c r="AXM1" s="432" t="s">
        <v>41</v>
      </c>
      <c r="AXN1" s="404"/>
      <c r="AXO1" s="404"/>
      <c r="AXP1" s="404"/>
      <c r="AXQ1" s="404"/>
      <c r="AXR1" s="404"/>
      <c r="AXS1" s="404"/>
      <c r="AXT1" s="405"/>
      <c r="AXU1" s="432" t="s">
        <v>41</v>
      </c>
      <c r="AXV1" s="404"/>
      <c r="AXW1" s="404"/>
      <c r="AXX1" s="404"/>
      <c r="AXY1" s="404"/>
      <c r="AXZ1" s="404"/>
      <c r="AYA1" s="404"/>
      <c r="AYB1" s="405"/>
      <c r="AYC1" s="432" t="s">
        <v>41</v>
      </c>
      <c r="AYD1" s="404"/>
      <c r="AYE1" s="404"/>
      <c r="AYF1" s="404"/>
      <c r="AYG1" s="404"/>
      <c r="AYH1" s="404"/>
      <c r="AYI1" s="404"/>
      <c r="AYJ1" s="405"/>
      <c r="AYK1" s="432" t="s">
        <v>41</v>
      </c>
      <c r="AYL1" s="404"/>
      <c r="AYM1" s="404"/>
      <c r="AYN1" s="404"/>
      <c r="AYO1" s="404"/>
      <c r="AYP1" s="404"/>
      <c r="AYQ1" s="404"/>
      <c r="AYR1" s="405"/>
      <c r="AYS1" s="432" t="s">
        <v>41</v>
      </c>
      <c r="AYT1" s="404"/>
      <c r="AYU1" s="404"/>
      <c r="AYV1" s="404"/>
      <c r="AYW1" s="404"/>
      <c r="AYX1" s="404"/>
      <c r="AYY1" s="404"/>
      <c r="AYZ1" s="405"/>
      <c r="AZA1" s="432" t="s">
        <v>41</v>
      </c>
      <c r="AZB1" s="404"/>
      <c r="AZC1" s="404"/>
      <c r="AZD1" s="404"/>
      <c r="AZE1" s="404"/>
      <c r="AZF1" s="404"/>
      <c r="AZG1" s="404"/>
      <c r="AZH1" s="405"/>
      <c r="AZI1" s="432" t="s">
        <v>41</v>
      </c>
      <c r="AZJ1" s="404"/>
      <c r="AZK1" s="404"/>
      <c r="AZL1" s="404"/>
      <c r="AZM1" s="404"/>
      <c r="AZN1" s="404"/>
      <c r="AZO1" s="404"/>
      <c r="AZP1" s="405"/>
      <c r="AZQ1" s="432" t="s">
        <v>41</v>
      </c>
      <c r="AZR1" s="404"/>
      <c r="AZS1" s="404"/>
      <c r="AZT1" s="404"/>
      <c r="AZU1" s="404"/>
      <c r="AZV1" s="404"/>
      <c r="AZW1" s="404"/>
      <c r="AZX1" s="405"/>
      <c r="AZY1" s="432" t="s">
        <v>41</v>
      </c>
      <c r="AZZ1" s="404"/>
      <c r="BAA1" s="404"/>
      <c r="BAB1" s="404"/>
      <c r="BAC1" s="404"/>
      <c r="BAD1" s="404"/>
      <c r="BAE1" s="404"/>
      <c r="BAF1" s="405"/>
      <c r="BAG1" s="432" t="s">
        <v>41</v>
      </c>
      <c r="BAH1" s="404"/>
      <c r="BAI1" s="404"/>
      <c r="BAJ1" s="404"/>
      <c r="BAK1" s="404"/>
      <c r="BAL1" s="404"/>
      <c r="BAM1" s="404"/>
      <c r="BAN1" s="405"/>
      <c r="BAO1" s="432" t="s">
        <v>41</v>
      </c>
      <c r="BAP1" s="404"/>
      <c r="BAQ1" s="404"/>
      <c r="BAR1" s="404"/>
      <c r="BAS1" s="404"/>
      <c r="BAT1" s="404"/>
      <c r="BAU1" s="404"/>
      <c r="BAV1" s="405"/>
      <c r="BAW1" s="432" t="s">
        <v>41</v>
      </c>
      <c r="BAX1" s="404"/>
      <c r="BAY1" s="404"/>
      <c r="BAZ1" s="404"/>
      <c r="BBA1" s="404"/>
      <c r="BBB1" s="404"/>
      <c r="BBC1" s="404"/>
      <c r="BBD1" s="405"/>
      <c r="BBE1" s="432" t="s">
        <v>41</v>
      </c>
      <c r="BBF1" s="404"/>
      <c r="BBG1" s="404"/>
      <c r="BBH1" s="404"/>
      <c r="BBI1" s="404"/>
      <c r="BBJ1" s="404"/>
      <c r="BBK1" s="404"/>
      <c r="BBL1" s="405"/>
      <c r="BBM1" s="432" t="s">
        <v>41</v>
      </c>
      <c r="BBN1" s="404"/>
      <c r="BBO1" s="404"/>
      <c r="BBP1" s="404"/>
      <c r="BBQ1" s="404"/>
      <c r="BBR1" s="404"/>
      <c r="BBS1" s="404"/>
      <c r="BBT1" s="405"/>
      <c r="BBU1" s="432" t="s">
        <v>41</v>
      </c>
      <c r="BBV1" s="404"/>
      <c r="BBW1" s="404"/>
      <c r="BBX1" s="404"/>
      <c r="BBY1" s="404"/>
      <c r="BBZ1" s="404"/>
      <c r="BCA1" s="404"/>
      <c r="BCB1" s="405"/>
      <c r="BCC1" s="432" t="s">
        <v>41</v>
      </c>
      <c r="BCD1" s="404"/>
      <c r="BCE1" s="404"/>
      <c r="BCF1" s="404"/>
      <c r="BCG1" s="404"/>
      <c r="BCH1" s="404"/>
      <c r="BCI1" s="404"/>
      <c r="BCJ1" s="405"/>
      <c r="BCK1" s="432" t="s">
        <v>41</v>
      </c>
      <c r="BCL1" s="404"/>
      <c r="BCM1" s="404"/>
      <c r="BCN1" s="404"/>
      <c r="BCO1" s="404"/>
      <c r="BCP1" s="404"/>
      <c r="BCQ1" s="404"/>
      <c r="BCR1" s="405"/>
      <c r="BCS1" s="432" t="s">
        <v>41</v>
      </c>
      <c r="BCT1" s="404"/>
      <c r="BCU1" s="404"/>
      <c r="BCV1" s="404"/>
      <c r="BCW1" s="404"/>
      <c r="BCX1" s="404"/>
      <c r="BCY1" s="404"/>
      <c r="BCZ1" s="405"/>
      <c r="BDA1" s="432" t="s">
        <v>41</v>
      </c>
      <c r="BDB1" s="404"/>
      <c r="BDC1" s="404"/>
      <c r="BDD1" s="404"/>
      <c r="BDE1" s="404"/>
      <c r="BDF1" s="404"/>
      <c r="BDG1" s="404"/>
      <c r="BDH1" s="405"/>
      <c r="BDI1" s="432" t="s">
        <v>41</v>
      </c>
      <c r="BDJ1" s="404"/>
      <c r="BDK1" s="404"/>
      <c r="BDL1" s="404"/>
      <c r="BDM1" s="404"/>
      <c r="BDN1" s="404"/>
      <c r="BDO1" s="404"/>
      <c r="BDP1" s="405"/>
      <c r="BDQ1" s="432" t="s">
        <v>41</v>
      </c>
      <c r="BDR1" s="404"/>
      <c r="BDS1" s="404"/>
      <c r="BDT1" s="404"/>
      <c r="BDU1" s="404"/>
      <c r="BDV1" s="404"/>
      <c r="BDW1" s="404"/>
      <c r="BDX1" s="405"/>
      <c r="BDY1" s="432" t="s">
        <v>41</v>
      </c>
      <c r="BDZ1" s="404"/>
      <c r="BEA1" s="404"/>
      <c r="BEB1" s="404"/>
      <c r="BEC1" s="404"/>
      <c r="BED1" s="404"/>
      <c r="BEE1" s="404"/>
      <c r="BEF1" s="405"/>
      <c r="BEG1" s="432" t="s">
        <v>41</v>
      </c>
      <c r="BEH1" s="404"/>
      <c r="BEI1" s="404"/>
      <c r="BEJ1" s="404"/>
      <c r="BEK1" s="404"/>
      <c r="BEL1" s="404"/>
      <c r="BEM1" s="404"/>
      <c r="BEN1" s="405"/>
      <c r="BEO1" s="432" t="s">
        <v>41</v>
      </c>
      <c r="BEP1" s="404"/>
      <c r="BEQ1" s="404"/>
      <c r="BER1" s="404"/>
      <c r="BES1" s="404"/>
      <c r="BET1" s="404"/>
      <c r="BEU1" s="404"/>
      <c r="BEV1" s="405"/>
      <c r="BEW1" s="432" t="s">
        <v>41</v>
      </c>
      <c r="BEX1" s="404"/>
      <c r="BEY1" s="404"/>
      <c r="BEZ1" s="404"/>
      <c r="BFA1" s="404"/>
      <c r="BFB1" s="404"/>
      <c r="BFC1" s="404"/>
      <c r="BFD1" s="405"/>
      <c r="BFE1" s="432" t="s">
        <v>41</v>
      </c>
      <c r="BFF1" s="404"/>
      <c r="BFG1" s="404"/>
      <c r="BFH1" s="404"/>
      <c r="BFI1" s="404"/>
      <c r="BFJ1" s="404"/>
      <c r="BFK1" s="404"/>
      <c r="BFL1" s="405"/>
      <c r="BFM1" s="432" t="s">
        <v>41</v>
      </c>
      <c r="BFN1" s="404"/>
      <c r="BFO1" s="404"/>
      <c r="BFP1" s="404"/>
      <c r="BFQ1" s="404"/>
      <c r="BFR1" s="404"/>
      <c r="BFS1" s="404"/>
      <c r="BFT1" s="405"/>
      <c r="BFU1" s="432" t="s">
        <v>41</v>
      </c>
      <c r="BFV1" s="404"/>
      <c r="BFW1" s="404"/>
      <c r="BFX1" s="404"/>
      <c r="BFY1" s="404"/>
      <c r="BFZ1" s="404"/>
      <c r="BGA1" s="404"/>
      <c r="BGB1" s="405"/>
      <c r="BGC1" s="432" t="s">
        <v>41</v>
      </c>
      <c r="BGD1" s="404"/>
      <c r="BGE1" s="404"/>
      <c r="BGF1" s="404"/>
      <c r="BGG1" s="404"/>
      <c r="BGH1" s="404"/>
      <c r="BGI1" s="404"/>
      <c r="BGJ1" s="405"/>
      <c r="BGK1" s="432" t="s">
        <v>41</v>
      </c>
      <c r="BGL1" s="404"/>
      <c r="BGM1" s="404"/>
      <c r="BGN1" s="404"/>
      <c r="BGO1" s="404"/>
      <c r="BGP1" s="404"/>
      <c r="BGQ1" s="404"/>
      <c r="BGR1" s="405"/>
      <c r="BGS1" s="432" t="s">
        <v>41</v>
      </c>
      <c r="BGT1" s="404"/>
      <c r="BGU1" s="404"/>
      <c r="BGV1" s="404"/>
      <c r="BGW1" s="404"/>
      <c r="BGX1" s="404"/>
      <c r="BGY1" s="404"/>
      <c r="BGZ1" s="405"/>
      <c r="BHA1" s="432" t="s">
        <v>41</v>
      </c>
      <c r="BHB1" s="404"/>
      <c r="BHC1" s="404"/>
      <c r="BHD1" s="404"/>
      <c r="BHE1" s="404"/>
      <c r="BHF1" s="404"/>
      <c r="BHG1" s="404"/>
      <c r="BHH1" s="405"/>
      <c r="BHI1" s="432" t="s">
        <v>41</v>
      </c>
      <c r="BHJ1" s="404"/>
      <c r="BHK1" s="404"/>
      <c r="BHL1" s="404"/>
      <c r="BHM1" s="404"/>
      <c r="BHN1" s="404"/>
      <c r="BHO1" s="404"/>
      <c r="BHP1" s="405"/>
      <c r="BHQ1" s="432" t="s">
        <v>41</v>
      </c>
      <c r="BHR1" s="404"/>
      <c r="BHS1" s="404"/>
      <c r="BHT1" s="404"/>
      <c r="BHU1" s="404"/>
      <c r="BHV1" s="404"/>
      <c r="BHW1" s="404"/>
      <c r="BHX1" s="405"/>
      <c r="BHY1" s="432" t="s">
        <v>41</v>
      </c>
      <c r="BHZ1" s="404"/>
      <c r="BIA1" s="404"/>
      <c r="BIB1" s="404"/>
      <c r="BIC1" s="404"/>
      <c r="BID1" s="404"/>
      <c r="BIE1" s="404"/>
      <c r="BIF1" s="405"/>
      <c r="BIG1" s="432" t="s">
        <v>41</v>
      </c>
      <c r="BIH1" s="404"/>
      <c r="BII1" s="404"/>
      <c r="BIJ1" s="404"/>
      <c r="BIK1" s="404"/>
      <c r="BIL1" s="404"/>
      <c r="BIM1" s="404"/>
      <c r="BIN1" s="405"/>
      <c r="BIO1" s="432" t="s">
        <v>41</v>
      </c>
      <c r="BIP1" s="404"/>
      <c r="BIQ1" s="404"/>
      <c r="BIR1" s="404"/>
      <c r="BIS1" s="404"/>
      <c r="BIT1" s="404"/>
      <c r="BIU1" s="404"/>
      <c r="BIV1" s="405"/>
      <c r="BIW1" s="432" t="s">
        <v>41</v>
      </c>
      <c r="BIX1" s="404"/>
      <c r="BIY1" s="404"/>
      <c r="BIZ1" s="404"/>
      <c r="BJA1" s="404"/>
      <c r="BJB1" s="404"/>
      <c r="BJC1" s="404"/>
      <c r="BJD1" s="405"/>
      <c r="BJE1" s="432" t="s">
        <v>41</v>
      </c>
      <c r="BJF1" s="404"/>
      <c r="BJG1" s="404"/>
      <c r="BJH1" s="404"/>
      <c r="BJI1" s="404"/>
      <c r="BJJ1" s="404"/>
      <c r="BJK1" s="404"/>
      <c r="BJL1" s="405"/>
      <c r="BJM1" s="432" t="s">
        <v>41</v>
      </c>
      <c r="BJN1" s="404"/>
      <c r="BJO1" s="404"/>
      <c r="BJP1" s="404"/>
      <c r="BJQ1" s="404"/>
      <c r="BJR1" s="404"/>
      <c r="BJS1" s="404"/>
      <c r="BJT1" s="405"/>
      <c r="BJU1" s="432" t="s">
        <v>41</v>
      </c>
      <c r="BJV1" s="404"/>
      <c r="BJW1" s="404"/>
      <c r="BJX1" s="404"/>
      <c r="BJY1" s="404"/>
      <c r="BJZ1" s="404"/>
      <c r="BKA1" s="404"/>
      <c r="BKB1" s="405"/>
      <c r="BKC1" s="432" t="s">
        <v>41</v>
      </c>
      <c r="BKD1" s="404"/>
      <c r="BKE1" s="404"/>
      <c r="BKF1" s="404"/>
      <c r="BKG1" s="404"/>
      <c r="BKH1" s="404"/>
      <c r="BKI1" s="404"/>
      <c r="BKJ1" s="405"/>
      <c r="BKK1" s="432" t="s">
        <v>41</v>
      </c>
      <c r="BKL1" s="404"/>
      <c r="BKM1" s="404"/>
      <c r="BKN1" s="404"/>
      <c r="BKO1" s="404"/>
      <c r="BKP1" s="404"/>
      <c r="BKQ1" s="404"/>
      <c r="BKR1" s="405"/>
      <c r="BKS1" s="432" t="s">
        <v>41</v>
      </c>
      <c r="BKT1" s="404"/>
      <c r="BKU1" s="404"/>
      <c r="BKV1" s="404"/>
      <c r="BKW1" s="404"/>
      <c r="BKX1" s="404"/>
      <c r="BKY1" s="404"/>
      <c r="BKZ1" s="405"/>
      <c r="BLA1" s="432" t="s">
        <v>41</v>
      </c>
      <c r="BLB1" s="404"/>
      <c r="BLC1" s="404"/>
      <c r="BLD1" s="404"/>
      <c r="BLE1" s="404"/>
      <c r="BLF1" s="404"/>
      <c r="BLG1" s="404"/>
      <c r="BLH1" s="405"/>
      <c r="BLI1" s="432" t="s">
        <v>41</v>
      </c>
      <c r="BLJ1" s="404"/>
      <c r="BLK1" s="404"/>
      <c r="BLL1" s="404"/>
      <c r="BLM1" s="404"/>
      <c r="BLN1" s="404"/>
      <c r="BLO1" s="404"/>
      <c r="BLP1" s="405"/>
      <c r="BLQ1" s="432" t="s">
        <v>41</v>
      </c>
      <c r="BLR1" s="404"/>
      <c r="BLS1" s="404"/>
      <c r="BLT1" s="404"/>
      <c r="BLU1" s="404"/>
      <c r="BLV1" s="404"/>
      <c r="BLW1" s="404"/>
      <c r="BLX1" s="405"/>
      <c r="BLY1" s="432" t="s">
        <v>41</v>
      </c>
      <c r="BLZ1" s="404"/>
      <c r="BMA1" s="404"/>
      <c r="BMB1" s="404"/>
      <c r="BMC1" s="404"/>
      <c r="BMD1" s="404"/>
      <c r="BME1" s="404"/>
      <c r="BMF1" s="405"/>
      <c r="BMG1" s="432" t="s">
        <v>41</v>
      </c>
      <c r="BMH1" s="404"/>
      <c r="BMI1" s="404"/>
      <c r="BMJ1" s="404"/>
      <c r="BMK1" s="404"/>
      <c r="BML1" s="404"/>
      <c r="BMM1" s="404"/>
      <c r="BMN1" s="405"/>
      <c r="BMO1" s="432" t="s">
        <v>41</v>
      </c>
      <c r="BMP1" s="404"/>
      <c r="BMQ1" s="404"/>
      <c r="BMR1" s="404"/>
      <c r="BMS1" s="404"/>
      <c r="BMT1" s="404"/>
      <c r="BMU1" s="404"/>
      <c r="BMV1" s="405"/>
      <c r="BMW1" s="432" t="s">
        <v>41</v>
      </c>
      <c r="BMX1" s="404"/>
      <c r="BMY1" s="404"/>
      <c r="BMZ1" s="404"/>
      <c r="BNA1" s="404"/>
      <c r="BNB1" s="404"/>
      <c r="BNC1" s="404"/>
      <c r="BND1" s="405"/>
      <c r="BNE1" s="432" t="s">
        <v>41</v>
      </c>
      <c r="BNF1" s="404"/>
      <c r="BNG1" s="404"/>
      <c r="BNH1" s="404"/>
      <c r="BNI1" s="404"/>
      <c r="BNJ1" s="404"/>
      <c r="BNK1" s="404"/>
      <c r="BNL1" s="405"/>
      <c r="BNM1" s="432" t="s">
        <v>41</v>
      </c>
      <c r="BNN1" s="404"/>
      <c r="BNO1" s="404"/>
      <c r="BNP1" s="404"/>
      <c r="BNQ1" s="404"/>
      <c r="BNR1" s="404"/>
      <c r="BNS1" s="404"/>
      <c r="BNT1" s="405"/>
      <c r="BNU1" s="432" t="s">
        <v>41</v>
      </c>
      <c r="BNV1" s="404"/>
      <c r="BNW1" s="404"/>
      <c r="BNX1" s="404"/>
      <c r="BNY1" s="404"/>
      <c r="BNZ1" s="404"/>
      <c r="BOA1" s="404"/>
      <c r="BOB1" s="405"/>
      <c r="BOC1" s="432" t="s">
        <v>41</v>
      </c>
      <c r="BOD1" s="404"/>
      <c r="BOE1" s="404"/>
      <c r="BOF1" s="404"/>
      <c r="BOG1" s="404"/>
      <c r="BOH1" s="404"/>
      <c r="BOI1" s="404"/>
      <c r="BOJ1" s="405"/>
      <c r="BOK1" s="432" t="s">
        <v>41</v>
      </c>
      <c r="BOL1" s="404"/>
      <c r="BOM1" s="404"/>
      <c r="BON1" s="404"/>
      <c r="BOO1" s="404"/>
      <c r="BOP1" s="404"/>
      <c r="BOQ1" s="404"/>
      <c r="BOR1" s="405"/>
      <c r="BOS1" s="432" t="s">
        <v>41</v>
      </c>
      <c r="BOT1" s="404"/>
      <c r="BOU1" s="404"/>
      <c r="BOV1" s="404"/>
      <c r="BOW1" s="404"/>
      <c r="BOX1" s="404"/>
      <c r="BOY1" s="404"/>
      <c r="BOZ1" s="405"/>
      <c r="BPA1" s="432" t="s">
        <v>41</v>
      </c>
      <c r="BPB1" s="404"/>
      <c r="BPC1" s="404"/>
      <c r="BPD1" s="404"/>
      <c r="BPE1" s="404"/>
      <c r="BPF1" s="404"/>
      <c r="BPG1" s="404"/>
      <c r="BPH1" s="405"/>
      <c r="BPI1" s="432" t="s">
        <v>41</v>
      </c>
      <c r="BPJ1" s="404"/>
      <c r="BPK1" s="404"/>
      <c r="BPL1" s="404"/>
      <c r="BPM1" s="404"/>
      <c r="BPN1" s="404"/>
      <c r="BPO1" s="404"/>
      <c r="BPP1" s="405"/>
      <c r="BPQ1" s="432" t="s">
        <v>41</v>
      </c>
      <c r="BPR1" s="404"/>
      <c r="BPS1" s="404"/>
      <c r="BPT1" s="404"/>
      <c r="BPU1" s="404"/>
      <c r="BPV1" s="404"/>
      <c r="BPW1" s="404"/>
      <c r="BPX1" s="405"/>
      <c r="BPY1" s="432" t="s">
        <v>41</v>
      </c>
      <c r="BPZ1" s="404"/>
      <c r="BQA1" s="404"/>
      <c r="BQB1" s="404"/>
      <c r="BQC1" s="404"/>
      <c r="BQD1" s="404"/>
      <c r="BQE1" s="404"/>
      <c r="BQF1" s="405"/>
      <c r="BQG1" s="432" t="s">
        <v>41</v>
      </c>
      <c r="BQH1" s="404"/>
      <c r="BQI1" s="404"/>
      <c r="BQJ1" s="404"/>
      <c r="BQK1" s="404"/>
      <c r="BQL1" s="404"/>
      <c r="BQM1" s="404"/>
      <c r="BQN1" s="405"/>
      <c r="BQO1" s="432" t="s">
        <v>41</v>
      </c>
      <c r="BQP1" s="404"/>
      <c r="BQQ1" s="404"/>
      <c r="BQR1" s="404"/>
      <c r="BQS1" s="404"/>
      <c r="BQT1" s="404"/>
      <c r="BQU1" s="404"/>
      <c r="BQV1" s="405"/>
      <c r="BQW1" s="432" t="s">
        <v>41</v>
      </c>
      <c r="BQX1" s="404"/>
      <c r="BQY1" s="404"/>
      <c r="BQZ1" s="404"/>
      <c r="BRA1" s="404"/>
      <c r="BRB1" s="404"/>
      <c r="BRC1" s="404"/>
      <c r="BRD1" s="405"/>
      <c r="BRE1" s="432" t="s">
        <v>41</v>
      </c>
      <c r="BRF1" s="404"/>
      <c r="BRG1" s="404"/>
      <c r="BRH1" s="404"/>
      <c r="BRI1" s="404"/>
      <c r="BRJ1" s="404"/>
      <c r="BRK1" s="404"/>
      <c r="BRL1" s="405"/>
      <c r="BRM1" s="432" t="s">
        <v>41</v>
      </c>
      <c r="BRN1" s="404"/>
      <c r="BRO1" s="404"/>
      <c r="BRP1" s="404"/>
      <c r="BRQ1" s="404"/>
      <c r="BRR1" s="404"/>
      <c r="BRS1" s="404"/>
      <c r="BRT1" s="405"/>
      <c r="BRU1" s="432" t="s">
        <v>41</v>
      </c>
      <c r="BRV1" s="404"/>
      <c r="BRW1" s="404"/>
      <c r="BRX1" s="404"/>
      <c r="BRY1" s="404"/>
      <c r="BRZ1" s="404"/>
      <c r="BSA1" s="404"/>
      <c r="BSB1" s="405"/>
      <c r="BSC1" s="432" t="s">
        <v>41</v>
      </c>
      <c r="BSD1" s="404"/>
      <c r="BSE1" s="404"/>
      <c r="BSF1" s="404"/>
      <c r="BSG1" s="404"/>
      <c r="BSH1" s="404"/>
      <c r="BSI1" s="404"/>
      <c r="BSJ1" s="405"/>
      <c r="BSK1" s="432" t="s">
        <v>41</v>
      </c>
      <c r="BSL1" s="404"/>
      <c r="BSM1" s="404"/>
      <c r="BSN1" s="404"/>
      <c r="BSO1" s="404"/>
      <c r="BSP1" s="404"/>
      <c r="BSQ1" s="404"/>
      <c r="BSR1" s="405"/>
      <c r="BSS1" s="432" t="s">
        <v>41</v>
      </c>
      <c r="BST1" s="404"/>
      <c r="BSU1" s="404"/>
      <c r="BSV1" s="404"/>
      <c r="BSW1" s="404"/>
      <c r="BSX1" s="404"/>
      <c r="BSY1" s="404"/>
      <c r="BSZ1" s="405"/>
      <c r="BTA1" s="432" t="s">
        <v>41</v>
      </c>
      <c r="BTB1" s="404"/>
      <c r="BTC1" s="404"/>
      <c r="BTD1" s="404"/>
      <c r="BTE1" s="404"/>
      <c r="BTF1" s="404"/>
      <c r="BTG1" s="404"/>
      <c r="BTH1" s="405"/>
      <c r="BTI1" s="432" t="s">
        <v>41</v>
      </c>
      <c r="BTJ1" s="404"/>
      <c r="BTK1" s="404"/>
      <c r="BTL1" s="404"/>
      <c r="BTM1" s="404"/>
      <c r="BTN1" s="404"/>
      <c r="BTO1" s="404"/>
      <c r="BTP1" s="405"/>
      <c r="BTQ1" s="432" t="s">
        <v>41</v>
      </c>
      <c r="BTR1" s="404"/>
      <c r="BTS1" s="404"/>
      <c r="BTT1" s="404"/>
      <c r="BTU1" s="404"/>
      <c r="BTV1" s="404"/>
      <c r="BTW1" s="404"/>
      <c r="BTX1" s="405"/>
      <c r="BTY1" s="432" t="s">
        <v>41</v>
      </c>
      <c r="BTZ1" s="404"/>
      <c r="BUA1" s="404"/>
      <c r="BUB1" s="404"/>
      <c r="BUC1" s="404"/>
      <c r="BUD1" s="404"/>
      <c r="BUE1" s="404"/>
      <c r="BUF1" s="405"/>
      <c r="BUG1" s="432" t="s">
        <v>41</v>
      </c>
      <c r="BUH1" s="404"/>
      <c r="BUI1" s="404"/>
      <c r="BUJ1" s="404"/>
      <c r="BUK1" s="404"/>
      <c r="BUL1" s="404"/>
      <c r="BUM1" s="404"/>
      <c r="BUN1" s="405"/>
      <c r="BUO1" s="432" t="s">
        <v>41</v>
      </c>
      <c r="BUP1" s="404"/>
      <c r="BUQ1" s="404"/>
      <c r="BUR1" s="404"/>
      <c r="BUS1" s="404"/>
      <c r="BUT1" s="404"/>
      <c r="BUU1" s="404"/>
      <c r="BUV1" s="405"/>
      <c r="BUW1" s="432" t="s">
        <v>41</v>
      </c>
      <c r="BUX1" s="404"/>
      <c r="BUY1" s="404"/>
      <c r="BUZ1" s="404"/>
      <c r="BVA1" s="404"/>
      <c r="BVB1" s="404"/>
      <c r="BVC1" s="404"/>
      <c r="BVD1" s="405"/>
      <c r="BVE1" s="432" t="s">
        <v>41</v>
      </c>
      <c r="BVF1" s="404"/>
      <c r="BVG1" s="404"/>
      <c r="BVH1" s="404"/>
      <c r="BVI1" s="404"/>
      <c r="BVJ1" s="404"/>
      <c r="BVK1" s="404"/>
      <c r="BVL1" s="405"/>
      <c r="BVM1" s="432" t="s">
        <v>41</v>
      </c>
      <c r="BVN1" s="404"/>
      <c r="BVO1" s="404"/>
      <c r="BVP1" s="404"/>
      <c r="BVQ1" s="404"/>
      <c r="BVR1" s="404"/>
      <c r="BVS1" s="404"/>
      <c r="BVT1" s="405"/>
      <c r="BVU1" s="432" t="s">
        <v>41</v>
      </c>
      <c r="BVV1" s="404"/>
      <c r="BVW1" s="404"/>
      <c r="BVX1" s="404"/>
      <c r="BVY1" s="404"/>
      <c r="BVZ1" s="404"/>
      <c r="BWA1" s="404"/>
      <c r="BWB1" s="405"/>
      <c r="BWC1" s="432" t="s">
        <v>41</v>
      </c>
      <c r="BWD1" s="404"/>
      <c r="BWE1" s="404"/>
      <c r="BWF1" s="404"/>
      <c r="BWG1" s="404"/>
      <c r="BWH1" s="404"/>
      <c r="BWI1" s="404"/>
      <c r="BWJ1" s="405"/>
      <c r="BWK1" s="432" t="s">
        <v>41</v>
      </c>
      <c r="BWL1" s="404"/>
      <c r="BWM1" s="404"/>
      <c r="BWN1" s="404"/>
      <c r="BWO1" s="404"/>
      <c r="BWP1" s="404"/>
      <c r="BWQ1" s="404"/>
      <c r="BWR1" s="405"/>
      <c r="BWS1" s="432" t="s">
        <v>41</v>
      </c>
      <c r="BWT1" s="404"/>
      <c r="BWU1" s="404"/>
      <c r="BWV1" s="404"/>
      <c r="BWW1" s="404"/>
      <c r="BWX1" s="404"/>
      <c r="BWY1" s="404"/>
      <c r="BWZ1" s="405"/>
      <c r="BXA1" s="432" t="s">
        <v>41</v>
      </c>
      <c r="BXB1" s="404"/>
      <c r="BXC1" s="404"/>
      <c r="BXD1" s="404"/>
      <c r="BXE1" s="404"/>
      <c r="BXF1" s="404"/>
      <c r="BXG1" s="404"/>
      <c r="BXH1" s="405"/>
      <c r="BXI1" s="432" t="s">
        <v>41</v>
      </c>
      <c r="BXJ1" s="404"/>
      <c r="BXK1" s="404"/>
      <c r="BXL1" s="404"/>
      <c r="BXM1" s="404"/>
      <c r="BXN1" s="404"/>
      <c r="BXO1" s="404"/>
      <c r="BXP1" s="405"/>
      <c r="BXQ1" s="432" t="s">
        <v>41</v>
      </c>
      <c r="BXR1" s="404"/>
      <c r="BXS1" s="404"/>
      <c r="BXT1" s="404"/>
      <c r="BXU1" s="404"/>
      <c r="BXV1" s="404"/>
      <c r="BXW1" s="404"/>
      <c r="BXX1" s="405"/>
      <c r="BXY1" s="432" t="s">
        <v>41</v>
      </c>
      <c r="BXZ1" s="404"/>
      <c r="BYA1" s="404"/>
      <c r="BYB1" s="404"/>
      <c r="BYC1" s="404"/>
      <c r="BYD1" s="404"/>
      <c r="BYE1" s="404"/>
      <c r="BYF1" s="405"/>
      <c r="BYG1" s="432" t="s">
        <v>41</v>
      </c>
      <c r="BYH1" s="404"/>
      <c r="BYI1" s="404"/>
      <c r="BYJ1" s="404"/>
      <c r="BYK1" s="404"/>
      <c r="BYL1" s="404"/>
      <c r="BYM1" s="404"/>
      <c r="BYN1" s="405"/>
      <c r="BYO1" s="432" t="s">
        <v>41</v>
      </c>
      <c r="BYP1" s="404"/>
      <c r="BYQ1" s="404"/>
      <c r="BYR1" s="404"/>
      <c r="BYS1" s="404"/>
      <c r="BYT1" s="404"/>
      <c r="BYU1" s="404"/>
      <c r="BYV1" s="405"/>
      <c r="BYW1" s="432" t="s">
        <v>41</v>
      </c>
      <c r="BYX1" s="404"/>
      <c r="BYY1" s="404"/>
      <c r="BYZ1" s="404"/>
      <c r="BZA1" s="404"/>
      <c r="BZB1" s="404"/>
      <c r="BZC1" s="404"/>
      <c r="BZD1" s="405"/>
      <c r="BZE1" s="432" t="s">
        <v>41</v>
      </c>
      <c r="BZF1" s="404"/>
      <c r="BZG1" s="404"/>
      <c r="BZH1" s="404"/>
      <c r="BZI1" s="404"/>
      <c r="BZJ1" s="404"/>
      <c r="BZK1" s="404"/>
      <c r="BZL1" s="405"/>
      <c r="BZM1" s="432" t="s">
        <v>41</v>
      </c>
      <c r="BZN1" s="404"/>
      <c r="BZO1" s="404"/>
      <c r="BZP1" s="404"/>
      <c r="BZQ1" s="404"/>
      <c r="BZR1" s="404"/>
      <c r="BZS1" s="404"/>
      <c r="BZT1" s="405"/>
      <c r="BZU1" s="432" t="s">
        <v>41</v>
      </c>
      <c r="BZV1" s="404"/>
      <c r="BZW1" s="404"/>
      <c r="BZX1" s="404"/>
      <c r="BZY1" s="404"/>
      <c r="BZZ1" s="404"/>
      <c r="CAA1" s="404"/>
      <c r="CAB1" s="405"/>
      <c r="CAC1" s="432" t="s">
        <v>41</v>
      </c>
      <c r="CAD1" s="404"/>
      <c r="CAE1" s="404"/>
      <c r="CAF1" s="404"/>
      <c r="CAG1" s="404"/>
      <c r="CAH1" s="404"/>
      <c r="CAI1" s="404"/>
      <c r="CAJ1" s="405"/>
      <c r="CAK1" s="432" t="s">
        <v>41</v>
      </c>
      <c r="CAL1" s="404"/>
      <c r="CAM1" s="404"/>
      <c r="CAN1" s="404"/>
      <c r="CAO1" s="404"/>
      <c r="CAP1" s="404"/>
      <c r="CAQ1" s="404"/>
      <c r="CAR1" s="405"/>
      <c r="CAS1" s="432" t="s">
        <v>41</v>
      </c>
      <c r="CAT1" s="404"/>
      <c r="CAU1" s="404"/>
      <c r="CAV1" s="404"/>
      <c r="CAW1" s="404"/>
      <c r="CAX1" s="404"/>
      <c r="CAY1" s="404"/>
      <c r="CAZ1" s="405"/>
      <c r="CBA1" s="432" t="s">
        <v>41</v>
      </c>
      <c r="CBB1" s="404"/>
      <c r="CBC1" s="404"/>
      <c r="CBD1" s="404"/>
      <c r="CBE1" s="404"/>
      <c r="CBF1" s="404"/>
      <c r="CBG1" s="404"/>
      <c r="CBH1" s="405"/>
      <c r="CBI1" s="432" t="s">
        <v>41</v>
      </c>
      <c r="CBJ1" s="404"/>
      <c r="CBK1" s="404"/>
      <c r="CBL1" s="404"/>
      <c r="CBM1" s="404"/>
      <c r="CBN1" s="404"/>
      <c r="CBO1" s="404"/>
      <c r="CBP1" s="405"/>
      <c r="CBQ1" s="432" t="s">
        <v>41</v>
      </c>
      <c r="CBR1" s="404"/>
      <c r="CBS1" s="404"/>
      <c r="CBT1" s="404"/>
      <c r="CBU1" s="404"/>
      <c r="CBV1" s="404"/>
      <c r="CBW1" s="404"/>
      <c r="CBX1" s="405"/>
      <c r="CBY1" s="432" t="s">
        <v>41</v>
      </c>
      <c r="CBZ1" s="404"/>
      <c r="CCA1" s="404"/>
      <c r="CCB1" s="404"/>
      <c r="CCC1" s="404"/>
      <c r="CCD1" s="404"/>
      <c r="CCE1" s="404"/>
      <c r="CCF1" s="405"/>
      <c r="CCG1" s="432" t="s">
        <v>41</v>
      </c>
      <c r="CCH1" s="404"/>
      <c r="CCI1" s="404"/>
      <c r="CCJ1" s="404"/>
      <c r="CCK1" s="404"/>
      <c r="CCL1" s="404"/>
      <c r="CCM1" s="404"/>
      <c r="CCN1" s="405"/>
      <c r="CCO1" s="432" t="s">
        <v>41</v>
      </c>
      <c r="CCP1" s="404"/>
      <c r="CCQ1" s="404"/>
      <c r="CCR1" s="404"/>
      <c r="CCS1" s="404"/>
      <c r="CCT1" s="404"/>
      <c r="CCU1" s="404"/>
      <c r="CCV1" s="405"/>
      <c r="CCW1" s="432" t="s">
        <v>41</v>
      </c>
      <c r="CCX1" s="404"/>
      <c r="CCY1" s="404"/>
      <c r="CCZ1" s="404"/>
      <c r="CDA1" s="404"/>
      <c r="CDB1" s="404"/>
      <c r="CDC1" s="404"/>
      <c r="CDD1" s="405"/>
      <c r="CDE1" s="432" t="s">
        <v>41</v>
      </c>
      <c r="CDF1" s="404"/>
      <c r="CDG1" s="404"/>
      <c r="CDH1" s="404"/>
      <c r="CDI1" s="404"/>
      <c r="CDJ1" s="404"/>
      <c r="CDK1" s="404"/>
      <c r="CDL1" s="405"/>
      <c r="CDM1" s="432" t="s">
        <v>41</v>
      </c>
      <c r="CDN1" s="404"/>
      <c r="CDO1" s="404"/>
      <c r="CDP1" s="404"/>
      <c r="CDQ1" s="404"/>
      <c r="CDR1" s="404"/>
      <c r="CDS1" s="404"/>
      <c r="CDT1" s="405"/>
      <c r="CDU1" s="432" t="s">
        <v>41</v>
      </c>
      <c r="CDV1" s="404"/>
      <c r="CDW1" s="404"/>
      <c r="CDX1" s="404"/>
      <c r="CDY1" s="404"/>
      <c r="CDZ1" s="404"/>
      <c r="CEA1" s="404"/>
      <c r="CEB1" s="405"/>
      <c r="CEC1" s="432" t="s">
        <v>41</v>
      </c>
      <c r="CED1" s="404"/>
      <c r="CEE1" s="404"/>
      <c r="CEF1" s="404"/>
      <c r="CEG1" s="404"/>
      <c r="CEH1" s="404"/>
      <c r="CEI1" s="404"/>
      <c r="CEJ1" s="405"/>
      <c r="CEK1" s="432" t="s">
        <v>41</v>
      </c>
      <c r="CEL1" s="404"/>
      <c r="CEM1" s="404"/>
      <c r="CEN1" s="404"/>
      <c r="CEO1" s="404"/>
      <c r="CEP1" s="404"/>
      <c r="CEQ1" s="404"/>
      <c r="CER1" s="405"/>
      <c r="CES1" s="432" t="s">
        <v>41</v>
      </c>
      <c r="CET1" s="404"/>
      <c r="CEU1" s="404"/>
      <c r="CEV1" s="404"/>
      <c r="CEW1" s="404"/>
      <c r="CEX1" s="404"/>
      <c r="CEY1" s="404"/>
      <c r="CEZ1" s="405"/>
      <c r="CFA1" s="432" t="s">
        <v>41</v>
      </c>
      <c r="CFB1" s="404"/>
      <c r="CFC1" s="404"/>
      <c r="CFD1" s="404"/>
      <c r="CFE1" s="404"/>
      <c r="CFF1" s="404"/>
      <c r="CFG1" s="404"/>
      <c r="CFH1" s="405"/>
      <c r="CFI1" s="432" t="s">
        <v>41</v>
      </c>
      <c r="CFJ1" s="404"/>
      <c r="CFK1" s="404"/>
      <c r="CFL1" s="404"/>
      <c r="CFM1" s="404"/>
      <c r="CFN1" s="404"/>
      <c r="CFO1" s="404"/>
      <c r="CFP1" s="405"/>
      <c r="CFQ1" s="432" t="s">
        <v>41</v>
      </c>
      <c r="CFR1" s="404"/>
      <c r="CFS1" s="404"/>
      <c r="CFT1" s="404"/>
      <c r="CFU1" s="404"/>
      <c r="CFV1" s="404"/>
      <c r="CFW1" s="404"/>
      <c r="CFX1" s="405"/>
      <c r="CFY1" s="432" t="s">
        <v>41</v>
      </c>
      <c r="CFZ1" s="404"/>
      <c r="CGA1" s="404"/>
      <c r="CGB1" s="404"/>
      <c r="CGC1" s="404"/>
      <c r="CGD1" s="404"/>
      <c r="CGE1" s="404"/>
      <c r="CGF1" s="405"/>
      <c r="CGG1" s="432" t="s">
        <v>41</v>
      </c>
      <c r="CGH1" s="404"/>
      <c r="CGI1" s="404"/>
      <c r="CGJ1" s="404"/>
      <c r="CGK1" s="404"/>
      <c r="CGL1" s="404"/>
      <c r="CGM1" s="404"/>
      <c r="CGN1" s="405"/>
      <c r="CGO1" s="432" t="s">
        <v>41</v>
      </c>
      <c r="CGP1" s="404"/>
      <c r="CGQ1" s="404"/>
      <c r="CGR1" s="404"/>
      <c r="CGS1" s="404"/>
      <c r="CGT1" s="404"/>
      <c r="CGU1" s="404"/>
      <c r="CGV1" s="405"/>
      <c r="CGW1" s="432" t="s">
        <v>41</v>
      </c>
      <c r="CGX1" s="404"/>
      <c r="CGY1" s="404"/>
      <c r="CGZ1" s="404"/>
      <c r="CHA1" s="404"/>
      <c r="CHB1" s="404"/>
      <c r="CHC1" s="404"/>
      <c r="CHD1" s="405"/>
      <c r="CHE1" s="432" t="s">
        <v>41</v>
      </c>
      <c r="CHF1" s="404"/>
      <c r="CHG1" s="404"/>
      <c r="CHH1" s="404"/>
      <c r="CHI1" s="404"/>
      <c r="CHJ1" s="404"/>
      <c r="CHK1" s="404"/>
      <c r="CHL1" s="405"/>
      <c r="CHM1" s="432" t="s">
        <v>41</v>
      </c>
      <c r="CHN1" s="404"/>
      <c r="CHO1" s="404"/>
      <c r="CHP1" s="404"/>
      <c r="CHQ1" s="404"/>
      <c r="CHR1" s="404"/>
      <c r="CHS1" s="404"/>
      <c r="CHT1" s="405"/>
      <c r="CHU1" s="432" t="s">
        <v>41</v>
      </c>
      <c r="CHV1" s="404"/>
      <c r="CHW1" s="404"/>
      <c r="CHX1" s="404"/>
      <c r="CHY1" s="404"/>
      <c r="CHZ1" s="404"/>
      <c r="CIA1" s="404"/>
      <c r="CIB1" s="405"/>
      <c r="CIC1" s="432" t="s">
        <v>41</v>
      </c>
      <c r="CID1" s="404"/>
      <c r="CIE1" s="404"/>
      <c r="CIF1" s="404"/>
      <c r="CIG1" s="404"/>
      <c r="CIH1" s="404"/>
      <c r="CII1" s="404"/>
      <c r="CIJ1" s="405"/>
      <c r="CIK1" s="432" t="s">
        <v>41</v>
      </c>
      <c r="CIL1" s="404"/>
      <c r="CIM1" s="404"/>
      <c r="CIN1" s="404"/>
      <c r="CIO1" s="404"/>
      <c r="CIP1" s="404"/>
      <c r="CIQ1" s="404"/>
      <c r="CIR1" s="405"/>
      <c r="CIS1" s="432" t="s">
        <v>41</v>
      </c>
      <c r="CIT1" s="404"/>
      <c r="CIU1" s="404"/>
      <c r="CIV1" s="404"/>
      <c r="CIW1" s="404"/>
      <c r="CIX1" s="404"/>
      <c r="CIY1" s="404"/>
      <c r="CIZ1" s="405"/>
      <c r="CJA1" s="432" t="s">
        <v>41</v>
      </c>
      <c r="CJB1" s="404"/>
      <c r="CJC1" s="404"/>
      <c r="CJD1" s="404"/>
      <c r="CJE1" s="404"/>
      <c r="CJF1" s="404"/>
      <c r="CJG1" s="404"/>
      <c r="CJH1" s="405"/>
      <c r="CJI1" s="432" t="s">
        <v>41</v>
      </c>
      <c r="CJJ1" s="404"/>
      <c r="CJK1" s="404"/>
      <c r="CJL1" s="404"/>
      <c r="CJM1" s="404"/>
      <c r="CJN1" s="404"/>
      <c r="CJO1" s="404"/>
      <c r="CJP1" s="405"/>
      <c r="CJQ1" s="432" t="s">
        <v>41</v>
      </c>
      <c r="CJR1" s="404"/>
      <c r="CJS1" s="404"/>
      <c r="CJT1" s="404"/>
      <c r="CJU1" s="404"/>
      <c r="CJV1" s="404"/>
      <c r="CJW1" s="404"/>
      <c r="CJX1" s="405"/>
      <c r="CJY1" s="432" t="s">
        <v>41</v>
      </c>
      <c r="CJZ1" s="404"/>
      <c r="CKA1" s="404"/>
      <c r="CKB1" s="404"/>
      <c r="CKC1" s="404"/>
      <c r="CKD1" s="404"/>
      <c r="CKE1" s="404"/>
      <c r="CKF1" s="405"/>
      <c r="CKG1" s="432" t="s">
        <v>41</v>
      </c>
      <c r="CKH1" s="404"/>
      <c r="CKI1" s="404"/>
      <c r="CKJ1" s="404"/>
      <c r="CKK1" s="404"/>
      <c r="CKL1" s="404"/>
      <c r="CKM1" s="404"/>
      <c r="CKN1" s="405"/>
      <c r="CKO1" s="432" t="s">
        <v>41</v>
      </c>
      <c r="CKP1" s="404"/>
      <c r="CKQ1" s="404"/>
      <c r="CKR1" s="404"/>
      <c r="CKS1" s="404"/>
      <c r="CKT1" s="404"/>
      <c r="CKU1" s="404"/>
      <c r="CKV1" s="405"/>
      <c r="CKW1" s="432" t="s">
        <v>41</v>
      </c>
      <c r="CKX1" s="404"/>
      <c r="CKY1" s="404"/>
      <c r="CKZ1" s="404"/>
      <c r="CLA1" s="404"/>
      <c r="CLB1" s="404"/>
      <c r="CLC1" s="404"/>
      <c r="CLD1" s="405"/>
      <c r="CLE1" s="432" t="s">
        <v>41</v>
      </c>
      <c r="CLF1" s="404"/>
      <c r="CLG1" s="404"/>
      <c r="CLH1" s="404"/>
      <c r="CLI1" s="404"/>
      <c r="CLJ1" s="404"/>
      <c r="CLK1" s="404"/>
      <c r="CLL1" s="405"/>
      <c r="CLM1" s="432" t="s">
        <v>41</v>
      </c>
      <c r="CLN1" s="404"/>
      <c r="CLO1" s="404"/>
      <c r="CLP1" s="404"/>
      <c r="CLQ1" s="404"/>
      <c r="CLR1" s="404"/>
      <c r="CLS1" s="404"/>
      <c r="CLT1" s="405"/>
      <c r="CLU1" s="432" t="s">
        <v>41</v>
      </c>
      <c r="CLV1" s="404"/>
      <c r="CLW1" s="404"/>
      <c r="CLX1" s="404"/>
      <c r="CLY1" s="404"/>
      <c r="CLZ1" s="404"/>
      <c r="CMA1" s="404"/>
      <c r="CMB1" s="405"/>
      <c r="CMC1" s="432" t="s">
        <v>41</v>
      </c>
      <c r="CMD1" s="404"/>
      <c r="CME1" s="404"/>
      <c r="CMF1" s="404"/>
      <c r="CMG1" s="404"/>
      <c r="CMH1" s="404"/>
      <c r="CMI1" s="404"/>
      <c r="CMJ1" s="405"/>
      <c r="CMK1" s="432" t="s">
        <v>41</v>
      </c>
      <c r="CML1" s="404"/>
      <c r="CMM1" s="404"/>
      <c r="CMN1" s="404"/>
      <c r="CMO1" s="404"/>
      <c r="CMP1" s="404"/>
      <c r="CMQ1" s="404"/>
      <c r="CMR1" s="405"/>
      <c r="CMS1" s="432" t="s">
        <v>41</v>
      </c>
      <c r="CMT1" s="404"/>
      <c r="CMU1" s="404"/>
      <c r="CMV1" s="404"/>
      <c r="CMW1" s="404"/>
      <c r="CMX1" s="404"/>
      <c r="CMY1" s="404"/>
      <c r="CMZ1" s="405"/>
      <c r="CNA1" s="432" t="s">
        <v>41</v>
      </c>
      <c r="CNB1" s="404"/>
      <c r="CNC1" s="404"/>
      <c r="CND1" s="404"/>
      <c r="CNE1" s="404"/>
      <c r="CNF1" s="404"/>
      <c r="CNG1" s="404"/>
      <c r="CNH1" s="405"/>
      <c r="CNI1" s="432" t="s">
        <v>41</v>
      </c>
      <c r="CNJ1" s="404"/>
      <c r="CNK1" s="404"/>
      <c r="CNL1" s="404"/>
      <c r="CNM1" s="404"/>
      <c r="CNN1" s="404"/>
      <c r="CNO1" s="404"/>
      <c r="CNP1" s="405"/>
      <c r="CNQ1" s="432" t="s">
        <v>41</v>
      </c>
      <c r="CNR1" s="404"/>
      <c r="CNS1" s="404"/>
      <c r="CNT1" s="404"/>
      <c r="CNU1" s="404"/>
      <c r="CNV1" s="404"/>
      <c r="CNW1" s="404"/>
      <c r="CNX1" s="405"/>
      <c r="CNY1" s="432" t="s">
        <v>41</v>
      </c>
      <c r="CNZ1" s="404"/>
      <c r="COA1" s="404"/>
      <c r="COB1" s="404"/>
      <c r="COC1" s="404"/>
      <c r="COD1" s="404"/>
      <c r="COE1" s="404"/>
      <c r="COF1" s="405"/>
      <c r="COG1" s="432" t="s">
        <v>41</v>
      </c>
      <c r="COH1" s="404"/>
      <c r="COI1" s="404"/>
      <c r="COJ1" s="404"/>
      <c r="COK1" s="404"/>
      <c r="COL1" s="404"/>
      <c r="COM1" s="404"/>
      <c r="CON1" s="405"/>
      <c r="COO1" s="432" t="s">
        <v>41</v>
      </c>
      <c r="COP1" s="404"/>
      <c r="COQ1" s="404"/>
      <c r="COR1" s="404"/>
      <c r="COS1" s="404"/>
      <c r="COT1" s="404"/>
      <c r="COU1" s="404"/>
      <c r="COV1" s="405"/>
      <c r="COW1" s="432" t="s">
        <v>41</v>
      </c>
      <c r="COX1" s="404"/>
      <c r="COY1" s="404"/>
      <c r="COZ1" s="404"/>
      <c r="CPA1" s="404"/>
      <c r="CPB1" s="404"/>
      <c r="CPC1" s="404"/>
      <c r="CPD1" s="405"/>
      <c r="CPE1" s="432" t="s">
        <v>41</v>
      </c>
      <c r="CPF1" s="404"/>
      <c r="CPG1" s="404"/>
      <c r="CPH1" s="404"/>
      <c r="CPI1" s="404"/>
      <c r="CPJ1" s="404"/>
      <c r="CPK1" s="404"/>
      <c r="CPL1" s="405"/>
      <c r="CPM1" s="432" t="s">
        <v>41</v>
      </c>
      <c r="CPN1" s="404"/>
      <c r="CPO1" s="404"/>
      <c r="CPP1" s="404"/>
      <c r="CPQ1" s="404"/>
      <c r="CPR1" s="404"/>
      <c r="CPS1" s="404"/>
      <c r="CPT1" s="405"/>
      <c r="CPU1" s="432" t="s">
        <v>41</v>
      </c>
      <c r="CPV1" s="404"/>
      <c r="CPW1" s="404"/>
      <c r="CPX1" s="404"/>
      <c r="CPY1" s="404"/>
      <c r="CPZ1" s="404"/>
      <c r="CQA1" s="404"/>
      <c r="CQB1" s="405"/>
      <c r="CQC1" s="432" t="s">
        <v>41</v>
      </c>
      <c r="CQD1" s="404"/>
      <c r="CQE1" s="404"/>
      <c r="CQF1" s="404"/>
      <c r="CQG1" s="404"/>
      <c r="CQH1" s="404"/>
      <c r="CQI1" s="404"/>
      <c r="CQJ1" s="405"/>
      <c r="CQK1" s="432" t="s">
        <v>41</v>
      </c>
      <c r="CQL1" s="404"/>
      <c r="CQM1" s="404"/>
      <c r="CQN1" s="404"/>
      <c r="CQO1" s="404"/>
      <c r="CQP1" s="404"/>
      <c r="CQQ1" s="404"/>
      <c r="CQR1" s="405"/>
      <c r="CQS1" s="432" t="s">
        <v>41</v>
      </c>
      <c r="CQT1" s="404"/>
      <c r="CQU1" s="404"/>
      <c r="CQV1" s="404"/>
      <c r="CQW1" s="404"/>
      <c r="CQX1" s="404"/>
      <c r="CQY1" s="404"/>
      <c r="CQZ1" s="405"/>
      <c r="CRA1" s="432" t="s">
        <v>41</v>
      </c>
      <c r="CRB1" s="404"/>
      <c r="CRC1" s="404"/>
      <c r="CRD1" s="404"/>
      <c r="CRE1" s="404"/>
      <c r="CRF1" s="404"/>
      <c r="CRG1" s="404"/>
      <c r="CRH1" s="405"/>
      <c r="CRI1" s="432" t="s">
        <v>41</v>
      </c>
      <c r="CRJ1" s="404"/>
      <c r="CRK1" s="404"/>
      <c r="CRL1" s="404"/>
      <c r="CRM1" s="404"/>
      <c r="CRN1" s="404"/>
      <c r="CRO1" s="404"/>
      <c r="CRP1" s="405"/>
      <c r="CRQ1" s="432" t="s">
        <v>41</v>
      </c>
      <c r="CRR1" s="404"/>
      <c r="CRS1" s="404"/>
      <c r="CRT1" s="404"/>
      <c r="CRU1" s="404"/>
      <c r="CRV1" s="404"/>
      <c r="CRW1" s="404"/>
      <c r="CRX1" s="405"/>
      <c r="CRY1" s="432" t="s">
        <v>41</v>
      </c>
      <c r="CRZ1" s="404"/>
      <c r="CSA1" s="404"/>
      <c r="CSB1" s="404"/>
      <c r="CSC1" s="404"/>
      <c r="CSD1" s="404"/>
      <c r="CSE1" s="404"/>
      <c r="CSF1" s="405"/>
      <c r="CSG1" s="432" t="s">
        <v>41</v>
      </c>
      <c r="CSH1" s="404"/>
      <c r="CSI1" s="404"/>
      <c r="CSJ1" s="404"/>
      <c r="CSK1" s="404"/>
      <c r="CSL1" s="404"/>
      <c r="CSM1" s="404"/>
      <c r="CSN1" s="405"/>
      <c r="CSO1" s="432" t="s">
        <v>41</v>
      </c>
      <c r="CSP1" s="404"/>
      <c r="CSQ1" s="404"/>
      <c r="CSR1" s="404"/>
      <c r="CSS1" s="404"/>
      <c r="CST1" s="404"/>
      <c r="CSU1" s="404"/>
      <c r="CSV1" s="405"/>
      <c r="CSW1" s="432" t="s">
        <v>41</v>
      </c>
      <c r="CSX1" s="404"/>
      <c r="CSY1" s="404"/>
      <c r="CSZ1" s="404"/>
      <c r="CTA1" s="404"/>
      <c r="CTB1" s="404"/>
      <c r="CTC1" s="404"/>
      <c r="CTD1" s="405"/>
      <c r="CTE1" s="432" t="s">
        <v>41</v>
      </c>
      <c r="CTF1" s="404"/>
      <c r="CTG1" s="404"/>
      <c r="CTH1" s="404"/>
      <c r="CTI1" s="404"/>
      <c r="CTJ1" s="404"/>
      <c r="CTK1" s="404"/>
      <c r="CTL1" s="405"/>
      <c r="CTM1" s="432" t="s">
        <v>41</v>
      </c>
      <c r="CTN1" s="404"/>
      <c r="CTO1" s="404"/>
      <c r="CTP1" s="404"/>
      <c r="CTQ1" s="404"/>
      <c r="CTR1" s="404"/>
      <c r="CTS1" s="404"/>
      <c r="CTT1" s="405"/>
      <c r="CTU1" s="432" t="s">
        <v>41</v>
      </c>
      <c r="CTV1" s="404"/>
      <c r="CTW1" s="404"/>
      <c r="CTX1" s="404"/>
      <c r="CTY1" s="404"/>
      <c r="CTZ1" s="404"/>
      <c r="CUA1" s="404"/>
      <c r="CUB1" s="405"/>
      <c r="CUC1" s="432" t="s">
        <v>41</v>
      </c>
      <c r="CUD1" s="404"/>
      <c r="CUE1" s="404"/>
      <c r="CUF1" s="404"/>
      <c r="CUG1" s="404"/>
      <c r="CUH1" s="404"/>
      <c r="CUI1" s="404"/>
      <c r="CUJ1" s="405"/>
      <c r="CUK1" s="432" t="s">
        <v>41</v>
      </c>
      <c r="CUL1" s="404"/>
      <c r="CUM1" s="404"/>
      <c r="CUN1" s="404"/>
      <c r="CUO1" s="404"/>
      <c r="CUP1" s="404"/>
      <c r="CUQ1" s="404"/>
      <c r="CUR1" s="405"/>
      <c r="CUS1" s="432" t="s">
        <v>41</v>
      </c>
      <c r="CUT1" s="404"/>
      <c r="CUU1" s="404"/>
      <c r="CUV1" s="404"/>
      <c r="CUW1" s="404"/>
      <c r="CUX1" s="404"/>
      <c r="CUY1" s="404"/>
      <c r="CUZ1" s="405"/>
      <c r="CVA1" s="432" t="s">
        <v>41</v>
      </c>
      <c r="CVB1" s="404"/>
      <c r="CVC1" s="404"/>
      <c r="CVD1" s="404"/>
      <c r="CVE1" s="404"/>
      <c r="CVF1" s="404"/>
      <c r="CVG1" s="404"/>
      <c r="CVH1" s="405"/>
      <c r="CVI1" s="432" t="s">
        <v>41</v>
      </c>
      <c r="CVJ1" s="404"/>
      <c r="CVK1" s="404"/>
      <c r="CVL1" s="404"/>
      <c r="CVM1" s="404"/>
      <c r="CVN1" s="404"/>
      <c r="CVO1" s="404"/>
      <c r="CVP1" s="405"/>
      <c r="CVQ1" s="432" t="s">
        <v>41</v>
      </c>
      <c r="CVR1" s="404"/>
      <c r="CVS1" s="404"/>
      <c r="CVT1" s="404"/>
      <c r="CVU1" s="404"/>
      <c r="CVV1" s="404"/>
      <c r="CVW1" s="404"/>
      <c r="CVX1" s="405"/>
      <c r="CVY1" s="432" t="s">
        <v>41</v>
      </c>
      <c r="CVZ1" s="404"/>
      <c r="CWA1" s="404"/>
      <c r="CWB1" s="404"/>
      <c r="CWC1" s="404"/>
      <c r="CWD1" s="404"/>
      <c r="CWE1" s="404"/>
      <c r="CWF1" s="405"/>
      <c r="CWG1" s="432" t="s">
        <v>41</v>
      </c>
      <c r="CWH1" s="404"/>
      <c r="CWI1" s="404"/>
      <c r="CWJ1" s="404"/>
      <c r="CWK1" s="404"/>
      <c r="CWL1" s="404"/>
      <c r="CWM1" s="404"/>
      <c r="CWN1" s="405"/>
      <c r="CWO1" s="432" t="s">
        <v>41</v>
      </c>
      <c r="CWP1" s="404"/>
      <c r="CWQ1" s="404"/>
      <c r="CWR1" s="404"/>
      <c r="CWS1" s="404"/>
      <c r="CWT1" s="404"/>
      <c r="CWU1" s="404"/>
      <c r="CWV1" s="405"/>
      <c r="CWW1" s="432" t="s">
        <v>41</v>
      </c>
      <c r="CWX1" s="404"/>
      <c r="CWY1" s="404"/>
      <c r="CWZ1" s="404"/>
      <c r="CXA1" s="404"/>
      <c r="CXB1" s="404"/>
      <c r="CXC1" s="404"/>
      <c r="CXD1" s="405"/>
      <c r="CXE1" s="432" t="s">
        <v>41</v>
      </c>
      <c r="CXF1" s="404"/>
      <c r="CXG1" s="404"/>
      <c r="CXH1" s="404"/>
      <c r="CXI1" s="404"/>
      <c r="CXJ1" s="404"/>
      <c r="CXK1" s="404"/>
      <c r="CXL1" s="405"/>
      <c r="CXM1" s="432" t="s">
        <v>41</v>
      </c>
      <c r="CXN1" s="404"/>
      <c r="CXO1" s="404"/>
      <c r="CXP1" s="404"/>
      <c r="CXQ1" s="404"/>
      <c r="CXR1" s="404"/>
      <c r="CXS1" s="404"/>
      <c r="CXT1" s="405"/>
      <c r="CXU1" s="432" t="s">
        <v>41</v>
      </c>
      <c r="CXV1" s="404"/>
      <c r="CXW1" s="404"/>
      <c r="CXX1" s="404"/>
      <c r="CXY1" s="404"/>
      <c r="CXZ1" s="404"/>
      <c r="CYA1" s="404"/>
      <c r="CYB1" s="405"/>
      <c r="CYC1" s="432" t="s">
        <v>41</v>
      </c>
      <c r="CYD1" s="404"/>
      <c r="CYE1" s="404"/>
      <c r="CYF1" s="404"/>
      <c r="CYG1" s="404"/>
      <c r="CYH1" s="404"/>
      <c r="CYI1" s="404"/>
      <c r="CYJ1" s="405"/>
      <c r="CYK1" s="432" t="s">
        <v>41</v>
      </c>
      <c r="CYL1" s="404"/>
      <c r="CYM1" s="404"/>
      <c r="CYN1" s="404"/>
      <c r="CYO1" s="404"/>
      <c r="CYP1" s="404"/>
      <c r="CYQ1" s="404"/>
      <c r="CYR1" s="405"/>
      <c r="CYS1" s="432" t="s">
        <v>41</v>
      </c>
      <c r="CYT1" s="404"/>
      <c r="CYU1" s="404"/>
      <c r="CYV1" s="404"/>
      <c r="CYW1" s="404"/>
      <c r="CYX1" s="404"/>
      <c r="CYY1" s="404"/>
      <c r="CYZ1" s="405"/>
      <c r="CZA1" s="432" t="s">
        <v>41</v>
      </c>
      <c r="CZB1" s="404"/>
      <c r="CZC1" s="404"/>
      <c r="CZD1" s="404"/>
      <c r="CZE1" s="404"/>
      <c r="CZF1" s="404"/>
      <c r="CZG1" s="404"/>
      <c r="CZH1" s="405"/>
      <c r="CZI1" s="432" t="s">
        <v>41</v>
      </c>
      <c r="CZJ1" s="404"/>
      <c r="CZK1" s="404"/>
      <c r="CZL1" s="404"/>
      <c r="CZM1" s="404"/>
      <c r="CZN1" s="404"/>
      <c r="CZO1" s="404"/>
      <c r="CZP1" s="405"/>
      <c r="CZQ1" s="432" t="s">
        <v>41</v>
      </c>
      <c r="CZR1" s="404"/>
      <c r="CZS1" s="404"/>
      <c r="CZT1" s="404"/>
      <c r="CZU1" s="404"/>
      <c r="CZV1" s="404"/>
      <c r="CZW1" s="404"/>
      <c r="CZX1" s="405"/>
      <c r="CZY1" s="432" t="s">
        <v>41</v>
      </c>
      <c r="CZZ1" s="404"/>
      <c r="DAA1" s="404"/>
      <c r="DAB1" s="404"/>
      <c r="DAC1" s="404"/>
      <c r="DAD1" s="404"/>
      <c r="DAE1" s="404"/>
      <c r="DAF1" s="405"/>
      <c r="DAG1" s="432" t="s">
        <v>41</v>
      </c>
      <c r="DAH1" s="404"/>
      <c r="DAI1" s="404"/>
      <c r="DAJ1" s="404"/>
      <c r="DAK1" s="404"/>
      <c r="DAL1" s="404"/>
      <c r="DAM1" s="404"/>
      <c r="DAN1" s="405"/>
      <c r="DAO1" s="432" t="s">
        <v>41</v>
      </c>
      <c r="DAP1" s="404"/>
      <c r="DAQ1" s="404"/>
      <c r="DAR1" s="404"/>
      <c r="DAS1" s="404"/>
      <c r="DAT1" s="404"/>
      <c r="DAU1" s="404"/>
      <c r="DAV1" s="405"/>
      <c r="DAW1" s="432" t="s">
        <v>41</v>
      </c>
      <c r="DAX1" s="404"/>
      <c r="DAY1" s="404"/>
      <c r="DAZ1" s="404"/>
      <c r="DBA1" s="404"/>
      <c r="DBB1" s="404"/>
      <c r="DBC1" s="404"/>
      <c r="DBD1" s="405"/>
      <c r="DBE1" s="432" t="s">
        <v>41</v>
      </c>
      <c r="DBF1" s="404"/>
      <c r="DBG1" s="404"/>
      <c r="DBH1" s="404"/>
      <c r="DBI1" s="404"/>
      <c r="DBJ1" s="404"/>
      <c r="DBK1" s="404"/>
      <c r="DBL1" s="405"/>
      <c r="DBM1" s="432" t="s">
        <v>41</v>
      </c>
      <c r="DBN1" s="404"/>
      <c r="DBO1" s="404"/>
      <c r="DBP1" s="404"/>
      <c r="DBQ1" s="404"/>
      <c r="DBR1" s="404"/>
      <c r="DBS1" s="404"/>
      <c r="DBT1" s="405"/>
      <c r="DBU1" s="432" t="s">
        <v>41</v>
      </c>
      <c r="DBV1" s="404"/>
      <c r="DBW1" s="404"/>
      <c r="DBX1" s="404"/>
      <c r="DBY1" s="404"/>
      <c r="DBZ1" s="404"/>
      <c r="DCA1" s="404"/>
      <c r="DCB1" s="405"/>
      <c r="DCC1" s="432" t="s">
        <v>41</v>
      </c>
      <c r="DCD1" s="404"/>
      <c r="DCE1" s="404"/>
      <c r="DCF1" s="404"/>
      <c r="DCG1" s="404"/>
      <c r="DCH1" s="404"/>
      <c r="DCI1" s="404"/>
      <c r="DCJ1" s="405"/>
      <c r="DCK1" s="432" t="s">
        <v>41</v>
      </c>
      <c r="DCL1" s="404"/>
      <c r="DCM1" s="404"/>
      <c r="DCN1" s="404"/>
      <c r="DCO1" s="404"/>
      <c r="DCP1" s="404"/>
      <c r="DCQ1" s="404"/>
      <c r="DCR1" s="405"/>
      <c r="DCS1" s="432" t="s">
        <v>41</v>
      </c>
      <c r="DCT1" s="404"/>
      <c r="DCU1" s="404"/>
      <c r="DCV1" s="404"/>
      <c r="DCW1" s="404"/>
      <c r="DCX1" s="404"/>
      <c r="DCY1" s="404"/>
      <c r="DCZ1" s="405"/>
      <c r="DDA1" s="432" t="s">
        <v>41</v>
      </c>
      <c r="DDB1" s="404"/>
      <c r="DDC1" s="404"/>
      <c r="DDD1" s="404"/>
      <c r="DDE1" s="404"/>
      <c r="DDF1" s="404"/>
      <c r="DDG1" s="404"/>
      <c r="DDH1" s="405"/>
      <c r="DDI1" s="432" t="s">
        <v>41</v>
      </c>
      <c r="DDJ1" s="404"/>
      <c r="DDK1" s="404"/>
      <c r="DDL1" s="404"/>
      <c r="DDM1" s="404"/>
      <c r="DDN1" s="404"/>
      <c r="DDO1" s="404"/>
      <c r="DDP1" s="405"/>
      <c r="DDQ1" s="432" t="s">
        <v>41</v>
      </c>
      <c r="DDR1" s="404"/>
      <c r="DDS1" s="404"/>
      <c r="DDT1" s="404"/>
      <c r="DDU1" s="404"/>
      <c r="DDV1" s="404"/>
      <c r="DDW1" s="404"/>
      <c r="DDX1" s="405"/>
      <c r="DDY1" s="432" t="s">
        <v>41</v>
      </c>
      <c r="DDZ1" s="404"/>
      <c r="DEA1" s="404"/>
      <c r="DEB1" s="404"/>
      <c r="DEC1" s="404"/>
      <c r="DED1" s="404"/>
      <c r="DEE1" s="404"/>
      <c r="DEF1" s="405"/>
      <c r="DEG1" s="432" t="s">
        <v>41</v>
      </c>
      <c r="DEH1" s="404"/>
      <c r="DEI1" s="404"/>
      <c r="DEJ1" s="404"/>
      <c r="DEK1" s="404"/>
      <c r="DEL1" s="404"/>
      <c r="DEM1" s="404"/>
      <c r="DEN1" s="405"/>
      <c r="DEO1" s="432" t="s">
        <v>41</v>
      </c>
      <c r="DEP1" s="404"/>
      <c r="DEQ1" s="404"/>
      <c r="DER1" s="404"/>
      <c r="DES1" s="404"/>
      <c r="DET1" s="404"/>
      <c r="DEU1" s="404"/>
      <c r="DEV1" s="405"/>
      <c r="DEW1" s="432" t="s">
        <v>41</v>
      </c>
      <c r="DEX1" s="404"/>
      <c r="DEY1" s="404"/>
      <c r="DEZ1" s="404"/>
      <c r="DFA1" s="404"/>
      <c r="DFB1" s="404"/>
      <c r="DFC1" s="404"/>
      <c r="DFD1" s="405"/>
      <c r="DFE1" s="432" t="s">
        <v>41</v>
      </c>
      <c r="DFF1" s="404"/>
      <c r="DFG1" s="404"/>
      <c r="DFH1" s="404"/>
      <c r="DFI1" s="404"/>
      <c r="DFJ1" s="404"/>
      <c r="DFK1" s="404"/>
      <c r="DFL1" s="405"/>
      <c r="DFM1" s="432" t="s">
        <v>41</v>
      </c>
      <c r="DFN1" s="404"/>
      <c r="DFO1" s="404"/>
      <c r="DFP1" s="404"/>
      <c r="DFQ1" s="404"/>
      <c r="DFR1" s="404"/>
      <c r="DFS1" s="404"/>
      <c r="DFT1" s="405"/>
      <c r="DFU1" s="432" t="s">
        <v>41</v>
      </c>
      <c r="DFV1" s="404"/>
      <c r="DFW1" s="404"/>
      <c r="DFX1" s="404"/>
      <c r="DFY1" s="404"/>
      <c r="DFZ1" s="404"/>
      <c r="DGA1" s="404"/>
      <c r="DGB1" s="405"/>
      <c r="DGC1" s="432" t="s">
        <v>41</v>
      </c>
      <c r="DGD1" s="404"/>
      <c r="DGE1" s="404"/>
      <c r="DGF1" s="404"/>
      <c r="DGG1" s="404"/>
      <c r="DGH1" s="404"/>
      <c r="DGI1" s="404"/>
      <c r="DGJ1" s="405"/>
      <c r="DGK1" s="432" t="s">
        <v>41</v>
      </c>
      <c r="DGL1" s="404"/>
      <c r="DGM1" s="404"/>
      <c r="DGN1" s="404"/>
      <c r="DGO1" s="404"/>
      <c r="DGP1" s="404"/>
      <c r="DGQ1" s="404"/>
      <c r="DGR1" s="405"/>
      <c r="DGS1" s="432" t="s">
        <v>41</v>
      </c>
      <c r="DGT1" s="404"/>
      <c r="DGU1" s="404"/>
      <c r="DGV1" s="404"/>
      <c r="DGW1" s="404"/>
      <c r="DGX1" s="404"/>
      <c r="DGY1" s="404"/>
      <c r="DGZ1" s="405"/>
      <c r="DHA1" s="432" t="s">
        <v>41</v>
      </c>
      <c r="DHB1" s="404"/>
      <c r="DHC1" s="404"/>
      <c r="DHD1" s="404"/>
      <c r="DHE1" s="404"/>
      <c r="DHF1" s="404"/>
      <c r="DHG1" s="404"/>
      <c r="DHH1" s="405"/>
      <c r="DHI1" s="432" t="s">
        <v>41</v>
      </c>
      <c r="DHJ1" s="404"/>
      <c r="DHK1" s="404"/>
      <c r="DHL1" s="404"/>
      <c r="DHM1" s="404"/>
      <c r="DHN1" s="404"/>
      <c r="DHO1" s="404"/>
      <c r="DHP1" s="405"/>
      <c r="DHQ1" s="432" t="s">
        <v>41</v>
      </c>
      <c r="DHR1" s="404"/>
      <c r="DHS1" s="404"/>
      <c r="DHT1" s="404"/>
      <c r="DHU1" s="404"/>
      <c r="DHV1" s="404"/>
      <c r="DHW1" s="404"/>
      <c r="DHX1" s="405"/>
      <c r="DHY1" s="432" t="s">
        <v>41</v>
      </c>
      <c r="DHZ1" s="404"/>
      <c r="DIA1" s="404"/>
      <c r="DIB1" s="404"/>
      <c r="DIC1" s="404"/>
      <c r="DID1" s="404"/>
      <c r="DIE1" s="404"/>
      <c r="DIF1" s="405"/>
      <c r="DIG1" s="432" t="s">
        <v>41</v>
      </c>
      <c r="DIH1" s="404"/>
      <c r="DII1" s="404"/>
      <c r="DIJ1" s="404"/>
      <c r="DIK1" s="404"/>
      <c r="DIL1" s="404"/>
      <c r="DIM1" s="404"/>
      <c r="DIN1" s="405"/>
      <c r="DIO1" s="432" t="s">
        <v>41</v>
      </c>
      <c r="DIP1" s="404"/>
      <c r="DIQ1" s="404"/>
      <c r="DIR1" s="404"/>
      <c r="DIS1" s="404"/>
      <c r="DIT1" s="404"/>
      <c r="DIU1" s="404"/>
      <c r="DIV1" s="405"/>
      <c r="DIW1" s="432" t="s">
        <v>41</v>
      </c>
      <c r="DIX1" s="404"/>
      <c r="DIY1" s="404"/>
      <c r="DIZ1" s="404"/>
      <c r="DJA1" s="404"/>
      <c r="DJB1" s="404"/>
      <c r="DJC1" s="404"/>
      <c r="DJD1" s="405"/>
      <c r="DJE1" s="432" t="s">
        <v>41</v>
      </c>
      <c r="DJF1" s="404"/>
      <c r="DJG1" s="404"/>
      <c r="DJH1" s="404"/>
      <c r="DJI1" s="404"/>
      <c r="DJJ1" s="404"/>
      <c r="DJK1" s="404"/>
      <c r="DJL1" s="405"/>
      <c r="DJM1" s="432" t="s">
        <v>41</v>
      </c>
      <c r="DJN1" s="404"/>
      <c r="DJO1" s="404"/>
      <c r="DJP1" s="404"/>
      <c r="DJQ1" s="404"/>
      <c r="DJR1" s="404"/>
      <c r="DJS1" s="404"/>
      <c r="DJT1" s="405"/>
      <c r="DJU1" s="432" t="s">
        <v>41</v>
      </c>
      <c r="DJV1" s="404"/>
      <c r="DJW1" s="404"/>
      <c r="DJX1" s="404"/>
      <c r="DJY1" s="404"/>
      <c r="DJZ1" s="404"/>
      <c r="DKA1" s="404"/>
      <c r="DKB1" s="405"/>
      <c r="DKC1" s="432" t="s">
        <v>41</v>
      </c>
      <c r="DKD1" s="404"/>
      <c r="DKE1" s="404"/>
      <c r="DKF1" s="404"/>
      <c r="DKG1" s="404"/>
      <c r="DKH1" s="404"/>
      <c r="DKI1" s="404"/>
      <c r="DKJ1" s="405"/>
      <c r="DKK1" s="432" t="s">
        <v>41</v>
      </c>
      <c r="DKL1" s="404"/>
      <c r="DKM1" s="404"/>
      <c r="DKN1" s="404"/>
      <c r="DKO1" s="404"/>
      <c r="DKP1" s="404"/>
      <c r="DKQ1" s="404"/>
      <c r="DKR1" s="405"/>
      <c r="DKS1" s="432" t="s">
        <v>41</v>
      </c>
      <c r="DKT1" s="404"/>
      <c r="DKU1" s="404"/>
      <c r="DKV1" s="404"/>
      <c r="DKW1" s="404"/>
      <c r="DKX1" s="404"/>
      <c r="DKY1" s="404"/>
      <c r="DKZ1" s="405"/>
      <c r="DLA1" s="432" t="s">
        <v>41</v>
      </c>
      <c r="DLB1" s="404"/>
      <c r="DLC1" s="404"/>
      <c r="DLD1" s="404"/>
      <c r="DLE1" s="404"/>
      <c r="DLF1" s="404"/>
      <c r="DLG1" s="404"/>
      <c r="DLH1" s="405"/>
      <c r="DLI1" s="432" t="s">
        <v>41</v>
      </c>
      <c r="DLJ1" s="404"/>
      <c r="DLK1" s="404"/>
      <c r="DLL1" s="404"/>
      <c r="DLM1" s="404"/>
      <c r="DLN1" s="404"/>
      <c r="DLO1" s="404"/>
      <c r="DLP1" s="405"/>
      <c r="DLQ1" s="432" t="s">
        <v>41</v>
      </c>
      <c r="DLR1" s="404"/>
      <c r="DLS1" s="404"/>
      <c r="DLT1" s="404"/>
      <c r="DLU1" s="404"/>
      <c r="DLV1" s="404"/>
      <c r="DLW1" s="404"/>
      <c r="DLX1" s="405"/>
      <c r="DLY1" s="432" t="s">
        <v>41</v>
      </c>
      <c r="DLZ1" s="404"/>
      <c r="DMA1" s="404"/>
      <c r="DMB1" s="404"/>
      <c r="DMC1" s="404"/>
      <c r="DMD1" s="404"/>
      <c r="DME1" s="404"/>
      <c r="DMF1" s="405"/>
      <c r="DMG1" s="432" t="s">
        <v>41</v>
      </c>
      <c r="DMH1" s="404"/>
      <c r="DMI1" s="404"/>
      <c r="DMJ1" s="404"/>
      <c r="DMK1" s="404"/>
      <c r="DML1" s="404"/>
      <c r="DMM1" s="404"/>
      <c r="DMN1" s="405"/>
      <c r="DMO1" s="432" t="s">
        <v>41</v>
      </c>
      <c r="DMP1" s="404"/>
      <c r="DMQ1" s="404"/>
      <c r="DMR1" s="404"/>
      <c r="DMS1" s="404"/>
      <c r="DMT1" s="404"/>
      <c r="DMU1" s="404"/>
      <c r="DMV1" s="405"/>
      <c r="DMW1" s="432" t="s">
        <v>41</v>
      </c>
      <c r="DMX1" s="404"/>
      <c r="DMY1" s="404"/>
      <c r="DMZ1" s="404"/>
      <c r="DNA1" s="404"/>
      <c r="DNB1" s="404"/>
      <c r="DNC1" s="404"/>
      <c r="DND1" s="405"/>
      <c r="DNE1" s="432" t="s">
        <v>41</v>
      </c>
      <c r="DNF1" s="404"/>
      <c r="DNG1" s="404"/>
      <c r="DNH1" s="404"/>
      <c r="DNI1" s="404"/>
      <c r="DNJ1" s="404"/>
      <c r="DNK1" s="404"/>
      <c r="DNL1" s="405"/>
      <c r="DNM1" s="432" t="s">
        <v>41</v>
      </c>
      <c r="DNN1" s="404"/>
      <c r="DNO1" s="404"/>
      <c r="DNP1" s="404"/>
      <c r="DNQ1" s="404"/>
      <c r="DNR1" s="404"/>
      <c r="DNS1" s="404"/>
      <c r="DNT1" s="405"/>
      <c r="DNU1" s="432" t="s">
        <v>41</v>
      </c>
      <c r="DNV1" s="404"/>
      <c r="DNW1" s="404"/>
      <c r="DNX1" s="404"/>
      <c r="DNY1" s="404"/>
      <c r="DNZ1" s="404"/>
      <c r="DOA1" s="404"/>
      <c r="DOB1" s="405"/>
      <c r="DOC1" s="432" t="s">
        <v>41</v>
      </c>
      <c r="DOD1" s="404"/>
      <c r="DOE1" s="404"/>
      <c r="DOF1" s="404"/>
      <c r="DOG1" s="404"/>
      <c r="DOH1" s="404"/>
      <c r="DOI1" s="404"/>
      <c r="DOJ1" s="405"/>
      <c r="DOK1" s="432" t="s">
        <v>41</v>
      </c>
      <c r="DOL1" s="404"/>
      <c r="DOM1" s="404"/>
      <c r="DON1" s="404"/>
      <c r="DOO1" s="404"/>
      <c r="DOP1" s="404"/>
      <c r="DOQ1" s="404"/>
      <c r="DOR1" s="405"/>
      <c r="DOS1" s="432" t="s">
        <v>41</v>
      </c>
      <c r="DOT1" s="404"/>
      <c r="DOU1" s="404"/>
      <c r="DOV1" s="404"/>
      <c r="DOW1" s="404"/>
      <c r="DOX1" s="404"/>
      <c r="DOY1" s="404"/>
      <c r="DOZ1" s="405"/>
      <c r="DPA1" s="432" t="s">
        <v>41</v>
      </c>
      <c r="DPB1" s="404"/>
      <c r="DPC1" s="404"/>
      <c r="DPD1" s="404"/>
      <c r="DPE1" s="404"/>
      <c r="DPF1" s="404"/>
      <c r="DPG1" s="404"/>
      <c r="DPH1" s="405"/>
      <c r="DPI1" s="432" t="s">
        <v>41</v>
      </c>
      <c r="DPJ1" s="404"/>
      <c r="DPK1" s="404"/>
      <c r="DPL1" s="404"/>
      <c r="DPM1" s="404"/>
      <c r="DPN1" s="404"/>
      <c r="DPO1" s="404"/>
      <c r="DPP1" s="405"/>
      <c r="DPQ1" s="432" t="s">
        <v>41</v>
      </c>
      <c r="DPR1" s="404"/>
      <c r="DPS1" s="404"/>
      <c r="DPT1" s="404"/>
      <c r="DPU1" s="404"/>
      <c r="DPV1" s="404"/>
      <c r="DPW1" s="404"/>
      <c r="DPX1" s="405"/>
      <c r="DPY1" s="432" t="s">
        <v>41</v>
      </c>
      <c r="DPZ1" s="404"/>
      <c r="DQA1" s="404"/>
      <c r="DQB1" s="404"/>
      <c r="DQC1" s="404"/>
      <c r="DQD1" s="404"/>
      <c r="DQE1" s="404"/>
      <c r="DQF1" s="405"/>
      <c r="DQG1" s="432" t="s">
        <v>41</v>
      </c>
      <c r="DQH1" s="404"/>
      <c r="DQI1" s="404"/>
      <c r="DQJ1" s="404"/>
      <c r="DQK1" s="404"/>
      <c r="DQL1" s="404"/>
      <c r="DQM1" s="404"/>
      <c r="DQN1" s="405"/>
      <c r="DQO1" s="432" t="s">
        <v>41</v>
      </c>
      <c r="DQP1" s="404"/>
      <c r="DQQ1" s="404"/>
      <c r="DQR1" s="404"/>
      <c r="DQS1" s="404"/>
      <c r="DQT1" s="404"/>
      <c r="DQU1" s="404"/>
      <c r="DQV1" s="405"/>
      <c r="DQW1" s="432" t="s">
        <v>41</v>
      </c>
      <c r="DQX1" s="404"/>
      <c r="DQY1" s="404"/>
      <c r="DQZ1" s="404"/>
      <c r="DRA1" s="404"/>
      <c r="DRB1" s="404"/>
      <c r="DRC1" s="404"/>
      <c r="DRD1" s="405"/>
      <c r="DRE1" s="432" t="s">
        <v>41</v>
      </c>
      <c r="DRF1" s="404"/>
      <c r="DRG1" s="404"/>
      <c r="DRH1" s="404"/>
      <c r="DRI1" s="404"/>
      <c r="DRJ1" s="404"/>
      <c r="DRK1" s="404"/>
      <c r="DRL1" s="405"/>
      <c r="DRM1" s="432" t="s">
        <v>41</v>
      </c>
      <c r="DRN1" s="404"/>
      <c r="DRO1" s="404"/>
      <c r="DRP1" s="404"/>
      <c r="DRQ1" s="404"/>
      <c r="DRR1" s="404"/>
      <c r="DRS1" s="404"/>
      <c r="DRT1" s="405"/>
      <c r="DRU1" s="432" t="s">
        <v>41</v>
      </c>
      <c r="DRV1" s="404"/>
      <c r="DRW1" s="404"/>
      <c r="DRX1" s="404"/>
      <c r="DRY1" s="404"/>
      <c r="DRZ1" s="404"/>
      <c r="DSA1" s="404"/>
      <c r="DSB1" s="405"/>
      <c r="DSC1" s="432" t="s">
        <v>41</v>
      </c>
      <c r="DSD1" s="404"/>
      <c r="DSE1" s="404"/>
      <c r="DSF1" s="404"/>
      <c r="DSG1" s="404"/>
      <c r="DSH1" s="404"/>
      <c r="DSI1" s="404"/>
      <c r="DSJ1" s="405"/>
      <c r="DSK1" s="432" t="s">
        <v>41</v>
      </c>
      <c r="DSL1" s="404"/>
      <c r="DSM1" s="404"/>
      <c r="DSN1" s="404"/>
      <c r="DSO1" s="404"/>
      <c r="DSP1" s="404"/>
      <c r="DSQ1" s="404"/>
      <c r="DSR1" s="405"/>
      <c r="DSS1" s="432" t="s">
        <v>41</v>
      </c>
      <c r="DST1" s="404"/>
      <c r="DSU1" s="404"/>
      <c r="DSV1" s="404"/>
      <c r="DSW1" s="404"/>
      <c r="DSX1" s="404"/>
      <c r="DSY1" s="404"/>
      <c r="DSZ1" s="405"/>
      <c r="DTA1" s="432" t="s">
        <v>41</v>
      </c>
      <c r="DTB1" s="404"/>
      <c r="DTC1" s="404"/>
      <c r="DTD1" s="404"/>
      <c r="DTE1" s="404"/>
      <c r="DTF1" s="404"/>
      <c r="DTG1" s="404"/>
      <c r="DTH1" s="405"/>
      <c r="DTI1" s="432" t="s">
        <v>41</v>
      </c>
      <c r="DTJ1" s="404"/>
      <c r="DTK1" s="404"/>
      <c r="DTL1" s="404"/>
      <c r="DTM1" s="404"/>
      <c r="DTN1" s="404"/>
      <c r="DTO1" s="404"/>
      <c r="DTP1" s="405"/>
      <c r="DTQ1" s="432" t="s">
        <v>41</v>
      </c>
      <c r="DTR1" s="404"/>
      <c r="DTS1" s="404"/>
      <c r="DTT1" s="404"/>
      <c r="DTU1" s="404"/>
      <c r="DTV1" s="404"/>
      <c r="DTW1" s="404"/>
      <c r="DTX1" s="405"/>
      <c r="DTY1" s="432" t="s">
        <v>41</v>
      </c>
      <c r="DTZ1" s="404"/>
      <c r="DUA1" s="404"/>
      <c r="DUB1" s="404"/>
      <c r="DUC1" s="404"/>
      <c r="DUD1" s="404"/>
      <c r="DUE1" s="404"/>
      <c r="DUF1" s="405"/>
      <c r="DUG1" s="432" t="s">
        <v>41</v>
      </c>
      <c r="DUH1" s="404"/>
      <c r="DUI1" s="404"/>
      <c r="DUJ1" s="404"/>
      <c r="DUK1" s="404"/>
      <c r="DUL1" s="404"/>
      <c r="DUM1" s="404"/>
      <c r="DUN1" s="405"/>
      <c r="DUO1" s="432" t="s">
        <v>41</v>
      </c>
      <c r="DUP1" s="404"/>
      <c r="DUQ1" s="404"/>
      <c r="DUR1" s="404"/>
      <c r="DUS1" s="404"/>
      <c r="DUT1" s="404"/>
      <c r="DUU1" s="404"/>
      <c r="DUV1" s="405"/>
      <c r="DUW1" s="432" t="s">
        <v>41</v>
      </c>
      <c r="DUX1" s="404"/>
      <c r="DUY1" s="404"/>
      <c r="DUZ1" s="404"/>
      <c r="DVA1" s="404"/>
      <c r="DVB1" s="404"/>
      <c r="DVC1" s="404"/>
      <c r="DVD1" s="405"/>
      <c r="DVE1" s="432" t="s">
        <v>41</v>
      </c>
      <c r="DVF1" s="404"/>
      <c r="DVG1" s="404"/>
      <c r="DVH1" s="404"/>
      <c r="DVI1" s="404"/>
      <c r="DVJ1" s="404"/>
      <c r="DVK1" s="404"/>
      <c r="DVL1" s="405"/>
      <c r="DVM1" s="432" t="s">
        <v>41</v>
      </c>
      <c r="DVN1" s="404"/>
      <c r="DVO1" s="404"/>
      <c r="DVP1" s="404"/>
      <c r="DVQ1" s="404"/>
      <c r="DVR1" s="404"/>
      <c r="DVS1" s="404"/>
      <c r="DVT1" s="405"/>
      <c r="DVU1" s="432" t="s">
        <v>41</v>
      </c>
      <c r="DVV1" s="404"/>
      <c r="DVW1" s="404"/>
      <c r="DVX1" s="404"/>
      <c r="DVY1" s="404"/>
      <c r="DVZ1" s="404"/>
      <c r="DWA1" s="404"/>
      <c r="DWB1" s="405"/>
      <c r="DWC1" s="432" t="s">
        <v>41</v>
      </c>
      <c r="DWD1" s="404"/>
      <c r="DWE1" s="404"/>
      <c r="DWF1" s="404"/>
      <c r="DWG1" s="404"/>
      <c r="DWH1" s="404"/>
      <c r="DWI1" s="404"/>
      <c r="DWJ1" s="405"/>
      <c r="DWK1" s="432" t="s">
        <v>41</v>
      </c>
      <c r="DWL1" s="404"/>
      <c r="DWM1" s="404"/>
      <c r="DWN1" s="404"/>
      <c r="DWO1" s="404"/>
      <c r="DWP1" s="404"/>
      <c r="DWQ1" s="404"/>
      <c r="DWR1" s="405"/>
      <c r="DWS1" s="432" t="s">
        <v>41</v>
      </c>
      <c r="DWT1" s="404"/>
      <c r="DWU1" s="404"/>
      <c r="DWV1" s="404"/>
      <c r="DWW1" s="404"/>
      <c r="DWX1" s="404"/>
      <c r="DWY1" s="404"/>
      <c r="DWZ1" s="405"/>
      <c r="DXA1" s="432" t="s">
        <v>41</v>
      </c>
      <c r="DXB1" s="404"/>
      <c r="DXC1" s="404"/>
      <c r="DXD1" s="404"/>
      <c r="DXE1" s="404"/>
      <c r="DXF1" s="404"/>
      <c r="DXG1" s="404"/>
      <c r="DXH1" s="405"/>
      <c r="DXI1" s="432" t="s">
        <v>41</v>
      </c>
      <c r="DXJ1" s="404"/>
      <c r="DXK1" s="404"/>
      <c r="DXL1" s="404"/>
      <c r="DXM1" s="404"/>
      <c r="DXN1" s="404"/>
      <c r="DXO1" s="404"/>
      <c r="DXP1" s="405"/>
      <c r="DXQ1" s="432" t="s">
        <v>41</v>
      </c>
      <c r="DXR1" s="404"/>
      <c r="DXS1" s="404"/>
      <c r="DXT1" s="404"/>
      <c r="DXU1" s="404"/>
      <c r="DXV1" s="404"/>
      <c r="DXW1" s="404"/>
      <c r="DXX1" s="405"/>
      <c r="DXY1" s="432" t="s">
        <v>41</v>
      </c>
      <c r="DXZ1" s="404"/>
      <c r="DYA1" s="404"/>
      <c r="DYB1" s="404"/>
      <c r="DYC1" s="404"/>
      <c r="DYD1" s="404"/>
      <c r="DYE1" s="404"/>
      <c r="DYF1" s="405"/>
      <c r="DYG1" s="432" t="s">
        <v>41</v>
      </c>
      <c r="DYH1" s="404"/>
      <c r="DYI1" s="404"/>
      <c r="DYJ1" s="404"/>
      <c r="DYK1" s="404"/>
      <c r="DYL1" s="404"/>
      <c r="DYM1" s="404"/>
      <c r="DYN1" s="405"/>
      <c r="DYO1" s="432" t="s">
        <v>41</v>
      </c>
      <c r="DYP1" s="404"/>
      <c r="DYQ1" s="404"/>
      <c r="DYR1" s="404"/>
      <c r="DYS1" s="404"/>
      <c r="DYT1" s="404"/>
      <c r="DYU1" s="404"/>
      <c r="DYV1" s="405"/>
      <c r="DYW1" s="432" t="s">
        <v>41</v>
      </c>
      <c r="DYX1" s="404"/>
      <c r="DYY1" s="404"/>
      <c r="DYZ1" s="404"/>
      <c r="DZA1" s="404"/>
      <c r="DZB1" s="404"/>
      <c r="DZC1" s="404"/>
      <c r="DZD1" s="405"/>
      <c r="DZE1" s="432" t="s">
        <v>41</v>
      </c>
      <c r="DZF1" s="404"/>
      <c r="DZG1" s="404"/>
      <c r="DZH1" s="404"/>
      <c r="DZI1" s="404"/>
      <c r="DZJ1" s="404"/>
      <c r="DZK1" s="404"/>
      <c r="DZL1" s="405"/>
      <c r="DZM1" s="432" t="s">
        <v>41</v>
      </c>
      <c r="DZN1" s="404"/>
      <c r="DZO1" s="404"/>
      <c r="DZP1" s="404"/>
      <c r="DZQ1" s="404"/>
      <c r="DZR1" s="404"/>
      <c r="DZS1" s="404"/>
      <c r="DZT1" s="405"/>
      <c r="DZU1" s="432" t="s">
        <v>41</v>
      </c>
      <c r="DZV1" s="404"/>
      <c r="DZW1" s="404"/>
      <c r="DZX1" s="404"/>
      <c r="DZY1" s="404"/>
      <c r="DZZ1" s="404"/>
      <c r="EAA1" s="404"/>
      <c r="EAB1" s="405"/>
      <c r="EAC1" s="432" t="s">
        <v>41</v>
      </c>
      <c r="EAD1" s="404"/>
      <c r="EAE1" s="404"/>
      <c r="EAF1" s="404"/>
      <c r="EAG1" s="404"/>
      <c r="EAH1" s="404"/>
      <c r="EAI1" s="404"/>
      <c r="EAJ1" s="405"/>
      <c r="EAK1" s="432" t="s">
        <v>41</v>
      </c>
      <c r="EAL1" s="404"/>
      <c r="EAM1" s="404"/>
      <c r="EAN1" s="404"/>
      <c r="EAO1" s="404"/>
      <c r="EAP1" s="404"/>
      <c r="EAQ1" s="404"/>
      <c r="EAR1" s="405"/>
      <c r="EAS1" s="432" t="s">
        <v>41</v>
      </c>
      <c r="EAT1" s="404"/>
      <c r="EAU1" s="404"/>
      <c r="EAV1" s="404"/>
      <c r="EAW1" s="404"/>
      <c r="EAX1" s="404"/>
      <c r="EAY1" s="404"/>
      <c r="EAZ1" s="405"/>
      <c r="EBA1" s="432" t="s">
        <v>41</v>
      </c>
      <c r="EBB1" s="404"/>
      <c r="EBC1" s="404"/>
      <c r="EBD1" s="404"/>
      <c r="EBE1" s="404"/>
      <c r="EBF1" s="404"/>
      <c r="EBG1" s="404"/>
      <c r="EBH1" s="405"/>
      <c r="EBI1" s="432" t="s">
        <v>41</v>
      </c>
      <c r="EBJ1" s="404"/>
      <c r="EBK1" s="404"/>
      <c r="EBL1" s="404"/>
      <c r="EBM1" s="404"/>
      <c r="EBN1" s="404"/>
      <c r="EBO1" s="404"/>
      <c r="EBP1" s="405"/>
      <c r="EBQ1" s="432" t="s">
        <v>41</v>
      </c>
      <c r="EBR1" s="404"/>
      <c r="EBS1" s="404"/>
      <c r="EBT1" s="404"/>
      <c r="EBU1" s="404"/>
      <c r="EBV1" s="404"/>
      <c r="EBW1" s="404"/>
      <c r="EBX1" s="405"/>
      <c r="EBY1" s="432" t="s">
        <v>41</v>
      </c>
      <c r="EBZ1" s="404"/>
      <c r="ECA1" s="404"/>
      <c r="ECB1" s="404"/>
      <c r="ECC1" s="404"/>
      <c r="ECD1" s="404"/>
      <c r="ECE1" s="404"/>
      <c r="ECF1" s="405"/>
      <c r="ECG1" s="432" t="s">
        <v>41</v>
      </c>
      <c r="ECH1" s="404"/>
      <c r="ECI1" s="404"/>
      <c r="ECJ1" s="404"/>
      <c r="ECK1" s="404"/>
      <c r="ECL1" s="404"/>
      <c r="ECM1" s="404"/>
      <c r="ECN1" s="405"/>
      <c r="ECO1" s="432" t="s">
        <v>41</v>
      </c>
      <c r="ECP1" s="404"/>
      <c r="ECQ1" s="404"/>
      <c r="ECR1" s="404"/>
      <c r="ECS1" s="404"/>
      <c r="ECT1" s="404"/>
      <c r="ECU1" s="404"/>
      <c r="ECV1" s="405"/>
      <c r="ECW1" s="432" t="s">
        <v>41</v>
      </c>
      <c r="ECX1" s="404"/>
      <c r="ECY1" s="404"/>
      <c r="ECZ1" s="404"/>
      <c r="EDA1" s="404"/>
      <c r="EDB1" s="404"/>
      <c r="EDC1" s="404"/>
      <c r="EDD1" s="405"/>
      <c r="EDE1" s="432" t="s">
        <v>41</v>
      </c>
      <c r="EDF1" s="404"/>
      <c r="EDG1" s="404"/>
      <c r="EDH1" s="404"/>
      <c r="EDI1" s="404"/>
      <c r="EDJ1" s="404"/>
      <c r="EDK1" s="404"/>
      <c r="EDL1" s="405"/>
      <c r="EDM1" s="432" t="s">
        <v>41</v>
      </c>
      <c r="EDN1" s="404"/>
      <c r="EDO1" s="404"/>
      <c r="EDP1" s="404"/>
      <c r="EDQ1" s="404"/>
      <c r="EDR1" s="404"/>
      <c r="EDS1" s="404"/>
      <c r="EDT1" s="405"/>
      <c r="EDU1" s="432" t="s">
        <v>41</v>
      </c>
      <c r="EDV1" s="404"/>
      <c r="EDW1" s="404"/>
      <c r="EDX1" s="404"/>
      <c r="EDY1" s="404"/>
      <c r="EDZ1" s="404"/>
      <c r="EEA1" s="404"/>
      <c r="EEB1" s="405"/>
      <c r="EEC1" s="432" t="s">
        <v>41</v>
      </c>
      <c r="EED1" s="404"/>
      <c r="EEE1" s="404"/>
      <c r="EEF1" s="404"/>
      <c r="EEG1" s="404"/>
      <c r="EEH1" s="404"/>
      <c r="EEI1" s="404"/>
      <c r="EEJ1" s="405"/>
      <c r="EEK1" s="432" t="s">
        <v>41</v>
      </c>
      <c r="EEL1" s="404"/>
      <c r="EEM1" s="404"/>
      <c r="EEN1" s="404"/>
      <c r="EEO1" s="404"/>
      <c r="EEP1" s="404"/>
      <c r="EEQ1" s="404"/>
      <c r="EER1" s="405"/>
      <c r="EES1" s="432" t="s">
        <v>41</v>
      </c>
      <c r="EET1" s="404"/>
      <c r="EEU1" s="404"/>
      <c r="EEV1" s="404"/>
      <c r="EEW1" s="404"/>
      <c r="EEX1" s="404"/>
      <c r="EEY1" s="404"/>
      <c r="EEZ1" s="405"/>
      <c r="EFA1" s="432" t="s">
        <v>41</v>
      </c>
      <c r="EFB1" s="404"/>
      <c r="EFC1" s="404"/>
      <c r="EFD1" s="404"/>
      <c r="EFE1" s="404"/>
      <c r="EFF1" s="404"/>
      <c r="EFG1" s="404"/>
      <c r="EFH1" s="405"/>
      <c r="EFI1" s="432" t="s">
        <v>41</v>
      </c>
      <c r="EFJ1" s="404"/>
      <c r="EFK1" s="404"/>
      <c r="EFL1" s="404"/>
      <c r="EFM1" s="404"/>
      <c r="EFN1" s="404"/>
      <c r="EFO1" s="404"/>
      <c r="EFP1" s="405"/>
      <c r="EFQ1" s="432" t="s">
        <v>41</v>
      </c>
      <c r="EFR1" s="404"/>
      <c r="EFS1" s="404"/>
      <c r="EFT1" s="404"/>
      <c r="EFU1" s="404"/>
      <c r="EFV1" s="404"/>
      <c r="EFW1" s="404"/>
      <c r="EFX1" s="405"/>
      <c r="EFY1" s="432" t="s">
        <v>41</v>
      </c>
      <c r="EFZ1" s="404"/>
      <c r="EGA1" s="404"/>
      <c r="EGB1" s="404"/>
      <c r="EGC1" s="404"/>
      <c r="EGD1" s="404"/>
      <c r="EGE1" s="404"/>
      <c r="EGF1" s="405"/>
      <c r="EGG1" s="432" t="s">
        <v>41</v>
      </c>
      <c r="EGH1" s="404"/>
      <c r="EGI1" s="404"/>
      <c r="EGJ1" s="404"/>
      <c r="EGK1" s="404"/>
      <c r="EGL1" s="404"/>
      <c r="EGM1" s="404"/>
      <c r="EGN1" s="405"/>
      <c r="EGO1" s="432" t="s">
        <v>41</v>
      </c>
      <c r="EGP1" s="404"/>
      <c r="EGQ1" s="404"/>
      <c r="EGR1" s="404"/>
      <c r="EGS1" s="404"/>
      <c r="EGT1" s="404"/>
      <c r="EGU1" s="404"/>
      <c r="EGV1" s="405"/>
      <c r="EGW1" s="432" t="s">
        <v>41</v>
      </c>
      <c r="EGX1" s="404"/>
      <c r="EGY1" s="404"/>
      <c r="EGZ1" s="404"/>
      <c r="EHA1" s="404"/>
      <c r="EHB1" s="404"/>
      <c r="EHC1" s="404"/>
      <c r="EHD1" s="405"/>
      <c r="EHE1" s="432" t="s">
        <v>41</v>
      </c>
      <c r="EHF1" s="404"/>
      <c r="EHG1" s="404"/>
      <c r="EHH1" s="404"/>
      <c r="EHI1" s="404"/>
      <c r="EHJ1" s="404"/>
      <c r="EHK1" s="404"/>
      <c r="EHL1" s="405"/>
      <c r="EHM1" s="432" t="s">
        <v>41</v>
      </c>
      <c r="EHN1" s="404"/>
      <c r="EHO1" s="404"/>
      <c r="EHP1" s="404"/>
      <c r="EHQ1" s="404"/>
      <c r="EHR1" s="404"/>
      <c r="EHS1" s="404"/>
      <c r="EHT1" s="405"/>
      <c r="EHU1" s="432" t="s">
        <v>41</v>
      </c>
      <c r="EHV1" s="404"/>
      <c r="EHW1" s="404"/>
      <c r="EHX1" s="404"/>
      <c r="EHY1" s="404"/>
      <c r="EHZ1" s="404"/>
      <c r="EIA1" s="404"/>
      <c r="EIB1" s="405"/>
      <c r="EIC1" s="432" t="s">
        <v>41</v>
      </c>
      <c r="EID1" s="404"/>
      <c r="EIE1" s="404"/>
      <c r="EIF1" s="404"/>
      <c r="EIG1" s="404"/>
      <c r="EIH1" s="404"/>
      <c r="EII1" s="404"/>
      <c r="EIJ1" s="405"/>
      <c r="EIK1" s="432" t="s">
        <v>41</v>
      </c>
      <c r="EIL1" s="404"/>
      <c r="EIM1" s="404"/>
      <c r="EIN1" s="404"/>
      <c r="EIO1" s="404"/>
      <c r="EIP1" s="404"/>
      <c r="EIQ1" s="404"/>
      <c r="EIR1" s="405"/>
      <c r="EIS1" s="432" t="s">
        <v>41</v>
      </c>
      <c r="EIT1" s="404"/>
      <c r="EIU1" s="404"/>
      <c r="EIV1" s="404"/>
      <c r="EIW1" s="404"/>
      <c r="EIX1" s="404"/>
      <c r="EIY1" s="404"/>
      <c r="EIZ1" s="405"/>
      <c r="EJA1" s="432" t="s">
        <v>41</v>
      </c>
      <c r="EJB1" s="404"/>
      <c r="EJC1" s="404"/>
      <c r="EJD1" s="404"/>
      <c r="EJE1" s="404"/>
      <c r="EJF1" s="404"/>
      <c r="EJG1" s="404"/>
      <c r="EJH1" s="405"/>
      <c r="EJI1" s="432" t="s">
        <v>41</v>
      </c>
      <c r="EJJ1" s="404"/>
      <c r="EJK1" s="404"/>
      <c r="EJL1" s="404"/>
      <c r="EJM1" s="404"/>
      <c r="EJN1" s="404"/>
      <c r="EJO1" s="404"/>
      <c r="EJP1" s="405"/>
      <c r="EJQ1" s="432" t="s">
        <v>41</v>
      </c>
      <c r="EJR1" s="404"/>
      <c r="EJS1" s="404"/>
      <c r="EJT1" s="404"/>
      <c r="EJU1" s="404"/>
      <c r="EJV1" s="404"/>
      <c r="EJW1" s="404"/>
      <c r="EJX1" s="405"/>
      <c r="EJY1" s="432" t="s">
        <v>41</v>
      </c>
      <c r="EJZ1" s="404"/>
      <c r="EKA1" s="404"/>
      <c r="EKB1" s="404"/>
      <c r="EKC1" s="404"/>
      <c r="EKD1" s="404"/>
      <c r="EKE1" s="404"/>
      <c r="EKF1" s="405"/>
      <c r="EKG1" s="432" t="s">
        <v>41</v>
      </c>
      <c r="EKH1" s="404"/>
      <c r="EKI1" s="404"/>
      <c r="EKJ1" s="404"/>
      <c r="EKK1" s="404"/>
      <c r="EKL1" s="404"/>
      <c r="EKM1" s="404"/>
      <c r="EKN1" s="405"/>
      <c r="EKO1" s="432" t="s">
        <v>41</v>
      </c>
      <c r="EKP1" s="404"/>
      <c r="EKQ1" s="404"/>
      <c r="EKR1" s="404"/>
      <c r="EKS1" s="404"/>
      <c r="EKT1" s="404"/>
      <c r="EKU1" s="404"/>
      <c r="EKV1" s="405"/>
      <c r="EKW1" s="432" t="s">
        <v>41</v>
      </c>
      <c r="EKX1" s="404"/>
      <c r="EKY1" s="404"/>
      <c r="EKZ1" s="404"/>
      <c r="ELA1" s="404"/>
      <c r="ELB1" s="404"/>
      <c r="ELC1" s="404"/>
      <c r="ELD1" s="405"/>
      <c r="ELE1" s="432" t="s">
        <v>41</v>
      </c>
      <c r="ELF1" s="404"/>
      <c r="ELG1" s="404"/>
      <c r="ELH1" s="404"/>
      <c r="ELI1" s="404"/>
      <c r="ELJ1" s="404"/>
      <c r="ELK1" s="404"/>
      <c r="ELL1" s="405"/>
      <c r="ELM1" s="432" t="s">
        <v>41</v>
      </c>
      <c r="ELN1" s="404"/>
      <c r="ELO1" s="404"/>
      <c r="ELP1" s="404"/>
      <c r="ELQ1" s="404"/>
      <c r="ELR1" s="404"/>
      <c r="ELS1" s="404"/>
      <c r="ELT1" s="405"/>
      <c r="ELU1" s="432" t="s">
        <v>41</v>
      </c>
      <c r="ELV1" s="404"/>
      <c r="ELW1" s="404"/>
      <c r="ELX1" s="404"/>
      <c r="ELY1" s="404"/>
      <c r="ELZ1" s="404"/>
      <c r="EMA1" s="404"/>
      <c r="EMB1" s="405"/>
      <c r="EMC1" s="432" t="s">
        <v>41</v>
      </c>
      <c r="EMD1" s="404"/>
      <c r="EME1" s="404"/>
      <c r="EMF1" s="404"/>
      <c r="EMG1" s="404"/>
      <c r="EMH1" s="404"/>
      <c r="EMI1" s="404"/>
      <c r="EMJ1" s="405"/>
      <c r="EMK1" s="432" t="s">
        <v>41</v>
      </c>
      <c r="EML1" s="404"/>
      <c r="EMM1" s="404"/>
      <c r="EMN1" s="404"/>
      <c r="EMO1" s="404"/>
      <c r="EMP1" s="404"/>
      <c r="EMQ1" s="404"/>
      <c r="EMR1" s="405"/>
      <c r="EMS1" s="432" t="s">
        <v>41</v>
      </c>
      <c r="EMT1" s="404"/>
      <c r="EMU1" s="404"/>
      <c r="EMV1" s="404"/>
      <c r="EMW1" s="404"/>
      <c r="EMX1" s="404"/>
      <c r="EMY1" s="404"/>
      <c r="EMZ1" s="405"/>
      <c r="ENA1" s="432" t="s">
        <v>41</v>
      </c>
      <c r="ENB1" s="404"/>
      <c r="ENC1" s="404"/>
      <c r="END1" s="404"/>
      <c r="ENE1" s="404"/>
      <c r="ENF1" s="404"/>
      <c r="ENG1" s="404"/>
      <c r="ENH1" s="405"/>
      <c r="ENI1" s="432" t="s">
        <v>41</v>
      </c>
      <c r="ENJ1" s="404"/>
      <c r="ENK1" s="404"/>
      <c r="ENL1" s="404"/>
      <c r="ENM1" s="404"/>
      <c r="ENN1" s="404"/>
      <c r="ENO1" s="404"/>
      <c r="ENP1" s="405"/>
      <c r="ENQ1" s="432" t="s">
        <v>41</v>
      </c>
      <c r="ENR1" s="404"/>
      <c r="ENS1" s="404"/>
      <c r="ENT1" s="404"/>
      <c r="ENU1" s="404"/>
      <c r="ENV1" s="404"/>
      <c r="ENW1" s="404"/>
      <c r="ENX1" s="405"/>
      <c r="ENY1" s="432" t="s">
        <v>41</v>
      </c>
      <c r="ENZ1" s="404"/>
      <c r="EOA1" s="404"/>
      <c r="EOB1" s="404"/>
      <c r="EOC1" s="404"/>
      <c r="EOD1" s="404"/>
      <c r="EOE1" s="404"/>
      <c r="EOF1" s="405"/>
      <c r="EOG1" s="432" t="s">
        <v>41</v>
      </c>
      <c r="EOH1" s="404"/>
      <c r="EOI1" s="404"/>
      <c r="EOJ1" s="404"/>
      <c r="EOK1" s="404"/>
      <c r="EOL1" s="404"/>
      <c r="EOM1" s="404"/>
      <c r="EON1" s="405"/>
      <c r="EOO1" s="432" t="s">
        <v>41</v>
      </c>
      <c r="EOP1" s="404"/>
      <c r="EOQ1" s="404"/>
      <c r="EOR1" s="404"/>
      <c r="EOS1" s="404"/>
      <c r="EOT1" s="404"/>
      <c r="EOU1" s="404"/>
      <c r="EOV1" s="405"/>
      <c r="EOW1" s="432" t="s">
        <v>41</v>
      </c>
      <c r="EOX1" s="404"/>
      <c r="EOY1" s="404"/>
      <c r="EOZ1" s="404"/>
      <c r="EPA1" s="404"/>
      <c r="EPB1" s="404"/>
      <c r="EPC1" s="404"/>
      <c r="EPD1" s="405"/>
      <c r="EPE1" s="432" t="s">
        <v>41</v>
      </c>
      <c r="EPF1" s="404"/>
      <c r="EPG1" s="404"/>
      <c r="EPH1" s="404"/>
      <c r="EPI1" s="404"/>
      <c r="EPJ1" s="404"/>
      <c r="EPK1" s="404"/>
      <c r="EPL1" s="405"/>
      <c r="EPM1" s="432" t="s">
        <v>41</v>
      </c>
      <c r="EPN1" s="404"/>
      <c r="EPO1" s="404"/>
      <c r="EPP1" s="404"/>
      <c r="EPQ1" s="404"/>
      <c r="EPR1" s="404"/>
      <c r="EPS1" s="404"/>
      <c r="EPT1" s="405"/>
      <c r="EPU1" s="432" t="s">
        <v>41</v>
      </c>
      <c r="EPV1" s="404"/>
      <c r="EPW1" s="404"/>
      <c r="EPX1" s="404"/>
      <c r="EPY1" s="404"/>
      <c r="EPZ1" s="404"/>
      <c r="EQA1" s="404"/>
      <c r="EQB1" s="405"/>
      <c r="EQC1" s="432" t="s">
        <v>41</v>
      </c>
      <c r="EQD1" s="404"/>
      <c r="EQE1" s="404"/>
      <c r="EQF1" s="404"/>
      <c r="EQG1" s="404"/>
      <c r="EQH1" s="404"/>
      <c r="EQI1" s="404"/>
      <c r="EQJ1" s="405"/>
      <c r="EQK1" s="432" t="s">
        <v>41</v>
      </c>
      <c r="EQL1" s="404"/>
      <c r="EQM1" s="404"/>
      <c r="EQN1" s="404"/>
      <c r="EQO1" s="404"/>
      <c r="EQP1" s="404"/>
      <c r="EQQ1" s="404"/>
      <c r="EQR1" s="405"/>
      <c r="EQS1" s="432" t="s">
        <v>41</v>
      </c>
      <c r="EQT1" s="404"/>
      <c r="EQU1" s="404"/>
      <c r="EQV1" s="404"/>
      <c r="EQW1" s="404"/>
      <c r="EQX1" s="404"/>
      <c r="EQY1" s="404"/>
      <c r="EQZ1" s="405"/>
      <c r="ERA1" s="432" t="s">
        <v>41</v>
      </c>
      <c r="ERB1" s="404"/>
      <c r="ERC1" s="404"/>
      <c r="ERD1" s="404"/>
      <c r="ERE1" s="404"/>
      <c r="ERF1" s="404"/>
      <c r="ERG1" s="404"/>
      <c r="ERH1" s="405"/>
      <c r="ERI1" s="432" t="s">
        <v>41</v>
      </c>
      <c r="ERJ1" s="404"/>
      <c r="ERK1" s="404"/>
      <c r="ERL1" s="404"/>
      <c r="ERM1" s="404"/>
      <c r="ERN1" s="404"/>
      <c r="ERO1" s="404"/>
      <c r="ERP1" s="405"/>
      <c r="ERQ1" s="432" t="s">
        <v>41</v>
      </c>
      <c r="ERR1" s="404"/>
      <c r="ERS1" s="404"/>
      <c r="ERT1" s="404"/>
      <c r="ERU1" s="404"/>
      <c r="ERV1" s="404"/>
      <c r="ERW1" s="404"/>
      <c r="ERX1" s="405"/>
      <c r="ERY1" s="432" t="s">
        <v>41</v>
      </c>
      <c r="ERZ1" s="404"/>
      <c r="ESA1" s="404"/>
      <c r="ESB1" s="404"/>
      <c r="ESC1" s="404"/>
      <c r="ESD1" s="404"/>
      <c r="ESE1" s="404"/>
      <c r="ESF1" s="405"/>
      <c r="ESG1" s="432" t="s">
        <v>41</v>
      </c>
      <c r="ESH1" s="404"/>
      <c r="ESI1" s="404"/>
      <c r="ESJ1" s="404"/>
      <c r="ESK1" s="404"/>
      <c r="ESL1" s="404"/>
      <c r="ESM1" s="404"/>
      <c r="ESN1" s="405"/>
      <c r="ESO1" s="432" t="s">
        <v>41</v>
      </c>
      <c r="ESP1" s="404"/>
      <c r="ESQ1" s="404"/>
      <c r="ESR1" s="404"/>
      <c r="ESS1" s="404"/>
      <c r="EST1" s="404"/>
      <c r="ESU1" s="404"/>
      <c r="ESV1" s="405"/>
      <c r="ESW1" s="432" t="s">
        <v>41</v>
      </c>
      <c r="ESX1" s="404"/>
      <c r="ESY1" s="404"/>
      <c r="ESZ1" s="404"/>
      <c r="ETA1" s="404"/>
      <c r="ETB1" s="404"/>
      <c r="ETC1" s="404"/>
      <c r="ETD1" s="405"/>
      <c r="ETE1" s="432" t="s">
        <v>41</v>
      </c>
      <c r="ETF1" s="404"/>
      <c r="ETG1" s="404"/>
      <c r="ETH1" s="404"/>
      <c r="ETI1" s="404"/>
      <c r="ETJ1" s="404"/>
      <c r="ETK1" s="404"/>
      <c r="ETL1" s="405"/>
      <c r="ETM1" s="432" t="s">
        <v>41</v>
      </c>
      <c r="ETN1" s="404"/>
      <c r="ETO1" s="404"/>
      <c r="ETP1" s="404"/>
      <c r="ETQ1" s="404"/>
      <c r="ETR1" s="404"/>
      <c r="ETS1" s="404"/>
      <c r="ETT1" s="405"/>
      <c r="ETU1" s="432" t="s">
        <v>41</v>
      </c>
      <c r="ETV1" s="404"/>
      <c r="ETW1" s="404"/>
      <c r="ETX1" s="404"/>
      <c r="ETY1" s="404"/>
      <c r="ETZ1" s="404"/>
      <c r="EUA1" s="404"/>
      <c r="EUB1" s="405"/>
      <c r="EUC1" s="432" t="s">
        <v>41</v>
      </c>
      <c r="EUD1" s="404"/>
      <c r="EUE1" s="404"/>
      <c r="EUF1" s="404"/>
      <c r="EUG1" s="404"/>
      <c r="EUH1" s="404"/>
      <c r="EUI1" s="404"/>
      <c r="EUJ1" s="405"/>
      <c r="EUK1" s="432" t="s">
        <v>41</v>
      </c>
      <c r="EUL1" s="404"/>
      <c r="EUM1" s="404"/>
      <c r="EUN1" s="404"/>
      <c r="EUO1" s="404"/>
      <c r="EUP1" s="404"/>
      <c r="EUQ1" s="404"/>
      <c r="EUR1" s="405"/>
      <c r="EUS1" s="432" t="s">
        <v>41</v>
      </c>
      <c r="EUT1" s="404"/>
      <c r="EUU1" s="404"/>
      <c r="EUV1" s="404"/>
      <c r="EUW1" s="404"/>
      <c r="EUX1" s="404"/>
      <c r="EUY1" s="404"/>
      <c r="EUZ1" s="405"/>
      <c r="EVA1" s="432" t="s">
        <v>41</v>
      </c>
      <c r="EVB1" s="404"/>
      <c r="EVC1" s="404"/>
      <c r="EVD1" s="404"/>
      <c r="EVE1" s="404"/>
      <c r="EVF1" s="404"/>
      <c r="EVG1" s="404"/>
      <c r="EVH1" s="405"/>
      <c r="EVI1" s="432" t="s">
        <v>41</v>
      </c>
      <c r="EVJ1" s="404"/>
      <c r="EVK1" s="404"/>
      <c r="EVL1" s="404"/>
      <c r="EVM1" s="404"/>
      <c r="EVN1" s="404"/>
      <c r="EVO1" s="404"/>
      <c r="EVP1" s="405"/>
      <c r="EVQ1" s="432" t="s">
        <v>41</v>
      </c>
      <c r="EVR1" s="404"/>
      <c r="EVS1" s="404"/>
      <c r="EVT1" s="404"/>
      <c r="EVU1" s="404"/>
      <c r="EVV1" s="404"/>
      <c r="EVW1" s="404"/>
      <c r="EVX1" s="405"/>
      <c r="EVY1" s="432" t="s">
        <v>41</v>
      </c>
      <c r="EVZ1" s="404"/>
      <c r="EWA1" s="404"/>
      <c r="EWB1" s="404"/>
      <c r="EWC1" s="404"/>
      <c r="EWD1" s="404"/>
      <c r="EWE1" s="404"/>
      <c r="EWF1" s="405"/>
      <c r="EWG1" s="432" t="s">
        <v>41</v>
      </c>
      <c r="EWH1" s="404"/>
      <c r="EWI1" s="404"/>
      <c r="EWJ1" s="404"/>
      <c r="EWK1" s="404"/>
      <c r="EWL1" s="404"/>
      <c r="EWM1" s="404"/>
      <c r="EWN1" s="405"/>
      <c r="EWO1" s="432" t="s">
        <v>41</v>
      </c>
      <c r="EWP1" s="404"/>
      <c r="EWQ1" s="404"/>
      <c r="EWR1" s="404"/>
      <c r="EWS1" s="404"/>
      <c r="EWT1" s="404"/>
      <c r="EWU1" s="404"/>
      <c r="EWV1" s="405"/>
      <c r="EWW1" s="432" t="s">
        <v>41</v>
      </c>
      <c r="EWX1" s="404"/>
      <c r="EWY1" s="404"/>
      <c r="EWZ1" s="404"/>
      <c r="EXA1" s="404"/>
      <c r="EXB1" s="404"/>
      <c r="EXC1" s="404"/>
      <c r="EXD1" s="405"/>
      <c r="EXE1" s="432" t="s">
        <v>41</v>
      </c>
      <c r="EXF1" s="404"/>
      <c r="EXG1" s="404"/>
      <c r="EXH1" s="404"/>
      <c r="EXI1" s="404"/>
      <c r="EXJ1" s="404"/>
      <c r="EXK1" s="404"/>
      <c r="EXL1" s="405"/>
      <c r="EXM1" s="432" t="s">
        <v>41</v>
      </c>
      <c r="EXN1" s="404"/>
      <c r="EXO1" s="404"/>
      <c r="EXP1" s="404"/>
      <c r="EXQ1" s="404"/>
      <c r="EXR1" s="404"/>
      <c r="EXS1" s="404"/>
      <c r="EXT1" s="405"/>
      <c r="EXU1" s="432" t="s">
        <v>41</v>
      </c>
      <c r="EXV1" s="404"/>
      <c r="EXW1" s="404"/>
      <c r="EXX1" s="404"/>
      <c r="EXY1" s="404"/>
      <c r="EXZ1" s="404"/>
      <c r="EYA1" s="404"/>
      <c r="EYB1" s="405"/>
      <c r="EYC1" s="432" t="s">
        <v>41</v>
      </c>
      <c r="EYD1" s="404"/>
      <c r="EYE1" s="404"/>
      <c r="EYF1" s="404"/>
      <c r="EYG1" s="404"/>
      <c r="EYH1" s="404"/>
      <c r="EYI1" s="404"/>
      <c r="EYJ1" s="405"/>
      <c r="EYK1" s="432" t="s">
        <v>41</v>
      </c>
      <c r="EYL1" s="404"/>
      <c r="EYM1" s="404"/>
      <c r="EYN1" s="404"/>
      <c r="EYO1" s="404"/>
      <c r="EYP1" s="404"/>
      <c r="EYQ1" s="404"/>
      <c r="EYR1" s="405"/>
      <c r="EYS1" s="432" t="s">
        <v>41</v>
      </c>
      <c r="EYT1" s="404"/>
      <c r="EYU1" s="404"/>
      <c r="EYV1" s="404"/>
      <c r="EYW1" s="404"/>
      <c r="EYX1" s="404"/>
      <c r="EYY1" s="404"/>
      <c r="EYZ1" s="405"/>
      <c r="EZA1" s="432" t="s">
        <v>41</v>
      </c>
      <c r="EZB1" s="404"/>
      <c r="EZC1" s="404"/>
      <c r="EZD1" s="404"/>
      <c r="EZE1" s="404"/>
      <c r="EZF1" s="404"/>
      <c r="EZG1" s="404"/>
      <c r="EZH1" s="405"/>
      <c r="EZI1" s="432" t="s">
        <v>41</v>
      </c>
      <c r="EZJ1" s="404"/>
      <c r="EZK1" s="404"/>
      <c r="EZL1" s="404"/>
      <c r="EZM1" s="404"/>
      <c r="EZN1" s="404"/>
      <c r="EZO1" s="404"/>
      <c r="EZP1" s="405"/>
      <c r="EZQ1" s="432" t="s">
        <v>41</v>
      </c>
      <c r="EZR1" s="404"/>
      <c r="EZS1" s="404"/>
      <c r="EZT1" s="404"/>
      <c r="EZU1" s="404"/>
      <c r="EZV1" s="404"/>
      <c r="EZW1" s="404"/>
      <c r="EZX1" s="405"/>
      <c r="EZY1" s="432" t="s">
        <v>41</v>
      </c>
      <c r="EZZ1" s="404"/>
      <c r="FAA1" s="404"/>
      <c r="FAB1" s="404"/>
      <c r="FAC1" s="404"/>
      <c r="FAD1" s="404"/>
      <c r="FAE1" s="404"/>
      <c r="FAF1" s="405"/>
      <c r="FAG1" s="432" t="s">
        <v>41</v>
      </c>
      <c r="FAH1" s="404"/>
      <c r="FAI1" s="404"/>
      <c r="FAJ1" s="404"/>
      <c r="FAK1" s="404"/>
      <c r="FAL1" s="404"/>
      <c r="FAM1" s="404"/>
      <c r="FAN1" s="405"/>
      <c r="FAO1" s="432" t="s">
        <v>41</v>
      </c>
      <c r="FAP1" s="404"/>
      <c r="FAQ1" s="404"/>
      <c r="FAR1" s="404"/>
      <c r="FAS1" s="404"/>
      <c r="FAT1" s="404"/>
      <c r="FAU1" s="404"/>
      <c r="FAV1" s="405"/>
      <c r="FAW1" s="432" t="s">
        <v>41</v>
      </c>
      <c r="FAX1" s="404"/>
      <c r="FAY1" s="404"/>
      <c r="FAZ1" s="404"/>
      <c r="FBA1" s="404"/>
      <c r="FBB1" s="404"/>
      <c r="FBC1" s="404"/>
      <c r="FBD1" s="405"/>
      <c r="FBE1" s="432" t="s">
        <v>41</v>
      </c>
      <c r="FBF1" s="404"/>
      <c r="FBG1" s="404"/>
      <c r="FBH1" s="404"/>
      <c r="FBI1" s="404"/>
      <c r="FBJ1" s="404"/>
      <c r="FBK1" s="404"/>
      <c r="FBL1" s="405"/>
      <c r="FBM1" s="432" t="s">
        <v>41</v>
      </c>
      <c r="FBN1" s="404"/>
      <c r="FBO1" s="404"/>
      <c r="FBP1" s="404"/>
      <c r="FBQ1" s="404"/>
      <c r="FBR1" s="404"/>
      <c r="FBS1" s="404"/>
      <c r="FBT1" s="405"/>
      <c r="FBU1" s="432" t="s">
        <v>41</v>
      </c>
      <c r="FBV1" s="404"/>
      <c r="FBW1" s="404"/>
      <c r="FBX1" s="404"/>
      <c r="FBY1" s="404"/>
      <c r="FBZ1" s="404"/>
      <c r="FCA1" s="404"/>
      <c r="FCB1" s="405"/>
      <c r="FCC1" s="432" t="s">
        <v>41</v>
      </c>
      <c r="FCD1" s="404"/>
      <c r="FCE1" s="404"/>
      <c r="FCF1" s="404"/>
      <c r="FCG1" s="404"/>
      <c r="FCH1" s="404"/>
      <c r="FCI1" s="404"/>
      <c r="FCJ1" s="405"/>
      <c r="FCK1" s="432" t="s">
        <v>41</v>
      </c>
      <c r="FCL1" s="404"/>
      <c r="FCM1" s="404"/>
      <c r="FCN1" s="404"/>
      <c r="FCO1" s="404"/>
      <c r="FCP1" s="404"/>
      <c r="FCQ1" s="404"/>
      <c r="FCR1" s="405"/>
      <c r="FCS1" s="432" t="s">
        <v>41</v>
      </c>
      <c r="FCT1" s="404"/>
      <c r="FCU1" s="404"/>
      <c r="FCV1" s="404"/>
      <c r="FCW1" s="404"/>
      <c r="FCX1" s="404"/>
      <c r="FCY1" s="404"/>
      <c r="FCZ1" s="405"/>
      <c r="FDA1" s="432" t="s">
        <v>41</v>
      </c>
      <c r="FDB1" s="404"/>
      <c r="FDC1" s="404"/>
      <c r="FDD1" s="404"/>
      <c r="FDE1" s="404"/>
      <c r="FDF1" s="404"/>
      <c r="FDG1" s="404"/>
      <c r="FDH1" s="405"/>
      <c r="FDI1" s="432" t="s">
        <v>41</v>
      </c>
      <c r="FDJ1" s="404"/>
      <c r="FDK1" s="404"/>
      <c r="FDL1" s="404"/>
      <c r="FDM1" s="404"/>
      <c r="FDN1" s="404"/>
      <c r="FDO1" s="404"/>
      <c r="FDP1" s="405"/>
      <c r="FDQ1" s="432" t="s">
        <v>41</v>
      </c>
      <c r="FDR1" s="404"/>
      <c r="FDS1" s="404"/>
      <c r="FDT1" s="404"/>
      <c r="FDU1" s="404"/>
      <c r="FDV1" s="404"/>
      <c r="FDW1" s="404"/>
      <c r="FDX1" s="405"/>
      <c r="FDY1" s="432" t="s">
        <v>41</v>
      </c>
      <c r="FDZ1" s="404"/>
      <c r="FEA1" s="404"/>
      <c r="FEB1" s="404"/>
      <c r="FEC1" s="404"/>
      <c r="FED1" s="404"/>
      <c r="FEE1" s="404"/>
      <c r="FEF1" s="405"/>
      <c r="FEG1" s="432" t="s">
        <v>41</v>
      </c>
      <c r="FEH1" s="404"/>
      <c r="FEI1" s="404"/>
      <c r="FEJ1" s="404"/>
      <c r="FEK1" s="404"/>
      <c r="FEL1" s="404"/>
      <c r="FEM1" s="404"/>
      <c r="FEN1" s="405"/>
      <c r="FEO1" s="432" t="s">
        <v>41</v>
      </c>
      <c r="FEP1" s="404"/>
      <c r="FEQ1" s="404"/>
      <c r="FER1" s="404"/>
      <c r="FES1" s="404"/>
      <c r="FET1" s="404"/>
      <c r="FEU1" s="404"/>
      <c r="FEV1" s="405"/>
      <c r="FEW1" s="432" t="s">
        <v>41</v>
      </c>
      <c r="FEX1" s="404"/>
      <c r="FEY1" s="404"/>
      <c r="FEZ1" s="404"/>
      <c r="FFA1" s="404"/>
      <c r="FFB1" s="404"/>
      <c r="FFC1" s="404"/>
      <c r="FFD1" s="405"/>
      <c r="FFE1" s="432" t="s">
        <v>41</v>
      </c>
      <c r="FFF1" s="404"/>
      <c r="FFG1" s="404"/>
      <c r="FFH1" s="404"/>
      <c r="FFI1" s="404"/>
      <c r="FFJ1" s="404"/>
      <c r="FFK1" s="404"/>
      <c r="FFL1" s="405"/>
      <c r="FFM1" s="432" t="s">
        <v>41</v>
      </c>
      <c r="FFN1" s="404"/>
      <c r="FFO1" s="404"/>
      <c r="FFP1" s="404"/>
      <c r="FFQ1" s="404"/>
      <c r="FFR1" s="404"/>
      <c r="FFS1" s="404"/>
      <c r="FFT1" s="405"/>
      <c r="FFU1" s="432" t="s">
        <v>41</v>
      </c>
      <c r="FFV1" s="404"/>
      <c r="FFW1" s="404"/>
      <c r="FFX1" s="404"/>
      <c r="FFY1" s="404"/>
      <c r="FFZ1" s="404"/>
      <c r="FGA1" s="404"/>
      <c r="FGB1" s="405"/>
      <c r="FGC1" s="432" t="s">
        <v>41</v>
      </c>
      <c r="FGD1" s="404"/>
      <c r="FGE1" s="404"/>
      <c r="FGF1" s="404"/>
      <c r="FGG1" s="404"/>
      <c r="FGH1" s="404"/>
      <c r="FGI1" s="404"/>
      <c r="FGJ1" s="405"/>
      <c r="FGK1" s="432" t="s">
        <v>41</v>
      </c>
      <c r="FGL1" s="404"/>
      <c r="FGM1" s="404"/>
      <c r="FGN1" s="404"/>
      <c r="FGO1" s="404"/>
      <c r="FGP1" s="404"/>
      <c r="FGQ1" s="404"/>
      <c r="FGR1" s="405"/>
      <c r="FGS1" s="432" t="s">
        <v>41</v>
      </c>
      <c r="FGT1" s="404"/>
      <c r="FGU1" s="404"/>
      <c r="FGV1" s="404"/>
      <c r="FGW1" s="404"/>
      <c r="FGX1" s="404"/>
      <c r="FGY1" s="404"/>
      <c r="FGZ1" s="405"/>
      <c r="FHA1" s="432" t="s">
        <v>41</v>
      </c>
      <c r="FHB1" s="404"/>
      <c r="FHC1" s="404"/>
      <c r="FHD1" s="404"/>
      <c r="FHE1" s="404"/>
      <c r="FHF1" s="404"/>
      <c r="FHG1" s="404"/>
      <c r="FHH1" s="405"/>
      <c r="FHI1" s="432" t="s">
        <v>41</v>
      </c>
      <c r="FHJ1" s="404"/>
      <c r="FHK1" s="404"/>
      <c r="FHL1" s="404"/>
      <c r="FHM1" s="404"/>
      <c r="FHN1" s="404"/>
      <c r="FHO1" s="404"/>
      <c r="FHP1" s="405"/>
      <c r="FHQ1" s="432" t="s">
        <v>41</v>
      </c>
      <c r="FHR1" s="404"/>
      <c r="FHS1" s="404"/>
      <c r="FHT1" s="404"/>
      <c r="FHU1" s="404"/>
      <c r="FHV1" s="404"/>
      <c r="FHW1" s="404"/>
      <c r="FHX1" s="405"/>
      <c r="FHY1" s="432" t="s">
        <v>41</v>
      </c>
      <c r="FHZ1" s="404"/>
      <c r="FIA1" s="404"/>
      <c r="FIB1" s="404"/>
      <c r="FIC1" s="404"/>
      <c r="FID1" s="404"/>
      <c r="FIE1" s="404"/>
      <c r="FIF1" s="405"/>
      <c r="FIG1" s="432" t="s">
        <v>41</v>
      </c>
      <c r="FIH1" s="404"/>
      <c r="FII1" s="404"/>
      <c r="FIJ1" s="404"/>
      <c r="FIK1" s="404"/>
      <c r="FIL1" s="404"/>
      <c r="FIM1" s="404"/>
      <c r="FIN1" s="405"/>
      <c r="FIO1" s="432" t="s">
        <v>41</v>
      </c>
      <c r="FIP1" s="404"/>
      <c r="FIQ1" s="404"/>
      <c r="FIR1" s="404"/>
      <c r="FIS1" s="404"/>
      <c r="FIT1" s="404"/>
      <c r="FIU1" s="404"/>
      <c r="FIV1" s="405"/>
      <c r="FIW1" s="432" t="s">
        <v>41</v>
      </c>
      <c r="FIX1" s="404"/>
      <c r="FIY1" s="404"/>
      <c r="FIZ1" s="404"/>
      <c r="FJA1" s="404"/>
      <c r="FJB1" s="404"/>
      <c r="FJC1" s="404"/>
      <c r="FJD1" s="405"/>
      <c r="FJE1" s="432" t="s">
        <v>41</v>
      </c>
      <c r="FJF1" s="404"/>
      <c r="FJG1" s="404"/>
      <c r="FJH1" s="404"/>
      <c r="FJI1" s="404"/>
      <c r="FJJ1" s="404"/>
      <c r="FJK1" s="404"/>
      <c r="FJL1" s="405"/>
      <c r="FJM1" s="432" t="s">
        <v>41</v>
      </c>
      <c r="FJN1" s="404"/>
      <c r="FJO1" s="404"/>
      <c r="FJP1" s="404"/>
      <c r="FJQ1" s="404"/>
      <c r="FJR1" s="404"/>
      <c r="FJS1" s="404"/>
      <c r="FJT1" s="405"/>
      <c r="FJU1" s="432" t="s">
        <v>41</v>
      </c>
      <c r="FJV1" s="404"/>
      <c r="FJW1" s="404"/>
      <c r="FJX1" s="404"/>
      <c r="FJY1" s="404"/>
      <c r="FJZ1" s="404"/>
      <c r="FKA1" s="404"/>
      <c r="FKB1" s="405"/>
      <c r="FKC1" s="432" t="s">
        <v>41</v>
      </c>
      <c r="FKD1" s="404"/>
      <c r="FKE1" s="404"/>
      <c r="FKF1" s="404"/>
      <c r="FKG1" s="404"/>
      <c r="FKH1" s="404"/>
      <c r="FKI1" s="404"/>
      <c r="FKJ1" s="405"/>
      <c r="FKK1" s="432" t="s">
        <v>41</v>
      </c>
      <c r="FKL1" s="404"/>
      <c r="FKM1" s="404"/>
      <c r="FKN1" s="404"/>
      <c r="FKO1" s="404"/>
      <c r="FKP1" s="404"/>
      <c r="FKQ1" s="404"/>
      <c r="FKR1" s="405"/>
      <c r="FKS1" s="432" t="s">
        <v>41</v>
      </c>
      <c r="FKT1" s="404"/>
      <c r="FKU1" s="404"/>
      <c r="FKV1" s="404"/>
      <c r="FKW1" s="404"/>
      <c r="FKX1" s="404"/>
      <c r="FKY1" s="404"/>
      <c r="FKZ1" s="405"/>
      <c r="FLA1" s="432" t="s">
        <v>41</v>
      </c>
      <c r="FLB1" s="404"/>
      <c r="FLC1" s="404"/>
      <c r="FLD1" s="404"/>
      <c r="FLE1" s="404"/>
      <c r="FLF1" s="404"/>
      <c r="FLG1" s="404"/>
      <c r="FLH1" s="405"/>
      <c r="FLI1" s="432" t="s">
        <v>41</v>
      </c>
      <c r="FLJ1" s="404"/>
      <c r="FLK1" s="404"/>
      <c r="FLL1" s="404"/>
      <c r="FLM1" s="404"/>
      <c r="FLN1" s="404"/>
      <c r="FLO1" s="404"/>
      <c r="FLP1" s="405"/>
      <c r="FLQ1" s="432" t="s">
        <v>41</v>
      </c>
      <c r="FLR1" s="404"/>
      <c r="FLS1" s="404"/>
      <c r="FLT1" s="404"/>
      <c r="FLU1" s="404"/>
      <c r="FLV1" s="404"/>
      <c r="FLW1" s="404"/>
      <c r="FLX1" s="405"/>
      <c r="FLY1" s="432" t="s">
        <v>41</v>
      </c>
      <c r="FLZ1" s="404"/>
      <c r="FMA1" s="404"/>
      <c r="FMB1" s="404"/>
      <c r="FMC1" s="404"/>
      <c r="FMD1" s="404"/>
      <c r="FME1" s="404"/>
      <c r="FMF1" s="405"/>
      <c r="FMG1" s="432" t="s">
        <v>41</v>
      </c>
      <c r="FMH1" s="404"/>
      <c r="FMI1" s="404"/>
      <c r="FMJ1" s="404"/>
      <c r="FMK1" s="404"/>
      <c r="FML1" s="404"/>
      <c r="FMM1" s="404"/>
      <c r="FMN1" s="405"/>
      <c r="FMO1" s="432" t="s">
        <v>41</v>
      </c>
      <c r="FMP1" s="404"/>
      <c r="FMQ1" s="404"/>
      <c r="FMR1" s="404"/>
      <c r="FMS1" s="404"/>
      <c r="FMT1" s="404"/>
      <c r="FMU1" s="404"/>
      <c r="FMV1" s="405"/>
      <c r="FMW1" s="432" t="s">
        <v>41</v>
      </c>
      <c r="FMX1" s="404"/>
      <c r="FMY1" s="404"/>
      <c r="FMZ1" s="404"/>
      <c r="FNA1" s="404"/>
      <c r="FNB1" s="404"/>
      <c r="FNC1" s="404"/>
      <c r="FND1" s="405"/>
      <c r="FNE1" s="432" t="s">
        <v>41</v>
      </c>
      <c r="FNF1" s="404"/>
      <c r="FNG1" s="404"/>
      <c r="FNH1" s="404"/>
      <c r="FNI1" s="404"/>
      <c r="FNJ1" s="404"/>
      <c r="FNK1" s="404"/>
      <c r="FNL1" s="405"/>
      <c r="FNM1" s="432" t="s">
        <v>41</v>
      </c>
      <c r="FNN1" s="404"/>
      <c r="FNO1" s="404"/>
      <c r="FNP1" s="404"/>
      <c r="FNQ1" s="404"/>
      <c r="FNR1" s="404"/>
      <c r="FNS1" s="404"/>
      <c r="FNT1" s="405"/>
      <c r="FNU1" s="432" t="s">
        <v>41</v>
      </c>
      <c r="FNV1" s="404"/>
      <c r="FNW1" s="404"/>
      <c r="FNX1" s="404"/>
      <c r="FNY1" s="404"/>
      <c r="FNZ1" s="404"/>
      <c r="FOA1" s="404"/>
      <c r="FOB1" s="405"/>
      <c r="FOC1" s="432" t="s">
        <v>41</v>
      </c>
      <c r="FOD1" s="404"/>
      <c r="FOE1" s="404"/>
      <c r="FOF1" s="404"/>
      <c r="FOG1" s="404"/>
      <c r="FOH1" s="404"/>
      <c r="FOI1" s="404"/>
      <c r="FOJ1" s="405"/>
      <c r="FOK1" s="432" t="s">
        <v>41</v>
      </c>
      <c r="FOL1" s="404"/>
      <c r="FOM1" s="404"/>
      <c r="FON1" s="404"/>
      <c r="FOO1" s="404"/>
      <c r="FOP1" s="404"/>
      <c r="FOQ1" s="404"/>
      <c r="FOR1" s="405"/>
      <c r="FOS1" s="432" t="s">
        <v>41</v>
      </c>
      <c r="FOT1" s="404"/>
      <c r="FOU1" s="404"/>
      <c r="FOV1" s="404"/>
      <c r="FOW1" s="404"/>
      <c r="FOX1" s="404"/>
      <c r="FOY1" s="404"/>
      <c r="FOZ1" s="405"/>
      <c r="FPA1" s="432" t="s">
        <v>41</v>
      </c>
      <c r="FPB1" s="404"/>
      <c r="FPC1" s="404"/>
      <c r="FPD1" s="404"/>
      <c r="FPE1" s="404"/>
      <c r="FPF1" s="404"/>
      <c r="FPG1" s="404"/>
      <c r="FPH1" s="405"/>
      <c r="FPI1" s="432" t="s">
        <v>41</v>
      </c>
      <c r="FPJ1" s="404"/>
      <c r="FPK1" s="404"/>
      <c r="FPL1" s="404"/>
      <c r="FPM1" s="404"/>
      <c r="FPN1" s="404"/>
      <c r="FPO1" s="404"/>
      <c r="FPP1" s="405"/>
      <c r="FPQ1" s="432" t="s">
        <v>41</v>
      </c>
      <c r="FPR1" s="404"/>
      <c r="FPS1" s="404"/>
      <c r="FPT1" s="404"/>
      <c r="FPU1" s="404"/>
      <c r="FPV1" s="404"/>
      <c r="FPW1" s="404"/>
      <c r="FPX1" s="405"/>
      <c r="FPY1" s="432" t="s">
        <v>41</v>
      </c>
      <c r="FPZ1" s="404"/>
      <c r="FQA1" s="404"/>
      <c r="FQB1" s="404"/>
      <c r="FQC1" s="404"/>
      <c r="FQD1" s="404"/>
      <c r="FQE1" s="404"/>
      <c r="FQF1" s="405"/>
      <c r="FQG1" s="432" t="s">
        <v>41</v>
      </c>
      <c r="FQH1" s="404"/>
      <c r="FQI1" s="404"/>
      <c r="FQJ1" s="404"/>
      <c r="FQK1" s="404"/>
      <c r="FQL1" s="404"/>
      <c r="FQM1" s="404"/>
      <c r="FQN1" s="405"/>
      <c r="FQO1" s="432" t="s">
        <v>41</v>
      </c>
      <c r="FQP1" s="404"/>
      <c r="FQQ1" s="404"/>
      <c r="FQR1" s="404"/>
      <c r="FQS1" s="404"/>
      <c r="FQT1" s="404"/>
      <c r="FQU1" s="404"/>
      <c r="FQV1" s="405"/>
      <c r="FQW1" s="432" t="s">
        <v>41</v>
      </c>
      <c r="FQX1" s="404"/>
      <c r="FQY1" s="404"/>
      <c r="FQZ1" s="404"/>
      <c r="FRA1" s="404"/>
      <c r="FRB1" s="404"/>
      <c r="FRC1" s="404"/>
      <c r="FRD1" s="405"/>
      <c r="FRE1" s="432" t="s">
        <v>41</v>
      </c>
      <c r="FRF1" s="404"/>
      <c r="FRG1" s="404"/>
      <c r="FRH1" s="404"/>
      <c r="FRI1" s="404"/>
      <c r="FRJ1" s="404"/>
      <c r="FRK1" s="404"/>
      <c r="FRL1" s="405"/>
      <c r="FRM1" s="432" t="s">
        <v>41</v>
      </c>
      <c r="FRN1" s="404"/>
      <c r="FRO1" s="404"/>
      <c r="FRP1" s="404"/>
      <c r="FRQ1" s="404"/>
      <c r="FRR1" s="404"/>
      <c r="FRS1" s="404"/>
      <c r="FRT1" s="405"/>
      <c r="FRU1" s="432" t="s">
        <v>41</v>
      </c>
      <c r="FRV1" s="404"/>
      <c r="FRW1" s="404"/>
      <c r="FRX1" s="404"/>
      <c r="FRY1" s="404"/>
      <c r="FRZ1" s="404"/>
      <c r="FSA1" s="404"/>
      <c r="FSB1" s="405"/>
      <c r="FSC1" s="432" t="s">
        <v>41</v>
      </c>
      <c r="FSD1" s="404"/>
      <c r="FSE1" s="404"/>
      <c r="FSF1" s="404"/>
      <c r="FSG1" s="404"/>
      <c r="FSH1" s="404"/>
      <c r="FSI1" s="404"/>
      <c r="FSJ1" s="405"/>
      <c r="FSK1" s="432" t="s">
        <v>41</v>
      </c>
      <c r="FSL1" s="404"/>
      <c r="FSM1" s="404"/>
      <c r="FSN1" s="404"/>
      <c r="FSO1" s="404"/>
      <c r="FSP1" s="404"/>
      <c r="FSQ1" s="404"/>
      <c r="FSR1" s="405"/>
      <c r="FSS1" s="432" t="s">
        <v>41</v>
      </c>
      <c r="FST1" s="404"/>
      <c r="FSU1" s="404"/>
      <c r="FSV1" s="404"/>
      <c r="FSW1" s="404"/>
      <c r="FSX1" s="404"/>
      <c r="FSY1" s="404"/>
      <c r="FSZ1" s="405"/>
      <c r="FTA1" s="432" t="s">
        <v>41</v>
      </c>
      <c r="FTB1" s="404"/>
      <c r="FTC1" s="404"/>
      <c r="FTD1" s="404"/>
      <c r="FTE1" s="404"/>
      <c r="FTF1" s="404"/>
      <c r="FTG1" s="404"/>
      <c r="FTH1" s="405"/>
      <c r="FTI1" s="432" t="s">
        <v>41</v>
      </c>
      <c r="FTJ1" s="404"/>
      <c r="FTK1" s="404"/>
      <c r="FTL1" s="404"/>
      <c r="FTM1" s="404"/>
      <c r="FTN1" s="404"/>
      <c r="FTO1" s="404"/>
      <c r="FTP1" s="405"/>
      <c r="FTQ1" s="432" t="s">
        <v>41</v>
      </c>
      <c r="FTR1" s="404"/>
      <c r="FTS1" s="404"/>
      <c r="FTT1" s="404"/>
      <c r="FTU1" s="404"/>
      <c r="FTV1" s="404"/>
      <c r="FTW1" s="404"/>
      <c r="FTX1" s="405"/>
      <c r="FTY1" s="432" t="s">
        <v>41</v>
      </c>
      <c r="FTZ1" s="404"/>
      <c r="FUA1" s="404"/>
      <c r="FUB1" s="404"/>
      <c r="FUC1" s="404"/>
      <c r="FUD1" s="404"/>
      <c r="FUE1" s="404"/>
      <c r="FUF1" s="405"/>
      <c r="FUG1" s="432" t="s">
        <v>41</v>
      </c>
      <c r="FUH1" s="404"/>
      <c r="FUI1" s="404"/>
      <c r="FUJ1" s="404"/>
      <c r="FUK1" s="404"/>
      <c r="FUL1" s="404"/>
      <c r="FUM1" s="404"/>
      <c r="FUN1" s="405"/>
      <c r="FUO1" s="432" t="s">
        <v>41</v>
      </c>
      <c r="FUP1" s="404"/>
      <c r="FUQ1" s="404"/>
      <c r="FUR1" s="404"/>
      <c r="FUS1" s="404"/>
      <c r="FUT1" s="404"/>
      <c r="FUU1" s="404"/>
      <c r="FUV1" s="405"/>
      <c r="FUW1" s="432" t="s">
        <v>41</v>
      </c>
      <c r="FUX1" s="404"/>
      <c r="FUY1" s="404"/>
      <c r="FUZ1" s="404"/>
      <c r="FVA1" s="404"/>
      <c r="FVB1" s="404"/>
      <c r="FVC1" s="404"/>
      <c r="FVD1" s="405"/>
      <c r="FVE1" s="432" t="s">
        <v>41</v>
      </c>
      <c r="FVF1" s="404"/>
      <c r="FVG1" s="404"/>
      <c r="FVH1" s="404"/>
      <c r="FVI1" s="404"/>
      <c r="FVJ1" s="404"/>
      <c r="FVK1" s="404"/>
      <c r="FVL1" s="405"/>
      <c r="FVM1" s="432" t="s">
        <v>41</v>
      </c>
      <c r="FVN1" s="404"/>
      <c r="FVO1" s="404"/>
      <c r="FVP1" s="404"/>
      <c r="FVQ1" s="404"/>
      <c r="FVR1" s="404"/>
      <c r="FVS1" s="404"/>
      <c r="FVT1" s="405"/>
      <c r="FVU1" s="432" t="s">
        <v>41</v>
      </c>
      <c r="FVV1" s="404"/>
      <c r="FVW1" s="404"/>
      <c r="FVX1" s="404"/>
      <c r="FVY1" s="404"/>
      <c r="FVZ1" s="404"/>
      <c r="FWA1" s="404"/>
      <c r="FWB1" s="405"/>
      <c r="FWC1" s="432" t="s">
        <v>41</v>
      </c>
      <c r="FWD1" s="404"/>
      <c r="FWE1" s="404"/>
      <c r="FWF1" s="404"/>
      <c r="FWG1" s="404"/>
      <c r="FWH1" s="404"/>
      <c r="FWI1" s="404"/>
      <c r="FWJ1" s="405"/>
      <c r="FWK1" s="432" t="s">
        <v>41</v>
      </c>
      <c r="FWL1" s="404"/>
      <c r="FWM1" s="404"/>
      <c r="FWN1" s="404"/>
      <c r="FWO1" s="404"/>
      <c r="FWP1" s="404"/>
      <c r="FWQ1" s="404"/>
      <c r="FWR1" s="405"/>
      <c r="FWS1" s="432" t="s">
        <v>41</v>
      </c>
      <c r="FWT1" s="404"/>
      <c r="FWU1" s="404"/>
      <c r="FWV1" s="404"/>
      <c r="FWW1" s="404"/>
      <c r="FWX1" s="404"/>
      <c r="FWY1" s="404"/>
      <c r="FWZ1" s="405"/>
      <c r="FXA1" s="432" t="s">
        <v>41</v>
      </c>
      <c r="FXB1" s="404"/>
      <c r="FXC1" s="404"/>
      <c r="FXD1" s="404"/>
      <c r="FXE1" s="404"/>
      <c r="FXF1" s="404"/>
      <c r="FXG1" s="404"/>
      <c r="FXH1" s="405"/>
      <c r="FXI1" s="432" t="s">
        <v>41</v>
      </c>
      <c r="FXJ1" s="404"/>
      <c r="FXK1" s="404"/>
      <c r="FXL1" s="404"/>
      <c r="FXM1" s="404"/>
      <c r="FXN1" s="404"/>
      <c r="FXO1" s="404"/>
      <c r="FXP1" s="405"/>
      <c r="FXQ1" s="432" t="s">
        <v>41</v>
      </c>
      <c r="FXR1" s="404"/>
      <c r="FXS1" s="404"/>
      <c r="FXT1" s="404"/>
      <c r="FXU1" s="404"/>
      <c r="FXV1" s="404"/>
      <c r="FXW1" s="404"/>
      <c r="FXX1" s="405"/>
      <c r="FXY1" s="432" t="s">
        <v>41</v>
      </c>
      <c r="FXZ1" s="404"/>
      <c r="FYA1" s="404"/>
      <c r="FYB1" s="404"/>
      <c r="FYC1" s="404"/>
      <c r="FYD1" s="404"/>
      <c r="FYE1" s="404"/>
      <c r="FYF1" s="405"/>
      <c r="FYG1" s="432" t="s">
        <v>41</v>
      </c>
      <c r="FYH1" s="404"/>
      <c r="FYI1" s="404"/>
      <c r="FYJ1" s="404"/>
      <c r="FYK1" s="404"/>
      <c r="FYL1" s="404"/>
      <c r="FYM1" s="404"/>
      <c r="FYN1" s="405"/>
      <c r="FYO1" s="432" t="s">
        <v>41</v>
      </c>
      <c r="FYP1" s="404"/>
      <c r="FYQ1" s="404"/>
      <c r="FYR1" s="404"/>
      <c r="FYS1" s="404"/>
      <c r="FYT1" s="404"/>
      <c r="FYU1" s="404"/>
      <c r="FYV1" s="405"/>
      <c r="FYW1" s="432" t="s">
        <v>41</v>
      </c>
      <c r="FYX1" s="404"/>
      <c r="FYY1" s="404"/>
      <c r="FYZ1" s="404"/>
      <c r="FZA1" s="404"/>
      <c r="FZB1" s="404"/>
      <c r="FZC1" s="404"/>
      <c r="FZD1" s="405"/>
      <c r="FZE1" s="432" t="s">
        <v>41</v>
      </c>
      <c r="FZF1" s="404"/>
      <c r="FZG1" s="404"/>
      <c r="FZH1" s="404"/>
      <c r="FZI1" s="404"/>
      <c r="FZJ1" s="404"/>
      <c r="FZK1" s="404"/>
      <c r="FZL1" s="405"/>
      <c r="FZM1" s="432" t="s">
        <v>41</v>
      </c>
      <c r="FZN1" s="404"/>
      <c r="FZO1" s="404"/>
      <c r="FZP1" s="404"/>
      <c r="FZQ1" s="404"/>
      <c r="FZR1" s="404"/>
      <c r="FZS1" s="404"/>
      <c r="FZT1" s="405"/>
      <c r="FZU1" s="432" t="s">
        <v>41</v>
      </c>
      <c r="FZV1" s="404"/>
      <c r="FZW1" s="404"/>
      <c r="FZX1" s="404"/>
      <c r="FZY1" s="404"/>
      <c r="FZZ1" s="404"/>
      <c r="GAA1" s="404"/>
      <c r="GAB1" s="405"/>
      <c r="GAC1" s="432" t="s">
        <v>41</v>
      </c>
      <c r="GAD1" s="404"/>
      <c r="GAE1" s="404"/>
      <c r="GAF1" s="404"/>
      <c r="GAG1" s="404"/>
      <c r="GAH1" s="404"/>
      <c r="GAI1" s="404"/>
      <c r="GAJ1" s="405"/>
      <c r="GAK1" s="432" t="s">
        <v>41</v>
      </c>
      <c r="GAL1" s="404"/>
      <c r="GAM1" s="404"/>
      <c r="GAN1" s="404"/>
      <c r="GAO1" s="404"/>
      <c r="GAP1" s="404"/>
      <c r="GAQ1" s="404"/>
      <c r="GAR1" s="405"/>
      <c r="GAS1" s="432" t="s">
        <v>41</v>
      </c>
      <c r="GAT1" s="404"/>
      <c r="GAU1" s="404"/>
      <c r="GAV1" s="404"/>
      <c r="GAW1" s="404"/>
      <c r="GAX1" s="404"/>
      <c r="GAY1" s="404"/>
      <c r="GAZ1" s="405"/>
      <c r="GBA1" s="432" t="s">
        <v>41</v>
      </c>
      <c r="GBB1" s="404"/>
      <c r="GBC1" s="404"/>
      <c r="GBD1" s="404"/>
      <c r="GBE1" s="404"/>
      <c r="GBF1" s="404"/>
      <c r="GBG1" s="404"/>
      <c r="GBH1" s="405"/>
      <c r="GBI1" s="432" t="s">
        <v>41</v>
      </c>
      <c r="GBJ1" s="404"/>
      <c r="GBK1" s="404"/>
      <c r="GBL1" s="404"/>
      <c r="GBM1" s="404"/>
      <c r="GBN1" s="404"/>
      <c r="GBO1" s="404"/>
      <c r="GBP1" s="405"/>
      <c r="GBQ1" s="432" t="s">
        <v>41</v>
      </c>
      <c r="GBR1" s="404"/>
      <c r="GBS1" s="404"/>
      <c r="GBT1" s="404"/>
      <c r="GBU1" s="404"/>
      <c r="GBV1" s="404"/>
      <c r="GBW1" s="404"/>
      <c r="GBX1" s="405"/>
      <c r="GBY1" s="432" t="s">
        <v>41</v>
      </c>
      <c r="GBZ1" s="404"/>
      <c r="GCA1" s="404"/>
      <c r="GCB1" s="404"/>
      <c r="GCC1" s="404"/>
      <c r="GCD1" s="404"/>
      <c r="GCE1" s="404"/>
      <c r="GCF1" s="405"/>
      <c r="GCG1" s="432" t="s">
        <v>41</v>
      </c>
      <c r="GCH1" s="404"/>
      <c r="GCI1" s="404"/>
      <c r="GCJ1" s="404"/>
      <c r="GCK1" s="404"/>
      <c r="GCL1" s="404"/>
      <c r="GCM1" s="404"/>
      <c r="GCN1" s="405"/>
      <c r="GCO1" s="432" t="s">
        <v>41</v>
      </c>
      <c r="GCP1" s="404"/>
      <c r="GCQ1" s="404"/>
      <c r="GCR1" s="404"/>
      <c r="GCS1" s="404"/>
      <c r="GCT1" s="404"/>
      <c r="GCU1" s="404"/>
      <c r="GCV1" s="405"/>
      <c r="GCW1" s="432" t="s">
        <v>41</v>
      </c>
      <c r="GCX1" s="404"/>
      <c r="GCY1" s="404"/>
      <c r="GCZ1" s="404"/>
      <c r="GDA1" s="404"/>
      <c r="GDB1" s="404"/>
      <c r="GDC1" s="404"/>
      <c r="GDD1" s="405"/>
      <c r="GDE1" s="432" t="s">
        <v>41</v>
      </c>
      <c r="GDF1" s="404"/>
      <c r="GDG1" s="404"/>
      <c r="GDH1" s="404"/>
      <c r="GDI1" s="404"/>
      <c r="GDJ1" s="404"/>
      <c r="GDK1" s="404"/>
      <c r="GDL1" s="405"/>
      <c r="GDM1" s="432" t="s">
        <v>41</v>
      </c>
      <c r="GDN1" s="404"/>
      <c r="GDO1" s="404"/>
      <c r="GDP1" s="404"/>
      <c r="GDQ1" s="404"/>
      <c r="GDR1" s="404"/>
      <c r="GDS1" s="404"/>
      <c r="GDT1" s="405"/>
      <c r="GDU1" s="432" t="s">
        <v>41</v>
      </c>
      <c r="GDV1" s="404"/>
      <c r="GDW1" s="404"/>
      <c r="GDX1" s="404"/>
      <c r="GDY1" s="404"/>
      <c r="GDZ1" s="404"/>
      <c r="GEA1" s="404"/>
      <c r="GEB1" s="405"/>
      <c r="GEC1" s="432" t="s">
        <v>41</v>
      </c>
      <c r="GED1" s="404"/>
      <c r="GEE1" s="404"/>
      <c r="GEF1" s="404"/>
      <c r="GEG1" s="404"/>
      <c r="GEH1" s="404"/>
      <c r="GEI1" s="404"/>
      <c r="GEJ1" s="405"/>
      <c r="GEK1" s="432" t="s">
        <v>41</v>
      </c>
      <c r="GEL1" s="404"/>
      <c r="GEM1" s="404"/>
      <c r="GEN1" s="404"/>
      <c r="GEO1" s="404"/>
      <c r="GEP1" s="404"/>
      <c r="GEQ1" s="404"/>
      <c r="GER1" s="405"/>
      <c r="GES1" s="432" t="s">
        <v>41</v>
      </c>
      <c r="GET1" s="404"/>
      <c r="GEU1" s="404"/>
      <c r="GEV1" s="404"/>
      <c r="GEW1" s="404"/>
      <c r="GEX1" s="404"/>
      <c r="GEY1" s="404"/>
      <c r="GEZ1" s="405"/>
      <c r="GFA1" s="432" t="s">
        <v>41</v>
      </c>
      <c r="GFB1" s="404"/>
      <c r="GFC1" s="404"/>
      <c r="GFD1" s="404"/>
      <c r="GFE1" s="404"/>
      <c r="GFF1" s="404"/>
      <c r="GFG1" s="404"/>
      <c r="GFH1" s="405"/>
      <c r="GFI1" s="432" t="s">
        <v>41</v>
      </c>
      <c r="GFJ1" s="404"/>
      <c r="GFK1" s="404"/>
      <c r="GFL1" s="404"/>
      <c r="GFM1" s="404"/>
      <c r="GFN1" s="404"/>
      <c r="GFO1" s="404"/>
      <c r="GFP1" s="405"/>
      <c r="GFQ1" s="432" t="s">
        <v>41</v>
      </c>
      <c r="GFR1" s="404"/>
      <c r="GFS1" s="404"/>
      <c r="GFT1" s="404"/>
      <c r="GFU1" s="404"/>
      <c r="GFV1" s="404"/>
      <c r="GFW1" s="404"/>
      <c r="GFX1" s="405"/>
      <c r="GFY1" s="432" t="s">
        <v>41</v>
      </c>
      <c r="GFZ1" s="404"/>
      <c r="GGA1" s="404"/>
      <c r="GGB1" s="404"/>
      <c r="GGC1" s="404"/>
      <c r="GGD1" s="404"/>
      <c r="GGE1" s="404"/>
      <c r="GGF1" s="405"/>
      <c r="GGG1" s="432" t="s">
        <v>41</v>
      </c>
      <c r="GGH1" s="404"/>
      <c r="GGI1" s="404"/>
      <c r="GGJ1" s="404"/>
      <c r="GGK1" s="404"/>
      <c r="GGL1" s="404"/>
      <c r="GGM1" s="404"/>
      <c r="GGN1" s="405"/>
      <c r="GGO1" s="432" t="s">
        <v>41</v>
      </c>
      <c r="GGP1" s="404"/>
      <c r="GGQ1" s="404"/>
      <c r="GGR1" s="404"/>
      <c r="GGS1" s="404"/>
      <c r="GGT1" s="404"/>
      <c r="GGU1" s="404"/>
      <c r="GGV1" s="405"/>
      <c r="GGW1" s="432" t="s">
        <v>41</v>
      </c>
      <c r="GGX1" s="404"/>
      <c r="GGY1" s="404"/>
      <c r="GGZ1" s="404"/>
      <c r="GHA1" s="404"/>
      <c r="GHB1" s="404"/>
      <c r="GHC1" s="404"/>
      <c r="GHD1" s="405"/>
      <c r="GHE1" s="432" t="s">
        <v>41</v>
      </c>
      <c r="GHF1" s="404"/>
      <c r="GHG1" s="404"/>
      <c r="GHH1" s="404"/>
      <c r="GHI1" s="404"/>
      <c r="GHJ1" s="404"/>
      <c r="GHK1" s="404"/>
      <c r="GHL1" s="405"/>
      <c r="GHM1" s="432" t="s">
        <v>41</v>
      </c>
      <c r="GHN1" s="404"/>
      <c r="GHO1" s="404"/>
      <c r="GHP1" s="404"/>
      <c r="GHQ1" s="404"/>
      <c r="GHR1" s="404"/>
      <c r="GHS1" s="404"/>
      <c r="GHT1" s="405"/>
      <c r="GHU1" s="432" t="s">
        <v>41</v>
      </c>
      <c r="GHV1" s="404"/>
      <c r="GHW1" s="404"/>
      <c r="GHX1" s="404"/>
      <c r="GHY1" s="404"/>
      <c r="GHZ1" s="404"/>
      <c r="GIA1" s="404"/>
      <c r="GIB1" s="405"/>
      <c r="GIC1" s="432" t="s">
        <v>41</v>
      </c>
      <c r="GID1" s="404"/>
      <c r="GIE1" s="404"/>
      <c r="GIF1" s="404"/>
      <c r="GIG1" s="404"/>
      <c r="GIH1" s="404"/>
      <c r="GII1" s="404"/>
      <c r="GIJ1" s="405"/>
      <c r="GIK1" s="432" t="s">
        <v>41</v>
      </c>
      <c r="GIL1" s="404"/>
      <c r="GIM1" s="404"/>
      <c r="GIN1" s="404"/>
      <c r="GIO1" s="404"/>
      <c r="GIP1" s="404"/>
      <c r="GIQ1" s="404"/>
      <c r="GIR1" s="405"/>
      <c r="GIS1" s="432" t="s">
        <v>41</v>
      </c>
      <c r="GIT1" s="404"/>
      <c r="GIU1" s="404"/>
      <c r="GIV1" s="404"/>
      <c r="GIW1" s="404"/>
      <c r="GIX1" s="404"/>
      <c r="GIY1" s="404"/>
      <c r="GIZ1" s="405"/>
      <c r="GJA1" s="432" t="s">
        <v>41</v>
      </c>
      <c r="GJB1" s="404"/>
      <c r="GJC1" s="404"/>
      <c r="GJD1" s="404"/>
      <c r="GJE1" s="404"/>
      <c r="GJF1" s="404"/>
      <c r="GJG1" s="404"/>
      <c r="GJH1" s="405"/>
      <c r="GJI1" s="432" t="s">
        <v>41</v>
      </c>
      <c r="GJJ1" s="404"/>
      <c r="GJK1" s="404"/>
      <c r="GJL1" s="404"/>
      <c r="GJM1" s="404"/>
      <c r="GJN1" s="404"/>
      <c r="GJO1" s="404"/>
      <c r="GJP1" s="405"/>
      <c r="GJQ1" s="432" t="s">
        <v>41</v>
      </c>
      <c r="GJR1" s="404"/>
      <c r="GJS1" s="404"/>
      <c r="GJT1" s="404"/>
      <c r="GJU1" s="404"/>
      <c r="GJV1" s="404"/>
      <c r="GJW1" s="404"/>
      <c r="GJX1" s="405"/>
      <c r="GJY1" s="432" t="s">
        <v>41</v>
      </c>
      <c r="GJZ1" s="404"/>
      <c r="GKA1" s="404"/>
      <c r="GKB1" s="404"/>
      <c r="GKC1" s="404"/>
      <c r="GKD1" s="404"/>
      <c r="GKE1" s="404"/>
      <c r="GKF1" s="405"/>
      <c r="GKG1" s="432" t="s">
        <v>41</v>
      </c>
      <c r="GKH1" s="404"/>
      <c r="GKI1" s="404"/>
      <c r="GKJ1" s="404"/>
      <c r="GKK1" s="404"/>
      <c r="GKL1" s="404"/>
      <c r="GKM1" s="404"/>
      <c r="GKN1" s="405"/>
      <c r="GKO1" s="432" t="s">
        <v>41</v>
      </c>
      <c r="GKP1" s="404"/>
      <c r="GKQ1" s="404"/>
      <c r="GKR1" s="404"/>
      <c r="GKS1" s="404"/>
      <c r="GKT1" s="404"/>
      <c r="GKU1" s="404"/>
      <c r="GKV1" s="405"/>
      <c r="GKW1" s="432" t="s">
        <v>41</v>
      </c>
      <c r="GKX1" s="404"/>
      <c r="GKY1" s="404"/>
      <c r="GKZ1" s="404"/>
      <c r="GLA1" s="404"/>
      <c r="GLB1" s="404"/>
      <c r="GLC1" s="404"/>
      <c r="GLD1" s="405"/>
      <c r="GLE1" s="432" t="s">
        <v>41</v>
      </c>
      <c r="GLF1" s="404"/>
      <c r="GLG1" s="404"/>
      <c r="GLH1" s="404"/>
      <c r="GLI1" s="404"/>
      <c r="GLJ1" s="404"/>
      <c r="GLK1" s="404"/>
      <c r="GLL1" s="405"/>
      <c r="GLM1" s="432" t="s">
        <v>41</v>
      </c>
      <c r="GLN1" s="404"/>
      <c r="GLO1" s="404"/>
      <c r="GLP1" s="404"/>
      <c r="GLQ1" s="404"/>
      <c r="GLR1" s="404"/>
      <c r="GLS1" s="404"/>
      <c r="GLT1" s="405"/>
      <c r="GLU1" s="432" t="s">
        <v>41</v>
      </c>
      <c r="GLV1" s="404"/>
      <c r="GLW1" s="404"/>
      <c r="GLX1" s="404"/>
      <c r="GLY1" s="404"/>
      <c r="GLZ1" s="404"/>
      <c r="GMA1" s="404"/>
      <c r="GMB1" s="405"/>
      <c r="GMC1" s="432" t="s">
        <v>41</v>
      </c>
      <c r="GMD1" s="404"/>
      <c r="GME1" s="404"/>
      <c r="GMF1" s="404"/>
      <c r="GMG1" s="404"/>
      <c r="GMH1" s="404"/>
      <c r="GMI1" s="404"/>
      <c r="GMJ1" s="405"/>
      <c r="GMK1" s="432" t="s">
        <v>41</v>
      </c>
      <c r="GML1" s="404"/>
      <c r="GMM1" s="404"/>
      <c r="GMN1" s="404"/>
      <c r="GMO1" s="404"/>
      <c r="GMP1" s="404"/>
      <c r="GMQ1" s="404"/>
      <c r="GMR1" s="405"/>
      <c r="GMS1" s="432" t="s">
        <v>41</v>
      </c>
      <c r="GMT1" s="404"/>
      <c r="GMU1" s="404"/>
      <c r="GMV1" s="404"/>
      <c r="GMW1" s="404"/>
      <c r="GMX1" s="404"/>
      <c r="GMY1" s="404"/>
      <c r="GMZ1" s="405"/>
      <c r="GNA1" s="432" t="s">
        <v>41</v>
      </c>
      <c r="GNB1" s="404"/>
      <c r="GNC1" s="404"/>
      <c r="GND1" s="404"/>
      <c r="GNE1" s="404"/>
      <c r="GNF1" s="404"/>
      <c r="GNG1" s="404"/>
      <c r="GNH1" s="405"/>
      <c r="GNI1" s="432" t="s">
        <v>41</v>
      </c>
      <c r="GNJ1" s="404"/>
      <c r="GNK1" s="404"/>
      <c r="GNL1" s="404"/>
      <c r="GNM1" s="404"/>
      <c r="GNN1" s="404"/>
      <c r="GNO1" s="404"/>
      <c r="GNP1" s="405"/>
      <c r="GNQ1" s="432" t="s">
        <v>41</v>
      </c>
      <c r="GNR1" s="404"/>
      <c r="GNS1" s="404"/>
      <c r="GNT1" s="404"/>
      <c r="GNU1" s="404"/>
      <c r="GNV1" s="404"/>
      <c r="GNW1" s="404"/>
      <c r="GNX1" s="405"/>
      <c r="GNY1" s="432" t="s">
        <v>41</v>
      </c>
      <c r="GNZ1" s="404"/>
      <c r="GOA1" s="404"/>
      <c r="GOB1" s="404"/>
      <c r="GOC1" s="404"/>
      <c r="GOD1" s="404"/>
      <c r="GOE1" s="404"/>
      <c r="GOF1" s="405"/>
      <c r="GOG1" s="432" t="s">
        <v>41</v>
      </c>
      <c r="GOH1" s="404"/>
      <c r="GOI1" s="404"/>
      <c r="GOJ1" s="404"/>
      <c r="GOK1" s="404"/>
      <c r="GOL1" s="404"/>
      <c r="GOM1" s="404"/>
      <c r="GON1" s="405"/>
      <c r="GOO1" s="432" t="s">
        <v>41</v>
      </c>
      <c r="GOP1" s="404"/>
      <c r="GOQ1" s="404"/>
      <c r="GOR1" s="404"/>
      <c r="GOS1" s="404"/>
      <c r="GOT1" s="404"/>
      <c r="GOU1" s="404"/>
      <c r="GOV1" s="405"/>
      <c r="GOW1" s="432" t="s">
        <v>41</v>
      </c>
      <c r="GOX1" s="404"/>
      <c r="GOY1" s="404"/>
      <c r="GOZ1" s="404"/>
      <c r="GPA1" s="404"/>
      <c r="GPB1" s="404"/>
      <c r="GPC1" s="404"/>
      <c r="GPD1" s="405"/>
      <c r="GPE1" s="432" t="s">
        <v>41</v>
      </c>
      <c r="GPF1" s="404"/>
      <c r="GPG1" s="404"/>
      <c r="GPH1" s="404"/>
      <c r="GPI1" s="404"/>
      <c r="GPJ1" s="404"/>
      <c r="GPK1" s="404"/>
      <c r="GPL1" s="405"/>
      <c r="GPM1" s="432" t="s">
        <v>41</v>
      </c>
      <c r="GPN1" s="404"/>
      <c r="GPO1" s="404"/>
      <c r="GPP1" s="404"/>
      <c r="GPQ1" s="404"/>
      <c r="GPR1" s="404"/>
      <c r="GPS1" s="404"/>
      <c r="GPT1" s="405"/>
      <c r="GPU1" s="432" t="s">
        <v>41</v>
      </c>
      <c r="GPV1" s="404"/>
      <c r="GPW1" s="404"/>
      <c r="GPX1" s="404"/>
      <c r="GPY1" s="404"/>
      <c r="GPZ1" s="404"/>
      <c r="GQA1" s="404"/>
      <c r="GQB1" s="405"/>
      <c r="GQC1" s="432" t="s">
        <v>41</v>
      </c>
      <c r="GQD1" s="404"/>
      <c r="GQE1" s="404"/>
      <c r="GQF1" s="404"/>
      <c r="GQG1" s="404"/>
      <c r="GQH1" s="404"/>
      <c r="GQI1" s="404"/>
      <c r="GQJ1" s="405"/>
      <c r="GQK1" s="432" t="s">
        <v>41</v>
      </c>
      <c r="GQL1" s="404"/>
      <c r="GQM1" s="404"/>
      <c r="GQN1" s="404"/>
      <c r="GQO1" s="404"/>
      <c r="GQP1" s="404"/>
      <c r="GQQ1" s="404"/>
      <c r="GQR1" s="405"/>
      <c r="GQS1" s="432" t="s">
        <v>41</v>
      </c>
      <c r="GQT1" s="404"/>
      <c r="GQU1" s="404"/>
      <c r="GQV1" s="404"/>
      <c r="GQW1" s="404"/>
      <c r="GQX1" s="404"/>
      <c r="GQY1" s="404"/>
      <c r="GQZ1" s="405"/>
      <c r="GRA1" s="432" t="s">
        <v>41</v>
      </c>
      <c r="GRB1" s="404"/>
      <c r="GRC1" s="404"/>
      <c r="GRD1" s="404"/>
      <c r="GRE1" s="404"/>
      <c r="GRF1" s="404"/>
      <c r="GRG1" s="404"/>
      <c r="GRH1" s="405"/>
      <c r="GRI1" s="432" t="s">
        <v>41</v>
      </c>
      <c r="GRJ1" s="404"/>
      <c r="GRK1" s="404"/>
      <c r="GRL1" s="404"/>
      <c r="GRM1" s="404"/>
      <c r="GRN1" s="404"/>
      <c r="GRO1" s="404"/>
      <c r="GRP1" s="405"/>
      <c r="GRQ1" s="432" t="s">
        <v>41</v>
      </c>
      <c r="GRR1" s="404"/>
      <c r="GRS1" s="404"/>
      <c r="GRT1" s="404"/>
      <c r="GRU1" s="404"/>
      <c r="GRV1" s="404"/>
      <c r="GRW1" s="404"/>
      <c r="GRX1" s="405"/>
      <c r="GRY1" s="432" t="s">
        <v>41</v>
      </c>
      <c r="GRZ1" s="404"/>
      <c r="GSA1" s="404"/>
      <c r="GSB1" s="404"/>
      <c r="GSC1" s="404"/>
      <c r="GSD1" s="404"/>
      <c r="GSE1" s="404"/>
      <c r="GSF1" s="405"/>
      <c r="GSG1" s="432" t="s">
        <v>41</v>
      </c>
      <c r="GSH1" s="404"/>
      <c r="GSI1" s="404"/>
      <c r="GSJ1" s="404"/>
      <c r="GSK1" s="404"/>
      <c r="GSL1" s="404"/>
      <c r="GSM1" s="404"/>
      <c r="GSN1" s="405"/>
      <c r="GSO1" s="432" t="s">
        <v>41</v>
      </c>
      <c r="GSP1" s="404"/>
      <c r="GSQ1" s="404"/>
      <c r="GSR1" s="404"/>
      <c r="GSS1" s="404"/>
      <c r="GST1" s="404"/>
      <c r="GSU1" s="404"/>
      <c r="GSV1" s="405"/>
      <c r="GSW1" s="432" t="s">
        <v>41</v>
      </c>
      <c r="GSX1" s="404"/>
      <c r="GSY1" s="404"/>
      <c r="GSZ1" s="404"/>
      <c r="GTA1" s="404"/>
      <c r="GTB1" s="404"/>
      <c r="GTC1" s="404"/>
      <c r="GTD1" s="405"/>
      <c r="GTE1" s="432" t="s">
        <v>41</v>
      </c>
      <c r="GTF1" s="404"/>
      <c r="GTG1" s="404"/>
      <c r="GTH1" s="404"/>
      <c r="GTI1" s="404"/>
      <c r="GTJ1" s="404"/>
      <c r="GTK1" s="404"/>
      <c r="GTL1" s="405"/>
      <c r="GTM1" s="432" t="s">
        <v>41</v>
      </c>
      <c r="GTN1" s="404"/>
      <c r="GTO1" s="404"/>
      <c r="GTP1" s="404"/>
      <c r="GTQ1" s="404"/>
      <c r="GTR1" s="404"/>
      <c r="GTS1" s="404"/>
      <c r="GTT1" s="405"/>
      <c r="GTU1" s="432" t="s">
        <v>41</v>
      </c>
      <c r="GTV1" s="404"/>
      <c r="GTW1" s="404"/>
      <c r="GTX1" s="404"/>
      <c r="GTY1" s="404"/>
      <c r="GTZ1" s="404"/>
      <c r="GUA1" s="404"/>
      <c r="GUB1" s="405"/>
      <c r="GUC1" s="432" t="s">
        <v>41</v>
      </c>
      <c r="GUD1" s="404"/>
      <c r="GUE1" s="404"/>
      <c r="GUF1" s="404"/>
      <c r="GUG1" s="404"/>
      <c r="GUH1" s="404"/>
      <c r="GUI1" s="404"/>
      <c r="GUJ1" s="405"/>
      <c r="GUK1" s="432" t="s">
        <v>41</v>
      </c>
      <c r="GUL1" s="404"/>
      <c r="GUM1" s="404"/>
      <c r="GUN1" s="404"/>
      <c r="GUO1" s="404"/>
      <c r="GUP1" s="404"/>
      <c r="GUQ1" s="404"/>
      <c r="GUR1" s="405"/>
      <c r="GUS1" s="432" t="s">
        <v>41</v>
      </c>
      <c r="GUT1" s="404"/>
      <c r="GUU1" s="404"/>
      <c r="GUV1" s="404"/>
      <c r="GUW1" s="404"/>
      <c r="GUX1" s="404"/>
      <c r="GUY1" s="404"/>
      <c r="GUZ1" s="405"/>
      <c r="GVA1" s="432" t="s">
        <v>41</v>
      </c>
      <c r="GVB1" s="404"/>
      <c r="GVC1" s="404"/>
      <c r="GVD1" s="404"/>
      <c r="GVE1" s="404"/>
      <c r="GVF1" s="404"/>
      <c r="GVG1" s="404"/>
      <c r="GVH1" s="405"/>
      <c r="GVI1" s="432" t="s">
        <v>41</v>
      </c>
      <c r="GVJ1" s="404"/>
      <c r="GVK1" s="404"/>
      <c r="GVL1" s="404"/>
      <c r="GVM1" s="404"/>
      <c r="GVN1" s="404"/>
      <c r="GVO1" s="404"/>
      <c r="GVP1" s="405"/>
      <c r="GVQ1" s="432" t="s">
        <v>41</v>
      </c>
      <c r="GVR1" s="404"/>
      <c r="GVS1" s="404"/>
      <c r="GVT1" s="404"/>
      <c r="GVU1" s="404"/>
      <c r="GVV1" s="404"/>
      <c r="GVW1" s="404"/>
      <c r="GVX1" s="405"/>
      <c r="GVY1" s="432" t="s">
        <v>41</v>
      </c>
      <c r="GVZ1" s="404"/>
      <c r="GWA1" s="404"/>
      <c r="GWB1" s="404"/>
      <c r="GWC1" s="404"/>
      <c r="GWD1" s="404"/>
      <c r="GWE1" s="404"/>
      <c r="GWF1" s="405"/>
      <c r="GWG1" s="432" t="s">
        <v>41</v>
      </c>
      <c r="GWH1" s="404"/>
      <c r="GWI1" s="404"/>
      <c r="GWJ1" s="404"/>
      <c r="GWK1" s="404"/>
      <c r="GWL1" s="404"/>
      <c r="GWM1" s="404"/>
      <c r="GWN1" s="405"/>
      <c r="GWO1" s="432" t="s">
        <v>41</v>
      </c>
      <c r="GWP1" s="404"/>
      <c r="GWQ1" s="404"/>
      <c r="GWR1" s="404"/>
      <c r="GWS1" s="404"/>
      <c r="GWT1" s="404"/>
      <c r="GWU1" s="404"/>
      <c r="GWV1" s="405"/>
      <c r="GWW1" s="432" t="s">
        <v>41</v>
      </c>
      <c r="GWX1" s="404"/>
      <c r="GWY1" s="404"/>
      <c r="GWZ1" s="404"/>
      <c r="GXA1" s="404"/>
      <c r="GXB1" s="404"/>
      <c r="GXC1" s="404"/>
      <c r="GXD1" s="405"/>
      <c r="GXE1" s="432" t="s">
        <v>41</v>
      </c>
      <c r="GXF1" s="404"/>
      <c r="GXG1" s="404"/>
      <c r="GXH1" s="404"/>
      <c r="GXI1" s="404"/>
      <c r="GXJ1" s="404"/>
      <c r="GXK1" s="404"/>
      <c r="GXL1" s="405"/>
      <c r="GXM1" s="432" t="s">
        <v>41</v>
      </c>
      <c r="GXN1" s="404"/>
      <c r="GXO1" s="404"/>
      <c r="GXP1" s="404"/>
      <c r="GXQ1" s="404"/>
      <c r="GXR1" s="404"/>
      <c r="GXS1" s="404"/>
      <c r="GXT1" s="405"/>
      <c r="GXU1" s="432" t="s">
        <v>41</v>
      </c>
      <c r="GXV1" s="404"/>
      <c r="GXW1" s="404"/>
      <c r="GXX1" s="404"/>
      <c r="GXY1" s="404"/>
      <c r="GXZ1" s="404"/>
      <c r="GYA1" s="404"/>
      <c r="GYB1" s="405"/>
      <c r="GYC1" s="432" t="s">
        <v>41</v>
      </c>
      <c r="GYD1" s="404"/>
      <c r="GYE1" s="404"/>
      <c r="GYF1" s="404"/>
      <c r="GYG1" s="404"/>
      <c r="GYH1" s="404"/>
      <c r="GYI1" s="404"/>
      <c r="GYJ1" s="405"/>
      <c r="GYK1" s="432" t="s">
        <v>41</v>
      </c>
      <c r="GYL1" s="404"/>
      <c r="GYM1" s="404"/>
      <c r="GYN1" s="404"/>
      <c r="GYO1" s="404"/>
      <c r="GYP1" s="404"/>
      <c r="GYQ1" s="404"/>
      <c r="GYR1" s="405"/>
      <c r="GYS1" s="432" t="s">
        <v>41</v>
      </c>
      <c r="GYT1" s="404"/>
      <c r="GYU1" s="404"/>
      <c r="GYV1" s="404"/>
      <c r="GYW1" s="404"/>
      <c r="GYX1" s="404"/>
      <c r="GYY1" s="404"/>
      <c r="GYZ1" s="405"/>
      <c r="GZA1" s="432" t="s">
        <v>41</v>
      </c>
      <c r="GZB1" s="404"/>
      <c r="GZC1" s="404"/>
      <c r="GZD1" s="404"/>
      <c r="GZE1" s="404"/>
      <c r="GZF1" s="404"/>
      <c r="GZG1" s="404"/>
      <c r="GZH1" s="405"/>
      <c r="GZI1" s="432" t="s">
        <v>41</v>
      </c>
      <c r="GZJ1" s="404"/>
      <c r="GZK1" s="404"/>
      <c r="GZL1" s="404"/>
      <c r="GZM1" s="404"/>
      <c r="GZN1" s="404"/>
      <c r="GZO1" s="404"/>
      <c r="GZP1" s="405"/>
      <c r="GZQ1" s="432" t="s">
        <v>41</v>
      </c>
      <c r="GZR1" s="404"/>
      <c r="GZS1" s="404"/>
      <c r="GZT1" s="404"/>
      <c r="GZU1" s="404"/>
      <c r="GZV1" s="404"/>
      <c r="GZW1" s="404"/>
      <c r="GZX1" s="405"/>
      <c r="GZY1" s="432" t="s">
        <v>41</v>
      </c>
      <c r="GZZ1" s="404"/>
      <c r="HAA1" s="404"/>
      <c r="HAB1" s="404"/>
      <c r="HAC1" s="404"/>
      <c r="HAD1" s="404"/>
      <c r="HAE1" s="404"/>
      <c r="HAF1" s="405"/>
      <c r="HAG1" s="432" t="s">
        <v>41</v>
      </c>
      <c r="HAH1" s="404"/>
      <c r="HAI1" s="404"/>
      <c r="HAJ1" s="404"/>
      <c r="HAK1" s="404"/>
      <c r="HAL1" s="404"/>
      <c r="HAM1" s="404"/>
      <c r="HAN1" s="405"/>
      <c r="HAO1" s="432" t="s">
        <v>41</v>
      </c>
      <c r="HAP1" s="404"/>
      <c r="HAQ1" s="404"/>
      <c r="HAR1" s="404"/>
      <c r="HAS1" s="404"/>
      <c r="HAT1" s="404"/>
      <c r="HAU1" s="404"/>
      <c r="HAV1" s="405"/>
      <c r="HAW1" s="432" t="s">
        <v>41</v>
      </c>
      <c r="HAX1" s="404"/>
      <c r="HAY1" s="404"/>
      <c r="HAZ1" s="404"/>
      <c r="HBA1" s="404"/>
      <c r="HBB1" s="404"/>
      <c r="HBC1" s="404"/>
      <c r="HBD1" s="405"/>
      <c r="HBE1" s="432" t="s">
        <v>41</v>
      </c>
      <c r="HBF1" s="404"/>
      <c r="HBG1" s="404"/>
      <c r="HBH1" s="404"/>
      <c r="HBI1" s="404"/>
      <c r="HBJ1" s="404"/>
      <c r="HBK1" s="404"/>
      <c r="HBL1" s="405"/>
      <c r="HBM1" s="432" t="s">
        <v>41</v>
      </c>
      <c r="HBN1" s="404"/>
      <c r="HBO1" s="404"/>
      <c r="HBP1" s="404"/>
      <c r="HBQ1" s="404"/>
      <c r="HBR1" s="404"/>
      <c r="HBS1" s="404"/>
      <c r="HBT1" s="405"/>
      <c r="HBU1" s="432" t="s">
        <v>41</v>
      </c>
      <c r="HBV1" s="404"/>
      <c r="HBW1" s="404"/>
      <c r="HBX1" s="404"/>
      <c r="HBY1" s="404"/>
      <c r="HBZ1" s="404"/>
      <c r="HCA1" s="404"/>
      <c r="HCB1" s="405"/>
      <c r="HCC1" s="432" t="s">
        <v>41</v>
      </c>
      <c r="HCD1" s="404"/>
      <c r="HCE1" s="404"/>
      <c r="HCF1" s="404"/>
      <c r="HCG1" s="404"/>
      <c r="HCH1" s="404"/>
      <c r="HCI1" s="404"/>
      <c r="HCJ1" s="405"/>
      <c r="HCK1" s="432" t="s">
        <v>41</v>
      </c>
      <c r="HCL1" s="404"/>
      <c r="HCM1" s="404"/>
      <c r="HCN1" s="404"/>
      <c r="HCO1" s="404"/>
      <c r="HCP1" s="404"/>
      <c r="HCQ1" s="404"/>
      <c r="HCR1" s="405"/>
      <c r="HCS1" s="432" t="s">
        <v>41</v>
      </c>
      <c r="HCT1" s="404"/>
      <c r="HCU1" s="404"/>
      <c r="HCV1" s="404"/>
      <c r="HCW1" s="404"/>
      <c r="HCX1" s="404"/>
      <c r="HCY1" s="404"/>
      <c r="HCZ1" s="405"/>
      <c r="HDA1" s="432" t="s">
        <v>41</v>
      </c>
      <c r="HDB1" s="404"/>
      <c r="HDC1" s="404"/>
      <c r="HDD1" s="404"/>
      <c r="HDE1" s="404"/>
      <c r="HDF1" s="404"/>
      <c r="HDG1" s="404"/>
      <c r="HDH1" s="405"/>
      <c r="HDI1" s="432" t="s">
        <v>41</v>
      </c>
      <c r="HDJ1" s="404"/>
      <c r="HDK1" s="404"/>
      <c r="HDL1" s="404"/>
      <c r="HDM1" s="404"/>
      <c r="HDN1" s="404"/>
      <c r="HDO1" s="404"/>
      <c r="HDP1" s="405"/>
      <c r="HDQ1" s="432" t="s">
        <v>41</v>
      </c>
      <c r="HDR1" s="404"/>
      <c r="HDS1" s="404"/>
      <c r="HDT1" s="404"/>
      <c r="HDU1" s="404"/>
      <c r="HDV1" s="404"/>
      <c r="HDW1" s="404"/>
      <c r="HDX1" s="405"/>
      <c r="HDY1" s="432" t="s">
        <v>41</v>
      </c>
      <c r="HDZ1" s="404"/>
      <c r="HEA1" s="404"/>
      <c r="HEB1" s="404"/>
      <c r="HEC1" s="404"/>
      <c r="HED1" s="404"/>
      <c r="HEE1" s="404"/>
      <c r="HEF1" s="405"/>
      <c r="HEG1" s="432" t="s">
        <v>41</v>
      </c>
      <c r="HEH1" s="404"/>
      <c r="HEI1" s="404"/>
      <c r="HEJ1" s="404"/>
      <c r="HEK1" s="404"/>
      <c r="HEL1" s="404"/>
      <c r="HEM1" s="404"/>
      <c r="HEN1" s="405"/>
      <c r="HEO1" s="432" t="s">
        <v>41</v>
      </c>
      <c r="HEP1" s="404"/>
      <c r="HEQ1" s="404"/>
      <c r="HER1" s="404"/>
      <c r="HES1" s="404"/>
      <c r="HET1" s="404"/>
      <c r="HEU1" s="404"/>
      <c r="HEV1" s="405"/>
      <c r="HEW1" s="432" t="s">
        <v>41</v>
      </c>
      <c r="HEX1" s="404"/>
      <c r="HEY1" s="404"/>
      <c r="HEZ1" s="404"/>
      <c r="HFA1" s="404"/>
      <c r="HFB1" s="404"/>
      <c r="HFC1" s="404"/>
      <c r="HFD1" s="405"/>
      <c r="HFE1" s="432" t="s">
        <v>41</v>
      </c>
      <c r="HFF1" s="404"/>
      <c r="HFG1" s="404"/>
      <c r="HFH1" s="404"/>
      <c r="HFI1" s="404"/>
      <c r="HFJ1" s="404"/>
      <c r="HFK1" s="404"/>
      <c r="HFL1" s="405"/>
      <c r="HFM1" s="432" t="s">
        <v>41</v>
      </c>
      <c r="HFN1" s="404"/>
      <c r="HFO1" s="404"/>
      <c r="HFP1" s="404"/>
      <c r="HFQ1" s="404"/>
      <c r="HFR1" s="404"/>
      <c r="HFS1" s="404"/>
      <c r="HFT1" s="405"/>
      <c r="HFU1" s="432" t="s">
        <v>41</v>
      </c>
      <c r="HFV1" s="404"/>
      <c r="HFW1" s="404"/>
      <c r="HFX1" s="404"/>
      <c r="HFY1" s="404"/>
      <c r="HFZ1" s="404"/>
      <c r="HGA1" s="404"/>
      <c r="HGB1" s="405"/>
      <c r="HGC1" s="432" t="s">
        <v>41</v>
      </c>
      <c r="HGD1" s="404"/>
      <c r="HGE1" s="404"/>
      <c r="HGF1" s="404"/>
      <c r="HGG1" s="404"/>
      <c r="HGH1" s="404"/>
      <c r="HGI1" s="404"/>
      <c r="HGJ1" s="405"/>
      <c r="HGK1" s="432" t="s">
        <v>41</v>
      </c>
      <c r="HGL1" s="404"/>
      <c r="HGM1" s="404"/>
      <c r="HGN1" s="404"/>
      <c r="HGO1" s="404"/>
      <c r="HGP1" s="404"/>
      <c r="HGQ1" s="404"/>
      <c r="HGR1" s="405"/>
      <c r="HGS1" s="432" t="s">
        <v>41</v>
      </c>
      <c r="HGT1" s="404"/>
      <c r="HGU1" s="404"/>
      <c r="HGV1" s="404"/>
      <c r="HGW1" s="404"/>
      <c r="HGX1" s="404"/>
      <c r="HGY1" s="404"/>
      <c r="HGZ1" s="405"/>
      <c r="HHA1" s="432" t="s">
        <v>41</v>
      </c>
      <c r="HHB1" s="404"/>
      <c r="HHC1" s="404"/>
      <c r="HHD1" s="404"/>
      <c r="HHE1" s="404"/>
      <c r="HHF1" s="404"/>
      <c r="HHG1" s="404"/>
      <c r="HHH1" s="405"/>
      <c r="HHI1" s="432" t="s">
        <v>41</v>
      </c>
      <c r="HHJ1" s="404"/>
      <c r="HHK1" s="404"/>
      <c r="HHL1" s="404"/>
      <c r="HHM1" s="404"/>
      <c r="HHN1" s="404"/>
      <c r="HHO1" s="404"/>
      <c r="HHP1" s="405"/>
      <c r="HHQ1" s="432" t="s">
        <v>41</v>
      </c>
      <c r="HHR1" s="404"/>
      <c r="HHS1" s="404"/>
      <c r="HHT1" s="404"/>
      <c r="HHU1" s="404"/>
      <c r="HHV1" s="404"/>
      <c r="HHW1" s="404"/>
      <c r="HHX1" s="405"/>
      <c r="HHY1" s="432" t="s">
        <v>41</v>
      </c>
      <c r="HHZ1" s="404"/>
      <c r="HIA1" s="404"/>
      <c r="HIB1" s="404"/>
      <c r="HIC1" s="404"/>
      <c r="HID1" s="404"/>
      <c r="HIE1" s="404"/>
      <c r="HIF1" s="405"/>
      <c r="HIG1" s="432" t="s">
        <v>41</v>
      </c>
      <c r="HIH1" s="404"/>
      <c r="HII1" s="404"/>
      <c r="HIJ1" s="404"/>
      <c r="HIK1" s="404"/>
      <c r="HIL1" s="404"/>
      <c r="HIM1" s="404"/>
      <c r="HIN1" s="405"/>
      <c r="HIO1" s="432" t="s">
        <v>41</v>
      </c>
      <c r="HIP1" s="404"/>
      <c r="HIQ1" s="404"/>
      <c r="HIR1" s="404"/>
      <c r="HIS1" s="404"/>
      <c r="HIT1" s="404"/>
      <c r="HIU1" s="404"/>
      <c r="HIV1" s="405"/>
      <c r="HIW1" s="432" t="s">
        <v>41</v>
      </c>
      <c r="HIX1" s="404"/>
      <c r="HIY1" s="404"/>
      <c r="HIZ1" s="404"/>
      <c r="HJA1" s="404"/>
      <c r="HJB1" s="404"/>
      <c r="HJC1" s="404"/>
      <c r="HJD1" s="405"/>
      <c r="HJE1" s="432" t="s">
        <v>41</v>
      </c>
      <c r="HJF1" s="404"/>
      <c r="HJG1" s="404"/>
      <c r="HJH1" s="404"/>
      <c r="HJI1" s="404"/>
      <c r="HJJ1" s="404"/>
      <c r="HJK1" s="404"/>
      <c r="HJL1" s="405"/>
      <c r="HJM1" s="432" t="s">
        <v>41</v>
      </c>
      <c r="HJN1" s="404"/>
      <c r="HJO1" s="404"/>
      <c r="HJP1" s="404"/>
      <c r="HJQ1" s="404"/>
      <c r="HJR1" s="404"/>
      <c r="HJS1" s="404"/>
      <c r="HJT1" s="405"/>
      <c r="HJU1" s="432" t="s">
        <v>41</v>
      </c>
      <c r="HJV1" s="404"/>
      <c r="HJW1" s="404"/>
      <c r="HJX1" s="404"/>
      <c r="HJY1" s="404"/>
      <c r="HJZ1" s="404"/>
      <c r="HKA1" s="404"/>
      <c r="HKB1" s="405"/>
      <c r="HKC1" s="432" t="s">
        <v>41</v>
      </c>
      <c r="HKD1" s="404"/>
      <c r="HKE1" s="404"/>
      <c r="HKF1" s="404"/>
      <c r="HKG1" s="404"/>
      <c r="HKH1" s="404"/>
      <c r="HKI1" s="404"/>
      <c r="HKJ1" s="405"/>
      <c r="HKK1" s="432" t="s">
        <v>41</v>
      </c>
      <c r="HKL1" s="404"/>
      <c r="HKM1" s="404"/>
      <c r="HKN1" s="404"/>
      <c r="HKO1" s="404"/>
      <c r="HKP1" s="404"/>
      <c r="HKQ1" s="404"/>
      <c r="HKR1" s="405"/>
      <c r="HKS1" s="432" t="s">
        <v>41</v>
      </c>
      <c r="HKT1" s="404"/>
      <c r="HKU1" s="404"/>
      <c r="HKV1" s="404"/>
      <c r="HKW1" s="404"/>
      <c r="HKX1" s="404"/>
      <c r="HKY1" s="404"/>
      <c r="HKZ1" s="405"/>
      <c r="HLA1" s="432" t="s">
        <v>41</v>
      </c>
      <c r="HLB1" s="404"/>
      <c r="HLC1" s="404"/>
      <c r="HLD1" s="404"/>
      <c r="HLE1" s="404"/>
      <c r="HLF1" s="404"/>
      <c r="HLG1" s="404"/>
      <c r="HLH1" s="405"/>
      <c r="HLI1" s="432" t="s">
        <v>41</v>
      </c>
      <c r="HLJ1" s="404"/>
      <c r="HLK1" s="404"/>
      <c r="HLL1" s="404"/>
      <c r="HLM1" s="404"/>
      <c r="HLN1" s="404"/>
      <c r="HLO1" s="404"/>
      <c r="HLP1" s="405"/>
      <c r="HLQ1" s="432" t="s">
        <v>41</v>
      </c>
      <c r="HLR1" s="404"/>
      <c r="HLS1" s="404"/>
      <c r="HLT1" s="404"/>
      <c r="HLU1" s="404"/>
      <c r="HLV1" s="404"/>
      <c r="HLW1" s="404"/>
      <c r="HLX1" s="405"/>
      <c r="HLY1" s="432" t="s">
        <v>41</v>
      </c>
      <c r="HLZ1" s="404"/>
      <c r="HMA1" s="404"/>
      <c r="HMB1" s="404"/>
      <c r="HMC1" s="404"/>
      <c r="HMD1" s="404"/>
      <c r="HME1" s="404"/>
      <c r="HMF1" s="405"/>
      <c r="HMG1" s="432" t="s">
        <v>41</v>
      </c>
      <c r="HMH1" s="404"/>
      <c r="HMI1" s="404"/>
      <c r="HMJ1" s="404"/>
      <c r="HMK1" s="404"/>
      <c r="HML1" s="404"/>
      <c r="HMM1" s="404"/>
      <c r="HMN1" s="405"/>
      <c r="HMO1" s="432" t="s">
        <v>41</v>
      </c>
      <c r="HMP1" s="404"/>
      <c r="HMQ1" s="404"/>
      <c r="HMR1" s="404"/>
      <c r="HMS1" s="404"/>
      <c r="HMT1" s="404"/>
      <c r="HMU1" s="404"/>
      <c r="HMV1" s="405"/>
      <c r="HMW1" s="432" t="s">
        <v>41</v>
      </c>
      <c r="HMX1" s="404"/>
      <c r="HMY1" s="404"/>
      <c r="HMZ1" s="404"/>
      <c r="HNA1" s="404"/>
      <c r="HNB1" s="404"/>
      <c r="HNC1" s="404"/>
      <c r="HND1" s="405"/>
      <c r="HNE1" s="432" t="s">
        <v>41</v>
      </c>
      <c r="HNF1" s="404"/>
      <c r="HNG1" s="404"/>
      <c r="HNH1" s="404"/>
      <c r="HNI1" s="404"/>
      <c r="HNJ1" s="404"/>
      <c r="HNK1" s="404"/>
      <c r="HNL1" s="405"/>
      <c r="HNM1" s="432" t="s">
        <v>41</v>
      </c>
      <c r="HNN1" s="404"/>
      <c r="HNO1" s="404"/>
      <c r="HNP1" s="404"/>
      <c r="HNQ1" s="404"/>
      <c r="HNR1" s="404"/>
      <c r="HNS1" s="404"/>
      <c r="HNT1" s="405"/>
      <c r="HNU1" s="432" t="s">
        <v>41</v>
      </c>
      <c r="HNV1" s="404"/>
      <c r="HNW1" s="404"/>
      <c r="HNX1" s="404"/>
      <c r="HNY1" s="404"/>
      <c r="HNZ1" s="404"/>
      <c r="HOA1" s="404"/>
      <c r="HOB1" s="405"/>
      <c r="HOC1" s="432" t="s">
        <v>41</v>
      </c>
      <c r="HOD1" s="404"/>
      <c r="HOE1" s="404"/>
      <c r="HOF1" s="404"/>
      <c r="HOG1" s="404"/>
      <c r="HOH1" s="404"/>
      <c r="HOI1" s="404"/>
      <c r="HOJ1" s="405"/>
      <c r="HOK1" s="432" t="s">
        <v>41</v>
      </c>
      <c r="HOL1" s="404"/>
      <c r="HOM1" s="404"/>
      <c r="HON1" s="404"/>
      <c r="HOO1" s="404"/>
      <c r="HOP1" s="404"/>
      <c r="HOQ1" s="404"/>
      <c r="HOR1" s="405"/>
      <c r="HOS1" s="432" t="s">
        <v>41</v>
      </c>
      <c r="HOT1" s="404"/>
      <c r="HOU1" s="404"/>
      <c r="HOV1" s="404"/>
      <c r="HOW1" s="404"/>
      <c r="HOX1" s="404"/>
      <c r="HOY1" s="404"/>
      <c r="HOZ1" s="405"/>
      <c r="HPA1" s="432" t="s">
        <v>41</v>
      </c>
      <c r="HPB1" s="404"/>
      <c r="HPC1" s="404"/>
      <c r="HPD1" s="404"/>
      <c r="HPE1" s="404"/>
      <c r="HPF1" s="404"/>
      <c r="HPG1" s="404"/>
      <c r="HPH1" s="405"/>
      <c r="HPI1" s="432" t="s">
        <v>41</v>
      </c>
      <c r="HPJ1" s="404"/>
      <c r="HPK1" s="404"/>
      <c r="HPL1" s="404"/>
      <c r="HPM1" s="404"/>
      <c r="HPN1" s="404"/>
      <c r="HPO1" s="404"/>
      <c r="HPP1" s="405"/>
      <c r="HPQ1" s="432" t="s">
        <v>41</v>
      </c>
      <c r="HPR1" s="404"/>
      <c r="HPS1" s="404"/>
      <c r="HPT1" s="404"/>
      <c r="HPU1" s="404"/>
      <c r="HPV1" s="404"/>
      <c r="HPW1" s="404"/>
      <c r="HPX1" s="405"/>
      <c r="HPY1" s="432" t="s">
        <v>41</v>
      </c>
      <c r="HPZ1" s="404"/>
      <c r="HQA1" s="404"/>
      <c r="HQB1" s="404"/>
      <c r="HQC1" s="404"/>
      <c r="HQD1" s="404"/>
      <c r="HQE1" s="404"/>
      <c r="HQF1" s="405"/>
      <c r="HQG1" s="432" t="s">
        <v>41</v>
      </c>
      <c r="HQH1" s="404"/>
      <c r="HQI1" s="404"/>
      <c r="HQJ1" s="404"/>
      <c r="HQK1" s="404"/>
      <c r="HQL1" s="404"/>
      <c r="HQM1" s="404"/>
      <c r="HQN1" s="405"/>
      <c r="HQO1" s="432" t="s">
        <v>41</v>
      </c>
      <c r="HQP1" s="404"/>
      <c r="HQQ1" s="404"/>
      <c r="HQR1" s="404"/>
      <c r="HQS1" s="404"/>
      <c r="HQT1" s="404"/>
      <c r="HQU1" s="404"/>
      <c r="HQV1" s="405"/>
      <c r="HQW1" s="432" t="s">
        <v>41</v>
      </c>
      <c r="HQX1" s="404"/>
      <c r="HQY1" s="404"/>
      <c r="HQZ1" s="404"/>
      <c r="HRA1" s="404"/>
      <c r="HRB1" s="404"/>
      <c r="HRC1" s="404"/>
      <c r="HRD1" s="405"/>
      <c r="HRE1" s="432" t="s">
        <v>41</v>
      </c>
      <c r="HRF1" s="404"/>
      <c r="HRG1" s="404"/>
      <c r="HRH1" s="404"/>
      <c r="HRI1" s="404"/>
      <c r="HRJ1" s="404"/>
      <c r="HRK1" s="404"/>
      <c r="HRL1" s="405"/>
      <c r="HRM1" s="432" t="s">
        <v>41</v>
      </c>
      <c r="HRN1" s="404"/>
      <c r="HRO1" s="404"/>
      <c r="HRP1" s="404"/>
      <c r="HRQ1" s="404"/>
      <c r="HRR1" s="404"/>
      <c r="HRS1" s="404"/>
      <c r="HRT1" s="405"/>
      <c r="HRU1" s="432" t="s">
        <v>41</v>
      </c>
      <c r="HRV1" s="404"/>
      <c r="HRW1" s="404"/>
      <c r="HRX1" s="404"/>
      <c r="HRY1" s="404"/>
      <c r="HRZ1" s="404"/>
      <c r="HSA1" s="404"/>
      <c r="HSB1" s="405"/>
      <c r="HSC1" s="432" t="s">
        <v>41</v>
      </c>
      <c r="HSD1" s="404"/>
      <c r="HSE1" s="404"/>
      <c r="HSF1" s="404"/>
      <c r="HSG1" s="404"/>
      <c r="HSH1" s="404"/>
      <c r="HSI1" s="404"/>
      <c r="HSJ1" s="405"/>
      <c r="HSK1" s="432" t="s">
        <v>41</v>
      </c>
      <c r="HSL1" s="404"/>
      <c r="HSM1" s="404"/>
      <c r="HSN1" s="404"/>
      <c r="HSO1" s="404"/>
      <c r="HSP1" s="404"/>
      <c r="HSQ1" s="404"/>
      <c r="HSR1" s="405"/>
      <c r="HSS1" s="432" t="s">
        <v>41</v>
      </c>
      <c r="HST1" s="404"/>
      <c r="HSU1" s="404"/>
      <c r="HSV1" s="404"/>
      <c r="HSW1" s="404"/>
      <c r="HSX1" s="404"/>
      <c r="HSY1" s="404"/>
      <c r="HSZ1" s="405"/>
      <c r="HTA1" s="432" t="s">
        <v>41</v>
      </c>
      <c r="HTB1" s="404"/>
      <c r="HTC1" s="404"/>
      <c r="HTD1" s="404"/>
      <c r="HTE1" s="404"/>
      <c r="HTF1" s="404"/>
      <c r="HTG1" s="404"/>
      <c r="HTH1" s="405"/>
      <c r="HTI1" s="432" t="s">
        <v>41</v>
      </c>
      <c r="HTJ1" s="404"/>
      <c r="HTK1" s="404"/>
      <c r="HTL1" s="404"/>
      <c r="HTM1" s="404"/>
      <c r="HTN1" s="404"/>
      <c r="HTO1" s="404"/>
      <c r="HTP1" s="405"/>
      <c r="HTQ1" s="432" t="s">
        <v>41</v>
      </c>
      <c r="HTR1" s="404"/>
      <c r="HTS1" s="404"/>
      <c r="HTT1" s="404"/>
      <c r="HTU1" s="404"/>
      <c r="HTV1" s="404"/>
      <c r="HTW1" s="404"/>
      <c r="HTX1" s="405"/>
      <c r="HTY1" s="432" t="s">
        <v>41</v>
      </c>
      <c r="HTZ1" s="404"/>
      <c r="HUA1" s="404"/>
      <c r="HUB1" s="404"/>
      <c r="HUC1" s="404"/>
      <c r="HUD1" s="404"/>
      <c r="HUE1" s="404"/>
      <c r="HUF1" s="405"/>
      <c r="HUG1" s="432" t="s">
        <v>41</v>
      </c>
      <c r="HUH1" s="404"/>
      <c r="HUI1" s="404"/>
      <c r="HUJ1" s="404"/>
      <c r="HUK1" s="404"/>
      <c r="HUL1" s="404"/>
      <c r="HUM1" s="404"/>
      <c r="HUN1" s="405"/>
      <c r="HUO1" s="432" t="s">
        <v>41</v>
      </c>
      <c r="HUP1" s="404"/>
      <c r="HUQ1" s="404"/>
      <c r="HUR1" s="404"/>
      <c r="HUS1" s="404"/>
      <c r="HUT1" s="404"/>
      <c r="HUU1" s="404"/>
      <c r="HUV1" s="405"/>
      <c r="HUW1" s="432" t="s">
        <v>41</v>
      </c>
      <c r="HUX1" s="404"/>
      <c r="HUY1" s="404"/>
      <c r="HUZ1" s="404"/>
      <c r="HVA1" s="404"/>
      <c r="HVB1" s="404"/>
      <c r="HVC1" s="404"/>
      <c r="HVD1" s="405"/>
      <c r="HVE1" s="432" t="s">
        <v>41</v>
      </c>
      <c r="HVF1" s="404"/>
      <c r="HVG1" s="404"/>
      <c r="HVH1" s="404"/>
      <c r="HVI1" s="404"/>
      <c r="HVJ1" s="404"/>
      <c r="HVK1" s="404"/>
      <c r="HVL1" s="405"/>
      <c r="HVM1" s="432" t="s">
        <v>41</v>
      </c>
      <c r="HVN1" s="404"/>
      <c r="HVO1" s="404"/>
      <c r="HVP1" s="404"/>
      <c r="HVQ1" s="404"/>
      <c r="HVR1" s="404"/>
      <c r="HVS1" s="404"/>
      <c r="HVT1" s="405"/>
      <c r="HVU1" s="432" t="s">
        <v>41</v>
      </c>
      <c r="HVV1" s="404"/>
      <c r="HVW1" s="404"/>
      <c r="HVX1" s="404"/>
      <c r="HVY1" s="404"/>
      <c r="HVZ1" s="404"/>
      <c r="HWA1" s="404"/>
      <c r="HWB1" s="405"/>
      <c r="HWC1" s="432" t="s">
        <v>41</v>
      </c>
      <c r="HWD1" s="404"/>
      <c r="HWE1" s="404"/>
      <c r="HWF1" s="404"/>
      <c r="HWG1" s="404"/>
      <c r="HWH1" s="404"/>
      <c r="HWI1" s="404"/>
      <c r="HWJ1" s="405"/>
      <c r="HWK1" s="432" t="s">
        <v>41</v>
      </c>
      <c r="HWL1" s="404"/>
      <c r="HWM1" s="404"/>
      <c r="HWN1" s="404"/>
      <c r="HWO1" s="404"/>
      <c r="HWP1" s="404"/>
      <c r="HWQ1" s="404"/>
      <c r="HWR1" s="405"/>
      <c r="HWS1" s="432" t="s">
        <v>41</v>
      </c>
      <c r="HWT1" s="404"/>
      <c r="HWU1" s="404"/>
      <c r="HWV1" s="404"/>
      <c r="HWW1" s="404"/>
      <c r="HWX1" s="404"/>
      <c r="HWY1" s="404"/>
      <c r="HWZ1" s="405"/>
      <c r="HXA1" s="432" t="s">
        <v>41</v>
      </c>
      <c r="HXB1" s="404"/>
      <c r="HXC1" s="404"/>
      <c r="HXD1" s="404"/>
      <c r="HXE1" s="404"/>
      <c r="HXF1" s="404"/>
      <c r="HXG1" s="404"/>
      <c r="HXH1" s="405"/>
      <c r="HXI1" s="432" t="s">
        <v>41</v>
      </c>
      <c r="HXJ1" s="404"/>
      <c r="HXK1" s="404"/>
      <c r="HXL1" s="404"/>
      <c r="HXM1" s="404"/>
      <c r="HXN1" s="404"/>
      <c r="HXO1" s="404"/>
      <c r="HXP1" s="405"/>
      <c r="HXQ1" s="432" t="s">
        <v>41</v>
      </c>
      <c r="HXR1" s="404"/>
      <c r="HXS1" s="404"/>
      <c r="HXT1" s="404"/>
      <c r="HXU1" s="404"/>
      <c r="HXV1" s="404"/>
      <c r="HXW1" s="404"/>
      <c r="HXX1" s="405"/>
      <c r="HXY1" s="432" t="s">
        <v>41</v>
      </c>
      <c r="HXZ1" s="404"/>
      <c r="HYA1" s="404"/>
      <c r="HYB1" s="404"/>
      <c r="HYC1" s="404"/>
      <c r="HYD1" s="404"/>
      <c r="HYE1" s="404"/>
      <c r="HYF1" s="405"/>
      <c r="HYG1" s="432" t="s">
        <v>41</v>
      </c>
      <c r="HYH1" s="404"/>
      <c r="HYI1" s="404"/>
      <c r="HYJ1" s="404"/>
      <c r="HYK1" s="404"/>
      <c r="HYL1" s="404"/>
      <c r="HYM1" s="404"/>
      <c r="HYN1" s="405"/>
      <c r="HYO1" s="432" t="s">
        <v>41</v>
      </c>
      <c r="HYP1" s="404"/>
      <c r="HYQ1" s="404"/>
      <c r="HYR1" s="404"/>
      <c r="HYS1" s="404"/>
      <c r="HYT1" s="404"/>
      <c r="HYU1" s="404"/>
      <c r="HYV1" s="405"/>
      <c r="HYW1" s="432" t="s">
        <v>41</v>
      </c>
      <c r="HYX1" s="404"/>
      <c r="HYY1" s="404"/>
      <c r="HYZ1" s="404"/>
      <c r="HZA1" s="404"/>
      <c r="HZB1" s="404"/>
      <c r="HZC1" s="404"/>
      <c r="HZD1" s="405"/>
      <c r="HZE1" s="432" t="s">
        <v>41</v>
      </c>
      <c r="HZF1" s="404"/>
      <c r="HZG1" s="404"/>
      <c r="HZH1" s="404"/>
      <c r="HZI1" s="404"/>
      <c r="HZJ1" s="404"/>
      <c r="HZK1" s="404"/>
      <c r="HZL1" s="405"/>
      <c r="HZM1" s="432" t="s">
        <v>41</v>
      </c>
      <c r="HZN1" s="404"/>
      <c r="HZO1" s="404"/>
      <c r="HZP1" s="404"/>
      <c r="HZQ1" s="404"/>
      <c r="HZR1" s="404"/>
      <c r="HZS1" s="404"/>
      <c r="HZT1" s="405"/>
      <c r="HZU1" s="432" t="s">
        <v>41</v>
      </c>
      <c r="HZV1" s="404"/>
      <c r="HZW1" s="404"/>
      <c r="HZX1" s="404"/>
      <c r="HZY1" s="404"/>
      <c r="HZZ1" s="404"/>
      <c r="IAA1" s="404"/>
      <c r="IAB1" s="405"/>
      <c r="IAC1" s="432" t="s">
        <v>41</v>
      </c>
      <c r="IAD1" s="404"/>
      <c r="IAE1" s="404"/>
      <c r="IAF1" s="404"/>
      <c r="IAG1" s="404"/>
      <c r="IAH1" s="404"/>
      <c r="IAI1" s="404"/>
      <c r="IAJ1" s="405"/>
      <c r="IAK1" s="432" t="s">
        <v>41</v>
      </c>
      <c r="IAL1" s="404"/>
      <c r="IAM1" s="404"/>
      <c r="IAN1" s="404"/>
      <c r="IAO1" s="404"/>
      <c r="IAP1" s="404"/>
      <c r="IAQ1" s="404"/>
      <c r="IAR1" s="405"/>
      <c r="IAS1" s="432" t="s">
        <v>41</v>
      </c>
      <c r="IAT1" s="404"/>
      <c r="IAU1" s="404"/>
      <c r="IAV1" s="404"/>
      <c r="IAW1" s="404"/>
      <c r="IAX1" s="404"/>
      <c r="IAY1" s="404"/>
      <c r="IAZ1" s="405"/>
      <c r="IBA1" s="432" t="s">
        <v>41</v>
      </c>
      <c r="IBB1" s="404"/>
      <c r="IBC1" s="404"/>
      <c r="IBD1" s="404"/>
      <c r="IBE1" s="404"/>
      <c r="IBF1" s="404"/>
      <c r="IBG1" s="404"/>
      <c r="IBH1" s="405"/>
      <c r="IBI1" s="432" t="s">
        <v>41</v>
      </c>
      <c r="IBJ1" s="404"/>
      <c r="IBK1" s="404"/>
      <c r="IBL1" s="404"/>
      <c r="IBM1" s="404"/>
      <c r="IBN1" s="404"/>
      <c r="IBO1" s="404"/>
      <c r="IBP1" s="405"/>
      <c r="IBQ1" s="432" t="s">
        <v>41</v>
      </c>
      <c r="IBR1" s="404"/>
      <c r="IBS1" s="404"/>
      <c r="IBT1" s="404"/>
      <c r="IBU1" s="404"/>
      <c r="IBV1" s="404"/>
      <c r="IBW1" s="404"/>
      <c r="IBX1" s="405"/>
      <c r="IBY1" s="432" t="s">
        <v>41</v>
      </c>
      <c r="IBZ1" s="404"/>
      <c r="ICA1" s="404"/>
      <c r="ICB1" s="404"/>
      <c r="ICC1" s="404"/>
      <c r="ICD1" s="404"/>
      <c r="ICE1" s="404"/>
      <c r="ICF1" s="405"/>
      <c r="ICG1" s="432" t="s">
        <v>41</v>
      </c>
      <c r="ICH1" s="404"/>
      <c r="ICI1" s="404"/>
      <c r="ICJ1" s="404"/>
      <c r="ICK1" s="404"/>
      <c r="ICL1" s="404"/>
      <c r="ICM1" s="404"/>
      <c r="ICN1" s="405"/>
      <c r="ICO1" s="432" t="s">
        <v>41</v>
      </c>
      <c r="ICP1" s="404"/>
      <c r="ICQ1" s="404"/>
      <c r="ICR1" s="404"/>
      <c r="ICS1" s="404"/>
      <c r="ICT1" s="404"/>
      <c r="ICU1" s="404"/>
      <c r="ICV1" s="405"/>
      <c r="ICW1" s="432" t="s">
        <v>41</v>
      </c>
      <c r="ICX1" s="404"/>
      <c r="ICY1" s="404"/>
      <c r="ICZ1" s="404"/>
      <c r="IDA1" s="404"/>
      <c r="IDB1" s="404"/>
      <c r="IDC1" s="404"/>
      <c r="IDD1" s="405"/>
      <c r="IDE1" s="432" t="s">
        <v>41</v>
      </c>
      <c r="IDF1" s="404"/>
      <c r="IDG1" s="404"/>
      <c r="IDH1" s="404"/>
      <c r="IDI1" s="404"/>
      <c r="IDJ1" s="404"/>
      <c r="IDK1" s="404"/>
      <c r="IDL1" s="405"/>
      <c r="IDM1" s="432" t="s">
        <v>41</v>
      </c>
      <c r="IDN1" s="404"/>
      <c r="IDO1" s="404"/>
      <c r="IDP1" s="404"/>
      <c r="IDQ1" s="404"/>
      <c r="IDR1" s="404"/>
      <c r="IDS1" s="404"/>
      <c r="IDT1" s="405"/>
      <c r="IDU1" s="432" t="s">
        <v>41</v>
      </c>
      <c r="IDV1" s="404"/>
      <c r="IDW1" s="404"/>
      <c r="IDX1" s="404"/>
      <c r="IDY1" s="404"/>
      <c r="IDZ1" s="404"/>
      <c r="IEA1" s="404"/>
      <c r="IEB1" s="405"/>
      <c r="IEC1" s="432" t="s">
        <v>41</v>
      </c>
      <c r="IED1" s="404"/>
      <c r="IEE1" s="404"/>
      <c r="IEF1" s="404"/>
      <c r="IEG1" s="404"/>
      <c r="IEH1" s="404"/>
      <c r="IEI1" s="404"/>
      <c r="IEJ1" s="405"/>
      <c r="IEK1" s="432" t="s">
        <v>41</v>
      </c>
      <c r="IEL1" s="404"/>
      <c r="IEM1" s="404"/>
      <c r="IEN1" s="404"/>
      <c r="IEO1" s="404"/>
      <c r="IEP1" s="404"/>
      <c r="IEQ1" s="404"/>
      <c r="IER1" s="405"/>
      <c r="IES1" s="432" t="s">
        <v>41</v>
      </c>
      <c r="IET1" s="404"/>
      <c r="IEU1" s="404"/>
      <c r="IEV1" s="404"/>
      <c r="IEW1" s="404"/>
      <c r="IEX1" s="404"/>
      <c r="IEY1" s="404"/>
      <c r="IEZ1" s="405"/>
      <c r="IFA1" s="432" t="s">
        <v>41</v>
      </c>
      <c r="IFB1" s="404"/>
      <c r="IFC1" s="404"/>
      <c r="IFD1" s="404"/>
      <c r="IFE1" s="404"/>
      <c r="IFF1" s="404"/>
      <c r="IFG1" s="404"/>
      <c r="IFH1" s="405"/>
      <c r="IFI1" s="432" t="s">
        <v>41</v>
      </c>
      <c r="IFJ1" s="404"/>
      <c r="IFK1" s="404"/>
      <c r="IFL1" s="404"/>
      <c r="IFM1" s="404"/>
      <c r="IFN1" s="404"/>
      <c r="IFO1" s="404"/>
      <c r="IFP1" s="405"/>
      <c r="IFQ1" s="432" t="s">
        <v>41</v>
      </c>
      <c r="IFR1" s="404"/>
      <c r="IFS1" s="404"/>
      <c r="IFT1" s="404"/>
      <c r="IFU1" s="404"/>
      <c r="IFV1" s="404"/>
      <c r="IFW1" s="404"/>
      <c r="IFX1" s="405"/>
      <c r="IFY1" s="432" t="s">
        <v>41</v>
      </c>
      <c r="IFZ1" s="404"/>
      <c r="IGA1" s="404"/>
      <c r="IGB1" s="404"/>
      <c r="IGC1" s="404"/>
      <c r="IGD1" s="404"/>
      <c r="IGE1" s="404"/>
      <c r="IGF1" s="405"/>
      <c r="IGG1" s="432" t="s">
        <v>41</v>
      </c>
      <c r="IGH1" s="404"/>
      <c r="IGI1" s="404"/>
      <c r="IGJ1" s="404"/>
      <c r="IGK1" s="404"/>
      <c r="IGL1" s="404"/>
      <c r="IGM1" s="404"/>
      <c r="IGN1" s="405"/>
      <c r="IGO1" s="432" t="s">
        <v>41</v>
      </c>
      <c r="IGP1" s="404"/>
      <c r="IGQ1" s="404"/>
      <c r="IGR1" s="404"/>
      <c r="IGS1" s="404"/>
      <c r="IGT1" s="404"/>
      <c r="IGU1" s="404"/>
      <c r="IGV1" s="405"/>
      <c r="IGW1" s="432" t="s">
        <v>41</v>
      </c>
      <c r="IGX1" s="404"/>
      <c r="IGY1" s="404"/>
      <c r="IGZ1" s="404"/>
      <c r="IHA1" s="404"/>
      <c r="IHB1" s="404"/>
      <c r="IHC1" s="404"/>
      <c r="IHD1" s="405"/>
      <c r="IHE1" s="432" t="s">
        <v>41</v>
      </c>
      <c r="IHF1" s="404"/>
      <c r="IHG1" s="404"/>
      <c r="IHH1" s="404"/>
      <c r="IHI1" s="404"/>
      <c r="IHJ1" s="404"/>
      <c r="IHK1" s="404"/>
      <c r="IHL1" s="405"/>
      <c r="IHM1" s="432" t="s">
        <v>41</v>
      </c>
      <c r="IHN1" s="404"/>
      <c r="IHO1" s="404"/>
      <c r="IHP1" s="404"/>
      <c r="IHQ1" s="404"/>
      <c r="IHR1" s="404"/>
      <c r="IHS1" s="404"/>
      <c r="IHT1" s="405"/>
      <c r="IHU1" s="432" t="s">
        <v>41</v>
      </c>
      <c r="IHV1" s="404"/>
      <c r="IHW1" s="404"/>
      <c r="IHX1" s="404"/>
      <c r="IHY1" s="404"/>
      <c r="IHZ1" s="404"/>
      <c r="IIA1" s="404"/>
      <c r="IIB1" s="405"/>
      <c r="IIC1" s="432" t="s">
        <v>41</v>
      </c>
      <c r="IID1" s="404"/>
      <c r="IIE1" s="404"/>
      <c r="IIF1" s="404"/>
      <c r="IIG1" s="404"/>
      <c r="IIH1" s="404"/>
      <c r="III1" s="404"/>
      <c r="IIJ1" s="405"/>
      <c r="IIK1" s="432" t="s">
        <v>41</v>
      </c>
      <c r="IIL1" s="404"/>
      <c r="IIM1" s="404"/>
      <c r="IIN1" s="404"/>
      <c r="IIO1" s="404"/>
      <c r="IIP1" s="404"/>
      <c r="IIQ1" s="404"/>
      <c r="IIR1" s="405"/>
      <c r="IIS1" s="432" t="s">
        <v>41</v>
      </c>
      <c r="IIT1" s="404"/>
      <c r="IIU1" s="404"/>
      <c r="IIV1" s="404"/>
      <c r="IIW1" s="404"/>
      <c r="IIX1" s="404"/>
      <c r="IIY1" s="404"/>
      <c r="IIZ1" s="405"/>
      <c r="IJA1" s="432" t="s">
        <v>41</v>
      </c>
      <c r="IJB1" s="404"/>
      <c r="IJC1" s="404"/>
      <c r="IJD1" s="404"/>
      <c r="IJE1" s="404"/>
      <c r="IJF1" s="404"/>
      <c r="IJG1" s="404"/>
      <c r="IJH1" s="405"/>
      <c r="IJI1" s="432" t="s">
        <v>41</v>
      </c>
      <c r="IJJ1" s="404"/>
      <c r="IJK1" s="404"/>
      <c r="IJL1" s="404"/>
      <c r="IJM1" s="404"/>
      <c r="IJN1" s="404"/>
      <c r="IJO1" s="404"/>
      <c r="IJP1" s="405"/>
      <c r="IJQ1" s="432" t="s">
        <v>41</v>
      </c>
      <c r="IJR1" s="404"/>
      <c r="IJS1" s="404"/>
      <c r="IJT1" s="404"/>
      <c r="IJU1" s="404"/>
      <c r="IJV1" s="404"/>
      <c r="IJW1" s="404"/>
      <c r="IJX1" s="405"/>
      <c r="IJY1" s="432" t="s">
        <v>41</v>
      </c>
      <c r="IJZ1" s="404"/>
      <c r="IKA1" s="404"/>
      <c r="IKB1" s="404"/>
      <c r="IKC1" s="404"/>
      <c r="IKD1" s="404"/>
      <c r="IKE1" s="404"/>
      <c r="IKF1" s="405"/>
      <c r="IKG1" s="432" t="s">
        <v>41</v>
      </c>
      <c r="IKH1" s="404"/>
      <c r="IKI1" s="404"/>
      <c r="IKJ1" s="404"/>
      <c r="IKK1" s="404"/>
      <c r="IKL1" s="404"/>
      <c r="IKM1" s="404"/>
      <c r="IKN1" s="405"/>
      <c r="IKO1" s="432" t="s">
        <v>41</v>
      </c>
      <c r="IKP1" s="404"/>
      <c r="IKQ1" s="404"/>
      <c r="IKR1" s="404"/>
      <c r="IKS1" s="404"/>
      <c r="IKT1" s="404"/>
      <c r="IKU1" s="404"/>
      <c r="IKV1" s="405"/>
      <c r="IKW1" s="432" t="s">
        <v>41</v>
      </c>
      <c r="IKX1" s="404"/>
      <c r="IKY1" s="404"/>
      <c r="IKZ1" s="404"/>
      <c r="ILA1" s="404"/>
      <c r="ILB1" s="404"/>
      <c r="ILC1" s="404"/>
      <c r="ILD1" s="405"/>
      <c r="ILE1" s="432" t="s">
        <v>41</v>
      </c>
      <c r="ILF1" s="404"/>
      <c r="ILG1" s="404"/>
      <c r="ILH1" s="404"/>
      <c r="ILI1" s="404"/>
      <c r="ILJ1" s="404"/>
      <c r="ILK1" s="404"/>
      <c r="ILL1" s="405"/>
      <c r="ILM1" s="432" t="s">
        <v>41</v>
      </c>
      <c r="ILN1" s="404"/>
      <c r="ILO1" s="404"/>
      <c r="ILP1" s="404"/>
      <c r="ILQ1" s="404"/>
      <c r="ILR1" s="404"/>
      <c r="ILS1" s="404"/>
      <c r="ILT1" s="405"/>
      <c r="ILU1" s="432" t="s">
        <v>41</v>
      </c>
      <c r="ILV1" s="404"/>
      <c r="ILW1" s="404"/>
      <c r="ILX1" s="404"/>
      <c r="ILY1" s="404"/>
      <c r="ILZ1" s="404"/>
      <c r="IMA1" s="404"/>
      <c r="IMB1" s="405"/>
      <c r="IMC1" s="432" t="s">
        <v>41</v>
      </c>
      <c r="IMD1" s="404"/>
      <c r="IME1" s="404"/>
      <c r="IMF1" s="404"/>
      <c r="IMG1" s="404"/>
      <c r="IMH1" s="404"/>
      <c r="IMI1" s="404"/>
      <c r="IMJ1" s="405"/>
      <c r="IMK1" s="432" t="s">
        <v>41</v>
      </c>
      <c r="IML1" s="404"/>
      <c r="IMM1" s="404"/>
      <c r="IMN1" s="404"/>
      <c r="IMO1" s="404"/>
      <c r="IMP1" s="404"/>
      <c r="IMQ1" s="404"/>
      <c r="IMR1" s="405"/>
      <c r="IMS1" s="432" t="s">
        <v>41</v>
      </c>
      <c r="IMT1" s="404"/>
      <c r="IMU1" s="404"/>
      <c r="IMV1" s="404"/>
      <c r="IMW1" s="404"/>
      <c r="IMX1" s="404"/>
      <c r="IMY1" s="404"/>
      <c r="IMZ1" s="405"/>
      <c r="INA1" s="432" t="s">
        <v>41</v>
      </c>
      <c r="INB1" s="404"/>
      <c r="INC1" s="404"/>
      <c r="IND1" s="404"/>
      <c r="INE1" s="404"/>
      <c r="INF1" s="404"/>
      <c r="ING1" s="404"/>
      <c r="INH1" s="405"/>
      <c r="INI1" s="432" t="s">
        <v>41</v>
      </c>
      <c r="INJ1" s="404"/>
      <c r="INK1" s="404"/>
      <c r="INL1" s="404"/>
      <c r="INM1" s="404"/>
      <c r="INN1" s="404"/>
      <c r="INO1" s="404"/>
      <c r="INP1" s="405"/>
      <c r="INQ1" s="432" t="s">
        <v>41</v>
      </c>
      <c r="INR1" s="404"/>
      <c r="INS1" s="404"/>
      <c r="INT1" s="404"/>
      <c r="INU1" s="404"/>
      <c r="INV1" s="404"/>
      <c r="INW1" s="404"/>
      <c r="INX1" s="405"/>
      <c r="INY1" s="432" t="s">
        <v>41</v>
      </c>
      <c r="INZ1" s="404"/>
      <c r="IOA1" s="404"/>
      <c r="IOB1" s="404"/>
      <c r="IOC1" s="404"/>
      <c r="IOD1" s="404"/>
      <c r="IOE1" s="404"/>
      <c r="IOF1" s="405"/>
      <c r="IOG1" s="432" t="s">
        <v>41</v>
      </c>
      <c r="IOH1" s="404"/>
      <c r="IOI1" s="404"/>
      <c r="IOJ1" s="404"/>
      <c r="IOK1" s="404"/>
      <c r="IOL1" s="404"/>
      <c r="IOM1" s="404"/>
      <c r="ION1" s="405"/>
      <c r="IOO1" s="432" t="s">
        <v>41</v>
      </c>
      <c r="IOP1" s="404"/>
      <c r="IOQ1" s="404"/>
      <c r="IOR1" s="404"/>
      <c r="IOS1" s="404"/>
      <c r="IOT1" s="404"/>
      <c r="IOU1" s="404"/>
      <c r="IOV1" s="405"/>
      <c r="IOW1" s="432" t="s">
        <v>41</v>
      </c>
      <c r="IOX1" s="404"/>
      <c r="IOY1" s="404"/>
      <c r="IOZ1" s="404"/>
      <c r="IPA1" s="404"/>
      <c r="IPB1" s="404"/>
      <c r="IPC1" s="404"/>
      <c r="IPD1" s="405"/>
      <c r="IPE1" s="432" t="s">
        <v>41</v>
      </c>
      <c r="IPF1" s="404"/>
      <c r="IPG1" s="404"/>
      <c r="IPH1" s="404"/>
      <c r="IPI1" s="404"/>
      <c r="IPJ1" s="404"/>
      <c r="IPK1" s="404"/>
      <c r="IPL1" s="405"/>
      <c r="IPM1" s="432" t="s">
        <v>41</v>
      </c>
      <c r="IPN1" s="404"/>
      <c r="IPO1" s="404"/>
      <c r="IPP1" s="404"/>
      <c r="IPQ1" s="404"/>
      <c r="IPR1" s="404"/>
      <c r="IPS1" s="404"/>
      <c r="IPT1" s="405"/>
      <c r="IPU1" s="432" t="s">
        <v>41</v>
      </c>
      <c r="IPV1" s="404"/>
      <c r="IPW1" s="404"/>
      <c r="IPX1" s="404"/>
      <c r="IPY1" s="404"/>
      <c r="IPZ1" s="404"/>
      <c r="IQA1" s="404"/>
      <c r="IQB1" s="405"/>
      <c r="IQC1" s="432" t="s">
        <v>41</v>
      </c>
      <c r="IQD1" s="404"/>
      <c r="IQE1" s="404"/>
      <c r="IQF1" s="404"/>
      <c r="IQG1" s="404"/>
      <c r="IQH1" s="404"/>
      <c r="IQI1" s="404"/>
      <c r="IQJ1" s="405"/>
      <c r="IQK1" s="432" t="s">
        <v>41</v>
      </c>
      <c r="IQL1" s="404"/>
      <c r="IQM1" s="404"/>
      <c r="IQN1" s="404"/>
      <c r="IQO1" s="404"/>
      <c r="IQP1" s="404"/>
      <c r="IQQ1" s="404"/>
      <c r="IQR1" s="405"/>
      <c r="IQS1" s="432" t="s">
        <v>41</v>
      </c>
      <c r="IQT1" s="404"/>
      <c r="IQU1" s="404"/>
      <c r="IQV1" s="404"/>
      <c r="IQW1" s="404"/>
      <c r="IQX1" s="404"/>
      <c r="IQY1" s="404"/>
      <c r="IQZ1" s="405"/>
      <c r="IRA1" s="432" t="s">
        <v>41</v>
      </c>
      <c r="IRB1" s="404"/>
      <c r="IRC1" s="404"/>
      <c r="IRD1" s="404"/>
      <c r="IRE1" s="404"/>
      <c r="IRF1" s="404"/>
      <c r="IRG1" s="404"/>
      <c r="IRH1" s="405"/>
      <c r="IRI1" s="432" t="s">
        <v>41</v>
      </c>
      <c r="IRJ1" s="404"/>
      <c r="IRK1" s="404"/>
      <c r="IRL1" s="404"/>
      <c r="IRM1" s="404"/>
      <c r="IRN1" s="404"/>
      <c r="IRO1" s="404"/>
      <c r="IRP1" s="405"/>
      <c r="IRQ1" s="432" t="s">
        <v>41</v>
      </c>
      <c r="IRR1" s="404"/>
      <c r="IRS1" s="404"/>
      <c r="IRT1" s="404"/>
      <c r="IRU1" s="404"/>
      <c r="IRV1" s="404"/>
      <c r="IRW1" s="404"/>
      <c r="IRX1" s="405"/>
      <c r="IRY1" s="432" t="s">
        <v>41</v>
      </c>
      <c r="IRZ1" s="404"/>
      <c r="ISA1" s="404"/>
      <c r="ISB1" s="404"/>
      <c r="ISC1" s="404"/>
      <c r="ISD1" s="404"/>
      <c r="ISE1" s="404"/>
      <c r="ISF1" s="405"/>
      <c r="ISG1" s="432" t="s">
        <v>41</v>
      </c>
      <c r="ISH1" s="404"/>
      <c r="ISI1" s="404"/>
      <c r="ISJ1" s="404"/>
      <c r="ISK1" s="404"/>
      <c r="ISL1" s="404"/>
      <c r="ISM1" s="404"/>
      <c r="ISN1" s="405"/>
      <c r="ISO1" s="432" t="s">
        <v>41</v>
      </c>
      <c r="ISP1" s="404"/>
      <c r="ISQ1" s="404"/>
      <c r="ISR1" s="404"/>
      <c r="ISS1" s="404"/>
      <c r="IST1" s="404"/>
      <c r="ISU1" s="404"/>
      <c r="ISV1" s="405"/>
      <c r="ISW1" s="432" t="s">
        <v>41</v>
      </c>
      <c r="ISX1" s="404"/>
      <c r="ISY1" s="404"/>
      <c r="ISZ1" s="404"/>
      <c r="ITA1" s="404"/>
      <c r="ITB1" s="404"/>
      <c r="ITC1" s="404"/>
      <c r="ITD1" s="405"/>
      <c r="ITE1" s="432" t="s">
        <v>41</v>
      </c>
      <c r="ITF1" s="404"/>
      <c r="ITG1" s="404"/>
      <c r="ITH1" s="404"/>
      <c r="ITI1" s="404"/>
      <c r="ITJ1" s="404"/>
      <c r="ITK1" s="404"/>
      <c r="ITL1" s="405"/>
      <c r="ITM1" s="432" t="s">
        <v>41</v>
      </c>
      <c r="ITN1" s="404"/>
      <c r="ITO1" s="404"/>
      <c r="ITP1" s="404"/>
      <c r="ITQ1" s="404"/>
      <c r="ITR1" s="404"/>
      <c r="ITS1" s="404"/>
      <c r="ITT1" s="405"/>
      <c r="ITU1" s="432" t="s">
        <v>41</v>
      </c>
      <c r="ITV1" s="404"/>
      <c r="ITW1" s="404"/>
      <c r="ITX1" s="404"/>
      <c r="ITY1" s="404"/>
      <c r="ITZ1" s="404"/>
      <c r="IUA1" s="404"/>
      <c r="IUB1" s="405"/>
      <c r="IUC1" s="432" t="s">
        <v>41</v>
      </c>
      <c r="IUD1" s="404"/>
      <c r="IUE1" s="404"/>
      <c r="IUF1" s="404"/>
      <c r="IUG1" s="404"/>
      <c r="IUH1" s="404"/>
      <c r="IUI1" s="404"/>
      <c r="IUJ1" s="405"/>
      <c r="IUK1" s="432" t="s">
        <v>41</v>
      </c>
      <c r="IUL1" s="404"/>
      <c r="IUM1" s="404"/>
      <c r="IUN1" s="404"/>
      <c r="IUO1" s="404"/>
      <c r="IUP1" s="404"/>
      <c r="IUQ1" s="404"/>
      <c r="IUR1" s="405"/>
      <c r="IUS1" s="432" t="s">
        <v>41</v>
      </c>
      <c r="IUT1" s="404"/>
      <c r="IUU1" s="404"/>
      <c r="IUV1" s="404"/>
      <c r="IUW1" s="404"/>
      <c r="IUX1" s="404"/>
      <c r="IUY1" s="404"/>
      <c r="IUZ1" s="405"/>
      <c r="IVA1" s="432" t="s">
        <v>41</v>
      </c>
      <c r="IVB1" s="404"/>
      <c r="IVC1" s="404"/>
      <c r="IVD1" s="404"/>
      <c r="IVE1" s="404"/>
      <c r="IVF1" s="404"/>
      <c r="IVG1" s="404"/>
      <c r="IVH1" s="405"/>
      <c r="IVI1" s="432" t="s">
        <v>41</v>
      </c>
      <c r="IVJ1" s="404"/>
      <c r="IVK1" s="404"/>
      <c r="IVL1" s="404"/>
      <c r="IVM1" s="404"/>
      <c r="IVN1" s="404"/>
      <c r="IVO1" s="404"/>
      <c r="IVP1" s="405"/>
      <c r="IVQ1" s="432" t="s">
        <v>41</v>
      </c>
      <c r="IVR1" s="404"/>
      <c r="IVS1" s="404"/>
      <c r="IVT1" s="404"/>
      <c r="IVU1" s="404"/>
      <c r="IVV1" s="404"/>
      <c r="IVW1" s="404"/>
      <c r="IVX1" s="405"/>
      <c r="IVY1" s="432" t="s">
        <v>41</v>
      </c>
      <c r="IVZ1" s="404"/>
      <c r="IWA1" s="404"/>
      <c r="IWB1" s="404"/>
      <c r="IWC1" s="404"/>
      <c r="IWD1" s="404"/>
      <c r="IWE1" s="404"/>
      <c r="IWF1" s="405"/>
      <c r="IWG1" s="432" t="s">
        <v>41</v>
      </c>
      <c r="IWH1" s="404"/>
      <c r="IWI1" s="404"/>
      <c r="IWJ1" s="404"/>
      <c r="IWK1" s="404"/>
      <c r="IWL1" s="404"/>
      <c r="IWM1" s="404"/>
      <c r="IWN1" s="405"/>
      <c r="IWO1" s="432" t="s">
        <v>41</v>
      </c>
      <c r="IWP1" s="404"/>
      <c r="IWQ1" s="404"/>
      <c r="IWR1" s="404"/>
      <c r="IWS1" s="404"/>
      <c r="IWT1" s="404"/>
      <c r="IWU1" s="404"/>
      <c r="IWV1" s="405"/>
      <c r="IWW1" s="432" t="s">
        <v>41</v>
      </c>
      <c r="IWX1" s="404"/>
      <c r="IWY1" s="404"/>
      <c r="IWZ1" s="404"/>
      <c r="IXA1" s="404"/>
      <c r="IXB1" s="404"/>
      <c r="IXC1" s="404"/>
      <c r="IXD1" s="405"/>
      <c r="IXE1" s="432" t="s">
        <v>41</v>
      </c>
      <c r="IXF1" s="404"/>
      <c r="IXG1" s="404"/>
      <c r="IXH1" s="404"/>
      <c r="IXI1" s="404"/>
      <c r="IXJ1" s="404"/>
      <c r="IXK1" s="404"/>
      <c r="IXL1" s="405"/>
      <c r="IXM1" s="432" t="s">
        <v>41</v>
      </c>
      <c r="IXN1" s="404"/>
      <c r="IXO1" s="404"/>
      <c r="IXP1" s="404"/>
      <c r="IXQ1" s="404"/>
      <c r="IXR1" s="404"/>
      <c r="IXS1" s="404"/>
      <c r="IXT1" s="405"/>
      <c r="IXU1" s="432" t="s">
        <v>41</v>
      </c>
      <c r="IXV1" s="404"/>
      <c r="IXW1" s="404"/>
      <c r="IXX1" s="404"/>
      <c r="IXY1" s="404"/>
      <c r="IXZ1" s="404"/>
      <c r="IYA1" s="404"/>
      <c r="IYB1" s="405"/>
      <c r="IYC1" s="432" t="s">
        <v>41</v>
      </c>
      <c r="IYD1" s="404"/>
      <c r="IYE1" s="404"/>
      <c r="IYF1" s="404"/>
      <c r="IYG1" s="404"/>
      <c r="IYH1" s="404"/>
      <c r="IYI1" s="404"/>
      <c r="IYJ1" s="405"/>
      <c r="IYK1" s="432" t="s">
        <v>41</v>
      </c>
      <c r="IYL1" s="404"/>
      <c r="IYM1" s="404"/>
      <c r="IYN1" s="404"/>
      <c r="IYO1" s="404"/>
      <c r="IYP1" s="404"/>
      <c r="IYQ1" s="404"/>
      <c r="IYR1" s="405"/>
      <c r="IYS1" s="432" t="s">
        <v>41</v>
      </c>
      <c r="IYT1" s="404"/>
      <c r="IYU1" s="404"/>
      <c r="IYV1" s="404"/>
      <c r="IYW1" s="404"/>
      <c r="IYX1" s="404"/>
      <c r="IYY1" s="404"/>
      <c r="IYZ1" s="405"/>
      <c r="IZA1" s="432" t="s">
        <v>41</v>
      </c>
      <c r="IZB1" s="404"/>
      <c r="IZC1" s="404"/>
      <c r="IZD1" s="404"/>
      <c r="IZE1" s="404"/>
      <c r="IZF1" s="404"/>
      <c r="IZG1" s="404"/>
      <c r="IZH1" s="405"/>
      <c r="IZI1" s="432" t="s">
        <v>41</v>
      </c>
      <c r="IZJ1" s="404"/>
      <c r="IZK1" s="404"/>
      <c r="IZL1" s="404"/>
      <c r="IZM1" s="404"/>
      <c r="IZN1" s="404"/>
      <c r="IZO1" s="404"/>
      <c r="IZP1" s="405"/>
      <c r="IZQ1" s="432" t="s">
        <v>41</v>
      </c>
      <c r="IZR1" s="404"/>
      <c r="IZS1" s="404"/>
      <c r="IZT1" s="404"/>
      <c r="IZU1" s="404"/>
      <c r="IZV1" s="404"/>
      <c r="IZW1" s="404"/>
      <c r="IZX1" s="405"/>
      <c r="IZY1" s="432" t="s">
        <v>41</v>
      </c>
      <c r="IZZ1" s="404"/>
      <c r="JAA1" s="404"/>
      <c r="JAB1" s="404"/>
      <c r="JAC1" s="404"/>
      <c r="JAD1" s="404"/>
      <c r="JAE1" s="404"/>
      <c r="JAF1" s="405"/>
      <c r="JAG1" s="432" t="s">
        <v>41</v>
      </c>
      <c r="JAH1" s="404"/>
      <c r="JAI1" s="404"/>
      <c r="JAJ1" s="404"/>
      <c r="JAK1" s="404"/>
      <c r="JAL1" s="404"/>
      <c r="JAM1" s="404"/>
      <c r="JAN1" s="405"/>
      <c r="JAO1" s="432" t="s">
        <v>41</v>
      </c>
      <c r="JAP1" s="404"/>
      <c r="JAQ1" s="404"/>
      <c r="JAR1" s="404"/>
      <c r="JAS1" s="404"/>
      <c r="JAT1" s="404"/>
      <c r="JAU1" s="404"/>
      <c r="JAV1" s="405"/>
      <c r="JAW1" s="432" t="s">
        <v>41</v>
      </c>
      <c r="JAX1" s="404"/>
      <c r="JAY1" s="404"/>
      <c r="JAZ1" s="404"/>
      <c r="JBA1" s="404"/>
      <c r="JBB1" s="404"/>
      <c r="JBC1" s="404"/>
      <c r="JBD1" s="405"/>
      <c r="JBE1" s="432" t="s">
        <v>41</v>
      </c>
      <c r="JBF1" s="404"/>
      <c r="JBG1" s="404"/>
      <c r="JBH1" s="404"/>
      <c r="JBI1" s="404"/>
      <c r="JBJ1" s="404"/>
      <c r="JBK1" s="404"/>
      <c r="JBL1" s="405"/>
      <c r="JBM1" s="432" t="s">
        <v>41</v>
      </c>
      <c r="JBN1" s="404"/>
      <c r="JBO1" s="404"/>
      <c r="JBP1" s="404"/>
      <c r="JBQ1" s="404"/>
      <c r="JBR1" s="404"/>
      <c r="JBS1" s="404"/>
      <c r="JBT1" s="405"/>
      <c r="JBU1" s="432" t="s">
        <v>41</v>
      </c>
      <c r="JBV1" s="404"/>
      <c r="JBW1" s="404"/>
      <c r="JBX1" s="404"/>
      <c r="JBY1" s="404"/>
      <c r="JBZ1" s="404"/>
      <c r="JCA1" s="404"/>
      <c r="JCB1" s="405"/>
      <c r="JCC1" s="432" t="s">
        <v>41</v>
      </c>
      <c r="JCD1" s="404"/>
      <c r="JCE1" s="404"/>
      <c r="JCF1" s="404"/>
      <c r="JCG1" s="404"/>
      <c r="JCH1" s="404"/>
      <c r="JCI1" s="404"/>
      <c r="JCJ1" s="405"/>
      <c r="JCK1" s="432" t="s">
        <v>41</v>
      </c>
      <c r="JCL1" s="404"/>
      <c r="JCM1" s="404"/>
      <c r="JCN1" s="404"/>
      <c r="JCO1" s="404"/>
      <c r="JCP1" s="404"/>
      <c r="JCQ1" s="404"/>
      <c r="JCR1" s="405"/>
      <c r="JCS1" s="432" t="s">
        <v>41</v>
      </c>
      <c r="JCT1" s="404"/>
      <c r="JCU1" s="404"/>
      <c r="JCV1" s="404"/>
      <c r="JCW1" s="404"/>
      <c r="JCX1" s="404"/>
      <c r="JCY1" s="404"/>
      <c r="JCZ1" s="405"/>
      <c r="JDA1" s="432" t="s">
        <v>41</v>
      </c>
      <c r="JDB1" s="404"/>
      <c r="JDC1" s="404"/>
      <c r="JDD1" s="404"/>
      <c r="JDE1" s="404"/>
      <c r="JDF1" s="404"/>
      <c r="JDG1" s="404"/>
      <c r="JDH1" s="405"/>
      <c r="JDI1" s="432" t="s">
        <v>41</v>
      </c>
      <c r="JDJ1" s="404"/>
      <c r="JDK1" s="404"/>
      <c r="JDL1" s="404"/>
      <c r="JDM1" s="404"/>
      <c r="JDN1" s="404"/>
      <c r="JDO1" s="404"/>
      <c r="JDP1" s="405"/>
      <c r="JDQ1" s="432" t="s">
        <v>41</v>
      </c>
      <c r="JDR1" s="404"/>
      <c r="JDS1" s="404"/>
      <c r="JDT1" s="404"/>
      <c r="JDU1" s="404"/>
      <c r="JDV1" s="404"/>
      <c r="JDW1" s="404"/>
      <c r="JDX1" s="405"/>
      <c r="JDY1" s="432" t="s">
        <v>41</v>
      </c>
      <c r="JDZ1" s="404"/>
      <c r="JEA1" s="404"/>
      <c r="JEB1" s="404"/>
      <c r="JEC1" s="404"/>
      <c r="JED1" s="404"/>
      <c r="JEE1" s="404"/>
      <c r="JEF1" s="405"/>
      <c r="JEG1" s="432" t="s">
        <v>41</v>
      </c>
      <c r="JEH1" s="404"/>
      <c r="JEI1" s="404"/>
      <c r="JEJ1" s="404"/>
      <c r="JEK1" s="404"/>
      <c r="JEL1" s="404"/>
      <c r="JEM1" s="404"/>
      <c r="JEN1" s="405"/>
      <c r="JEO1" s="432" t="s">
        <v>41</v>
      </c>
      <c r="JEP1" s="404"/>
      <c r="JEQ1" s="404"/>
      <c r="JER1" s="404"/>
      <c r="JES1" s="404"/>
      <c r="JET1" s="404"/>
      <c r="JEU1" s="404"/>
      <c r="JEV1" s="405"/>
      <c r="JEW1" s="432" t="s">
        <v>41</v>
      </c>
      <c r="JEX1" s="404"/>
      <c r="JEY1" s="404"/>
      <c r="JEZ1" s="404"/>
      <c r="JFA1" s="404"/>
      <c r="JFB1" s="404"/>
      <c r="JFC1" s="404"/>
      <c r="JFD1" s="405"/>
      <c r="JFE1" s="432" t="s">
        <v>41</v>
      </c>
      <c r="JFF1" s="404"/>
      <c r="JFG1" s="404"/>
      <c r="JFH1" s="404"/>
      <c r="JFI1" s="404"/>
      <c r="JFJ1" s="404"/>
      <c r="JFK1" s="404"/>
      <c r="JFL1" s="405"/>
      <c r="JFM1" s="432" t="s">
        <v>41</v>
      </c>
      <c r="JFN1" s="404"/>
      <c r="JFO1" s="404"/>
      <c r="JFP1" s="404"/>
      <c r="JFQ1" s="404"/>
      <c r="JFR1" s="404"/>
      <c r="JFS1" s="404"/>
      <c r="JFT1" s="405"/>
      <c r="JFU1" s="432" t="s">
        <v>41</v>
      </c>
      <c r="JFV1" s="404"/>
      <c r="JFW1" s="404"/>
      <c r="JFX1" s="404"/>
      <c r="JFY1" s="404"/>
      <c r="JFZ1" s="404"/>
      <c r="JGA1" s="404"/>
      <c r="JGB1" s="405"/>
      <c r="JGC1" s="432" t="s">
        <v>41</v>
      </c>
      <c r="JGD1" s="404"/>
      <c r="JGE1" s="404"/>
      <c r="JGF1" s="404"/>
      <c r="JGG1" s="404"/>
      <c r="JGH1" s="404"/>
      <c r="JGI1" s="404"/>
      <c r="JGJ1" s="405"/>
      <c r="JGK1" s="432" t="s">
        <v>41</v>
      </c>
      <c r="JGL1" s="404"/>
      <c r="JGM1" s="404"/>
      <c r="JGN1" s="404"/>
      <c r="JGO1" s="404"/>
      <c r="JGP1" s="404"/>
      <c r="JGQ1" s="404"/>
      <c r="JGR1" s="405"/>
      <c r="JGS1" s="432" t="s">
        <v>41</v>
      </c>
      <c r="JGT1" s="404"/>
      <c r="JGU1" s="404"/>
      <c r="JGV1" s="404"/>
      <c r="JGW1" s="404"/>
      <c r="JGX1" s="404"/>
      <c r="JGY1" s="404"/>
      <c r="JGZ1" s="405"/>
      <c r="JHA1" s="432" t="s">
        <v>41</v>
      </c>
      <c r="JHB1" s="404"/>
      <c r="JHC1" s="404"/>
      <c r="JHD1" s="404"/>
      <c r="JHE1" s="404"/>
      <c r="JHF1" s="404"/>
      <c r="JHG1" s="404"/>
      <c r="JHH1" s="405"/>
      <c r="JHI1" s="432" t="s">
        <v>41</v>
      </c>
      <c r="JHJ1" s="404"/>
      <c r="JHK1" s="404"/>
      <c r="JHL1" s="404"/>
      <c r="JHM1" s="404"/>
      <c r="JHN1" s="404"/>
      <c r="JHO1" s="404"/>
      <c r="JHP1" s="405"/>
      <c r="JHQ1" s="432" t="s">
        <v>41</v>
      </c>
      <c r="JHR1" s="404"/>
      <c r="JHS1" s="404"/>
      <c r="JHT1" s="404"/>
      <c r="JHU1" s="404"/>
      <c r="JHV1" s="404"/>
      <c r="JHW1" s="404"/>
      <c r="JHX1" s="405"/>
      <c r="JHY1" s="432" t="s">
        <v>41</v>
      </c>
      <c r="JHZ1" s="404"/>
      <c r="JIA1" s="404"/>
      <c r="JIB1" s="404"/>
      <c r="JIC1" s="404"/>
      <c r="JID1" s="404"/>
      <c r="JIE1" s="404"/>
      <c r="JIF1" s="405"/>
      <c r="JIG1" s="432" t="s">
        <v>41</v>
      </c>
      <c r="JIH1" s="404"/>
      <c r="JII1" s="404"/>
      <c r="JIJ1" s="404"/>
      <c r="JIK1" s="404"/>
      <c r="JIL1" s="404"/>
      <c r="JIM1" s="404"/>
      <c r="JIN1" s="405"/>
      <c r="JIO1" s="432" t="s">
        <v>41</v>
      </c>
      <c r="JIP1" s="404"/>
      <c r="JIQ1" s="404"/>
      <c r="JIR1" s="404"/>
      <c r="JIS1" s="404"/>
      <c r="JIT1" s="404"/>
      <c r="JIU1" s="404"/>
      <c r="JIV1" s="405"/>
      <c r="JIW1" s="432" t="s">
        <v>41</v>
      </c>
      <c r="JIX1" s="404"/>
      <c r="JIY1" s="404"/>
      <c r="JIZ1" s="404"/>
      <c r="JJA1" s="404"/>
      <c r="JJB1" s="404"/>
      <c r="JJC1" s="404"/>
      <c r="JJD1" s="405"/>
      <c r="JJE1" s="432" t="s">
        <v>41</v>
      </c>
      <c r="JJF1" s="404"/>
      <c r="JJG1" s="404"/>
      <c r="JJH1" s="404"/>
      <c r="JJI1" s="404"/>
      <c r="JJJ1" s="404"/>
      <c r="JJK1" s="404"/>
      <c r="JJL1" s="405"/>
      <c r="JJM1" s="432" t="s">
        <v>41</v>
      </c>
      <c r="JJN1" s="404"/>
      <c r="JJO1" s="404"/>
      <c r="JJP1" s="404"/>
      <c r="JJQ1" s="404"/>
      <c r="JJR1" s="404"/>
      <c r="JJS1" s="404"/>
      <c r="JJT1" s="405"/>
      <c r="JJU1" s="432" t="s">
        <v>41</v>
      </c>
      <c r="JJV1" s="404"/>
      <c r="JJW1" s="404"/>
      <c r="JJX1" s="404"/>
      <c r="JJY1" s="404"/>
      <c r="JJZ1" s="404"/>
      <c r="JKA1" s="404"/>
      <c r="JKB1" s="405"/>
      <c r="JKC1" s="432" t="s">
        <v>41</v>
      </c>
      <c r="JKD1" s="404"/>
      <c r="JKE1" s="404"/>
      <c r="JKF1" s="404"/>
      <c r="JKG1" s="404"/>
      <c r="JKH1" s="404"/>
      <c r="JKI1" s="404"/>
      <c r="JKJ1" s="405"/>
      <c r="JKK1" s="432" t="s">
        <v>41</v>
      </c>
      <c r="JKL1" s="404"/>
      <c r="JKM1" s="404"/>
      <c r="JKN1" s="404"/>
      <c r="JKO1" s="404"/>
      <c r="JKP1" s="404"/>
      <c r="JKQ1" s="404"/>
      <c r="JKR1" s="405"/>
      <c r="JKS1" s="432" t="s">
        <v>41</v>
      </c>
      <c r="JKT1" s="404"/>
      <c r="JKU1" s="404"/>
      <c r="JKV1" s="404"/>
      <c r="JKW1" s="404"/>
      <c r="JKX1" s="404"/>
      <c r="JKY1" s="404"/>
      <c r="JKZ1" s="405"/>
      <c r="JLA1" s="432" t="s">
        <v>41</v>
      </c>
      <c r="JLB1" s="404"/>
      <c r="JLC1" s="404"/>
      <c r="JLD1" s="404"/>
      <c r="JLE1" s="404"/>
      <c r="JLF1" s="404"/>
      <c r="JLG1" s="404"/>
      <c r="JLH1" s="405"/>
      <c r="JLI1" s="432" t="s">
        <v>41</v>
      </c>
      <c r="JLJ1" s="404"/>
      <c r="JLK1" s="404"/>
      <c r="JLL1" s="404"/>
      <c r="JLM1" s="404"/>
      <c r="JLN1" s="404"/>
      <c r="JLO1" s="404"/>
      <c r="JLP1" s="405"/>
      <c r="JLQ1" s="432" t="s">
        <v>41</v>
      </c>
      <c r="JLR1" s="404"/>
      <c r="JLS1" s="404"/>
      <c r="JLT1" s="404"/>
      <c r="JLU1" s="404"/>
      <c r="JLV1" s="404"/>
      <c r="JLW1" s="404"/>
      <c r="JLX1" s="405"/>
      <c r="JLY1" s="432" t="s">
        <v>41</v>
      </c>
      <c r="JLZ1" s="404"/>
      <c r="JMA1" s="404"/>
      <c r="JMB1" s="404"/>
      <c r="JMC1" s="404"/>
      <c r="JMD1" s="404"/>
      <c r="JME1" s="404"/>
      <c r="JMF1" s="405"/>
      <c r="JMG1" s="432" t="s">
        <v>41</v>
      </c>
      <c r="JMH1" s="404"/>
      <c r="JMI1" s="404"/>
      <c r="JMJ1" s="404"/>
      <c r="JMK1" s="404"/>
      <c r="JML1" s="404"/>
      <c r="JMM1" s="404"/>
      <c r="JMN1" s="405"/>
      <c r="JMO1" s="432" t="s">
        <v>41</v>
      </c>
      <c r="JMP1" s="404"/>
      <c r="JMQ1" s="404"/>
      <c r="JMR1" s="404"/>
      <c r="JMS1" s="404"/>
      <c r="JMT1" s="404"/>
      <c r="JMU1" s="404"/>
      <c r="JMV1" s="405"/>
      <c r="JMW1" s="432" t="s">
        <v>41</v>
      </c>
      <c r="JMX1" s="404"/>
      <c r="JMY1" s="404"/>
      <c r="JMZ1" s="404"/>
      <c r="JNA1" s="404"/>
      <c r="JNB1" s="404"/>
      <c r="JNC1" s="404"/>
      <c r="JND1" s="405"/>
      <c r="JNE1" s="432" t="s">
        <v>41</v>
      </c>
      <c r="JNF1" s="404"/>
      <c r="JNG1" s="404"/>
      <c r="JNH1" s="404"/>
      <c r="JNI1" s="404"/>
      <c r="JNJ1" s="404"/>
      <c r="JNK1" s="404"/>
      <c r="JNL1" s="405"/>
      <c r="JNM1" s="432" t="s">
        <v>41</v>
      </c>
      <c r="JNN1" s="404"/>
      <c r="JNO1" s="404"/>
      <c r="JNP1" s="404"/>
      <c r="JNQ1" s="404"/>
      <c r="JNR1" s="404"/>
      <c r="JNS1" s="404"/>
      <c r="JNT1" s="405"/>
      <c r="JNU1" s="432" t="s">
        <v>41</v>
      </c>
      <c r="JNV1" s="404"/>
      <c r="JNW1" s="404"/>
      <c r="JNX1" s="404"/>
      <c r="JNY1" s="404"/>
      <c r="JNZ1" s="404"/>
      <c r="JOA1" s="404"/>
      <c r="JOB1" s="405"/>
      <c r="JOC1" s="432" t="s">
        <v>41</v>
      </c>
      <c r="JOD1" s="404"/>
      <c r="JOE1" s="404"/>
      <c r="JOF1" s="404"/>
      <c r="JOG1" s="404"/>
      <c r="JOH1" s="404"/>
      <c r="JOI1" s="404"/>
      <c r="JOJ1" s="405"/>
      <c r="JOK1" s="432" t="s">
        <v>41</v>
      </c>
      <c r="JOL1" s="404"/>
      <c r="JOM1" s="404"/>
      <c r="JON1" s="404"/>
      <c r="JOO1" s="404"/>
      <c r="JOP1" s="404"/>
      <c r="JOQ1" s="404"/>
      <c r="JOR1" s="405"/>
      <c r="JOS1" s="432" t="s">
        <v>41</v>
      </c>
      <c r="JOT1" s="404"/>
      <c r="JOU1" s="404"/>
      <c r="JOV1" s="404"/>
      <c r="JOW1" s="404"/>
      <c r="JOX1" s="404"/>
      <c r="JOY1" s="404"/>
      <c r="JOZ1" s="405"/>
      <c r="JPA1" s="432" t="s">
        <v>41</v>
      </c>
      <c r="JPB1" s="404"/>
      <c r="JPC1" s="404"/>
      <c r="JPD1" s="404"/>
      <c r="JPE1" s="404"/>
      <c r="JPF1" s="404"/>
      <c r="JPG1" s="404"/>
      <c r="JPH1" s="405"/>
      <c r="JPI1" s="432" t="s">
        <v>41</v>
      </c>
      <c r="JPJ1" s="404"/>
      <c r="JPK1" s="404"/>
      <c r="JPL1" s="404"/>
      <c r="JPM1" s="404"/>
      <c r="JPN1" s="404"/>
      <c r="JPO1" s="404"/>
      <c r="JPP1" s="405"/>
      <c r="JPQ1" s="432" t="s">
        <v>41</v>
      </c>
      <c r="JPR1" s="404"/>
      <c r="JPS1" s="404"/>
      <c r="JPT1" s="404"/>
      <c r="JPU1" s="404"/>
      <c r="JPV1" s="404"/>
      <c r="JPW1" s="404"/>
      <c r="JPX1" s="405"/>
      <c r="JPY1" s="432" t="s">
        <v>41</v>
      </c>
      <c r="JPZ1" s="404"/>
      <c r="JQA1" s="404"/>
      <c r="JQB1" s="404"/>
      <c r="JQC1" s="404"/>
      <c r="JQD1" s="404"/>
      <c r="JQE1" s="404"/>
      <c r="JQF1" s="405"/>
      <c r="JQG1" s="432" t="s">
        <v>41</v>
      </c>
      <c r="JQH1" s="404"/>
      <c r="JQI1" s="404"/>
      <c r="JQJ1" s="404"/>
      <c r="JQK1" s="404"/>
      <c r="JQL1" s="404"/>
      <c r="JQM1" s="404"/>
      <c r="JQN1" s="405"/>
      <c r="JQO1" s="432" t="s">
        <v>41</v>
      </c>
      <c r="JQP1" s="404"/>
      <c r="JQQ1" s="404"/>
      <c r="JQR1" s="404"/>
      <c r="JQS1" s="404"/>
      <c r="JQT1" s="404"/>
      <c r="JQU1" s="404"/>
      <c r="JQV1" s="405"/>
      <c r="JQW1" s="432" t="s">
        <v>41</v>
      </c>
      <c r="JQX1" s="404"/>
      <c r="JQY1" s="404"/>
      <c r="JQZ1" s="404"/>
      <c r="JRA1" s="404"/>
      <c r="JRB1" s="404"/>
      <c r="JRC1" s="404"/>
      <c r="JRD1" s="405"/>
      <c r="JRE1" s="432" t="s">
        <v>41</v>
      </c>
      <c r="JRF1" s="404"/>
      <c r="JRG1" s="404"/>
      <c r="JRH1" s="404"/>
      <c r="JRI1" s="404"/>
      <c r="JRJ1" s="404"/>
      <c r="JRK1" s="404"/>
      <c r="JRL1" s="405"/>
      <c r="JRM1" s="432" t="s">
        <v>41</v>
      </c>
      <c r="JRN1" s="404"/>
      <c r="JRO1" s="404"/>
      <c r="JRP1" s="404"/>
      <c r="JRQ1" s="404"/>
      <c r="JRR1" s="404"/>
      <c r="JRS1" s="404"/>
      <c r="JRT1" s="405"/>
      <c r="JRU1" s="432" t="s">
        <v>41</v>
      </c>
      <c r="JRV1" s="404"/>
      <c r="JRW1" s="404"/>
      <c r="JRX1" s="404"/>
      <c r="JRY1" s="404"/>
      <c r="JRZ1" s="404"/>
      <c r="JSA1" s="404"/>
      <c r="JSB1" s="405"/>
      <c r="JSC1" s="432" t="s">
        <v>41</v>
      </c>
      <c r="JSD1" s="404"/>
      <c r="JSE1" s="404"/>
      <c r="JSF1" s="404"/>
      <c r="JSG1" s="404"/>
      <c r="JSH1" s="404"/>
      <c r="JSI1" s="404"/>
      <c r="JSJ1" s="405"/>
      <c r="JSK1" s="432" t="s">
        <v>41</v>
      </c>
      <c r="JSL1" s="404"/>
      <c r="JSM1" s="404"/>
      <c r="JSN1" s="404"/>
      <c r="JSO1" s="404"/>
      <c r="JSP1" s="404"/>
      <c r="JSQ1" s="404"/>
      <c r="JSR1" s="405"/>
      <c r="JSS1" s="432" t="s">
        <v>41</v>
      </c>
      <c r="JST1" s="404"/>
      <c r="JSU1" s="404"/>
      <c r="JSV1" s="404"/>
      <c r="JSW1" s="404"/>
      <c r="JSX1" s="404"/>
      <c r="JSY1" s="404"/>
      <c r="JSZ1" s="405"/>
      <c r="JTA1" s="432" t="s">
        <v>41</v>
      </c>
      <c r="JTB1" s="404"/>
      <c r="JTC1" s="404"/>
      <c r="JTD1" s="404"/>
      <c r="JTE1" s="404"/>
      <c r="JTF1" s="404"/>
      <c r="JTG1" s="404"/>
      <c r="JTH1" s="405"/>
      <c r="JTI1" s="432" t="s">
        <v>41</v>
      </c>
      <c r="JTJ1" s="404"/>
      <c r="JTK1" s="404"/>
      <c r="JTL1" s="404"/>
      <c r="JTM1" s="404"/>
      <c r="JTN1" s="404"/>
      <c r="JTO1" s="404"/>
      <c r="JTP1" s="405"/>
      <c r="JTQ1" s="432" t="s">
        <v>41</v>
      </c>
      <c r="JTR1" s="404"/>
      <c r="JTS1" s="404"/>
      <c r="JTT1" s="404"/>
      <c r="JTU1" s="404"/>
      <c r="JTV1" s="404"/>
      <c r="JTW1" s="404"/>
      <c r="JTX1" s="405"/>
      <c r="JTY1" s="432" t="s">
        <v>41</v>
      </c>
      <c r="JTZ1" s="404"/>
      <c r="JUA1" s="404"/>
      <c r="JUB1" s="404"/>
      <c r="JUC1" s="404"/>
      <c r="JUD1" s="404"/>
      <c r="JUE1" s="404"/>
      <c r="JUF1" s="405"/>
      <c r="JUG1" s="432" t="s">
        <v>41</v>
      </c>
      <c r="JUH1" s="404"/>
      <c r="JUI1" s="404"/>
      <c r="JUJ1" s="404"/>
      <c r="JUK1" s="404"/>
      <c r="JUL1" s="404"/>
      <c r="JUM1" s="404"/>
      <c r="JUN1" s="405"/>
      <c r="JUO1" s="432" t="s">
        <v>41</v>
      </c>
      <c r="JUP1" s="404"/>
      <c r="JUQ1" s="404"/>
      <c r="JUR1" s="404"/>
      <c r="JUS1" s="404"/>
      <c r="JUT1" s="404"/>
      <c r="JUU1" s="404"/>
      <c r="JUV1" s="405"/>
      <c r="JUW1" s="432" t="s">
        <v>41</v>
      </c>
      <c r="JUX1" s="404"/>
      <c r="JUY1" s="404"/>
      <c r="JUZ1" s="404"/>
      <c r="JVA1" s="404"/>
      <c r="JVB1" s="404"/>
      <c r="JVC1" s="404"/>
      <c r="JVD1" s="405"/>
      <c r="JVE1" s="432" t="s">
        <v>41</v>
      </c>
      <c r="JVF1" s="404"/>
      <c r="JVG1" s="404"/>
      <c r="JVH1" s="404"/>
      <c r="JVI1" s="404"/>
      <c r="JVJ1" s="404"/>
      <c r="JVK1" s="404"/>
      <c r="JVL1" s="405"/>
      <c r="JVM1" s="432" t="s">
        <v>41</v>
      </c>
      <c r="JVN1" s="404"/>
      <c r="JVO1" s="404"/>
      <c r="JVP1" s="404"/>
      <c r="JVQ1" s="404"/>
      <c r="JVR1" s="404"/>
      <c r="JVS1" s="404"/>
      <c r="JVT1" s="405"/>
      <c r="JVU1" s="432" t="s">
        <v>41</v>
      </c>
      <c r="JVV1" s="404"/>
      <c r="JVW1" s="404"/>
      <c r="JVX1" s="404"/>
      <c r="JVY1" s="404"/>
      <c r="JVZ1" s="404"/>
      <c r="JWA1" s="404"/>
      <c r="JWB1" s="405"/>
      <c r="JWC1" s="432" t="s">
        <v>41</v>
      </c>
      <c r="JWD1" s="404"/>
      <c r="JWE1" s="404"/>
      <c r="JWF1" s="404"/>
      <c r="JWG1" s="404"/>
      <c r="JWH1" s="404"/>
      <c r="JWI1" s="404"/>
      <c r="JWJ1" s="405"/>
      <c r="JWK1" s="432" t="s">
        <v>41</v>
      </c>
      <c r="JWL1" s="404"/>
      <c r="JWM1" s="404"/>
      <c r="JWN1" s="404"/>
      <c r="JWO1" s="404"/>
      <c r="JWP1" s="404"/>
      <c r="JWQ1" s="404"/>
      <c r="JWR1" s="405"/>
      <c r="JWS1" s="432" t="s">
        <v>41</v>
      </c>
      <c r="JWT1" s="404"/>
      <c r="JWU1" s="404"/>
      <c r="JWV1" s="404"/>
      <c r="JWW1" s="404"/>
      <c r="JWX1" s="404"/>
      <c r="JWY1" s="404"/>
      <c r="JWZ1" s="405"/>
      <c r="JXA1" s="432" t="s">
        <v>41</v>
      </c>
      <c r="JXB1" s="404"/>
      <c r="JXC1" s="404"/>
      <c r="JXD1" s="404"/>
      <c r="JXE1" s="404"/>
      <c r="JXF1" s="404"/>
      <c r="JXG1" s="404"/>
      <c r="JXH1" s="405"/>
      <c r="JXI1" s="432" t="s">
        <v>41</v>
      </c>
      <c r="JXJ1" s="404"/>
      <c r="JXK1" s="404"/>
      <c r="JXL1" s="404"/>
      <c r="JXM1" s="404"/>
      <c r="JXN1" s="404"/>
      <c r="JXO1" s="404"/>
      <c r="JXP1" s="405"/>
      <c r="JXQ1" s="432" t="s">
        <v>41</v>
      </c>
      <c r="JXR1" s="404"/>
      <c r="JXS1" s="404"/>
      <c r="JXT1" s="404"/>
      <c r="JXU1" s="404"/>
      <c r="JXV1" s="404"/>
      <c r="JXW1" s="404"/>
      <c r="JXX1" s="405"/>
      <c r="JXY1" s="432" t="s">
        <v>41</v>
      </c>
      <c r="JXZ1" s="404"/>
      <c r="JYA1" s="404"/>
      <c r="JYB1" s="404"/>
      <c r="JYC1" s="404"/>
      <c r="JYD1" s="404"/>
      <c r="JYE1" s="404"/>
      <c r="JYF1" s="405"/>
      <c r="JYG1" s="432" t="s">
        <v>41</v>
      </c>
      <c r="JYH1" s="404"/>
      <c r="JYI1" s="404"/>
      <c r="JYJ1" s="404"/>
      <c r="JYK1" s="404"/>
      <c r="JYL1" s="404"/>
      <c r="JYM1" s="404"/>
      <c r="JYN1" s="405"/>
      <c r="JYO1" s="432" t="s">
        <v>41</v>
      </c>
      <c r="JYP1" s="404"/>
      <c r="JYQ1" s="404"/>
      <c r="JYR1" s="404"/>
      <c r="JYS1" s="404"/>
      <c r="JYT1" s="404"/>
      <c r="JYU1" s="404"/>
      <c r="JYV1" s="405"/>
      <c r="JYW1" s="432" t="s">
        <v>41</v>
      </c>
      <c r="JYX1" s="404"/>
      <c r="JYY1" s="404"/>
      <c r="JYZ1" s="404"/>
      <c r="JZA1" s="404"/>
      <c r="JZB1" s="404"/>
      <c r="JZC1" s="404"/>
      <c r="JZD1" s="405"/>
      <c r="JZE1" s="432" t="s">
        <v>41</v>
      </c>
      <c r="JZF1" s="404"/>
      <c r="JZG1" s="404"/>
      <c r="JZH1" s="404"/>
      <c r="JZI1" s="404"/>
      <c r="JZJ1" s="404"/>
      <c r="JZK1" s="404"/>
      <c r="JZL1" s="405"/>
      <c r="JZM1" s="432" t="s">
        <v>41</v>
      </c>
      <c r="JZN1" s="404"/>
      <c r="JZO1" s="404"/>
      <c r="JZP1" s="404"/>
      <c r="JZQ1" s="404"/>
      <c r="JZR1" s="404"/>
      <c r="JZS1" s="404"/>
      <c r="JZT1" s="405"/>
      <c r="JZU1" s="432" t="s">
        <v>41</v>
      </c>
      <c r="JZV1" s="404"/>
      <c r="JZW1" s="404"/>
      <c r="JZX1" s="404"/>
      <c r="JZY1" s="404"/>
      <c r="JZZ1" s="404"/>
      <c r="KAA1" s="404"/>
      <c r="KAB1" s="405"/>
      <c r="KAC1" s="432" t="s">
        <v>41</v>
      </c>
      <c r="KAD1" s="404"/>
      <c r="KAE1" s="404"/>
      <c r="KAF1" s="404"/>
      <c r="KAG1" s="404"/>
      <c r="KAH1" s="404"/>
      <c r="KAI1" s="404"/>
      <c r="KAJ1" s="405"/>
      <c r="KAK1" s="432" t="s">
        <v>41</v>
      </c>
      <c r="KAL1" s="404"/>
      <c r="KAM1" s="404"/>
      <c r="KAN1" s="404"/>
      <c r="KAO1" s="404"/>
      <c r="KAP1" s="404"/>
      <c r="KAQ1" s="404"/>
      <c r="KAR1" s="405"/>
      <c r="KAS1" s="432" t="s">
        <v>41</v>
      </c>
      <c r="KAT1" s="404"/>
      <c r="KAU1" s="404"/>
      <c r="KAV1" s="404"/>
      <c r="KAW1" s="404"/>
      <c r="KAX1" s="404"/>
      <c r="KAY1" s="404"/>
      <c r="KAZ1" s="405"/>
      <c r="KBA1" s="432" t="s">
        <v>41</v>
      </c>
      <c r="KBB1" s="404"/>
      <c r="KBC1" s="404"/>
      <c r="KBD1" s="404"/>
      <c r="KBE1" s="404"/>
      <c r="KBF1" s="404"/>
      <c r="KBG1" s="404"/>
      <c r="KBH1" s="405"/>
      <c r="KBI1" s="432" t="s">
        <v>41</v>
      </c>
      <c r="KBJ1" s="404"/>
      <c r="KBK1" s="404"/>
      <c r="KBL1" s="404"/>
      <c r="KBM1" s="404"/>
      <c r="KBN1" s="404"/>
      <c r="KBO1" s="404"/>
      <c r="KBP1" s="405"/>
      <c r="KBQ1" s="432" t="s">
        <v>41</v>
      </c>
      <c r="KBR1" s="404"/>
      <c r="KBS1" s="404"/>
      <c r="KBT1" s="404"/>
      <c r="KBU1" s="404"/>
      <c r="KBV1" s="404"/>
      <c r="KBW1" s="404"/>
      <c r="KBX1" s="405"/>
      <c r="KBY1" s="432" t="s">
        <v>41</v>
      </c>
      <c r="KBZ1" s="404"/>
      <c r="KCA1" s="404"/>
      <c r="KCB1" s="404"/>
      <c r="KCC1" s="404"/>
      <c r="KCD1" s="404"/>
      <c r="KCE1" s="404"/>
      <c r="KCF1" s="405"/>
      <c r="KCG1" s="432" t="s">
        <v>41</v>
      </c>
      <c r="KCH1" s="404"/>
      <c r="KCI1" s="404"/>
      <c r="KCJ1" s="404"/>
      <c r="KCK1" s="404"/>
      <c r="KCL1" s="404"/>
      <c r="KCM1" s="404"/>
      <c r="KCN1" s="405"/>
      <c r="KCO1" s="432" t="s">
        <v>41</v>
      </c>
      <c r="KCP1" s="404"/>
      <c r="KCQ1" s="404"/>
      <c r="KCR1" s="404"/>
      <c r="KCS1" s="404"/>
      <c r="KCT1" s="404"/>
      <c r="KCU1" s="404"/>
      <c r="KCV1" s="405"/>
      <c r="KCW1" s="432" t="s">
        <v>41</v>
      </c>
      <c r="KCX1" s="404"/>
      <c r="KCY1" s="404"/>
      <c r="KCZ1" s="404"/>
      <c r="KDA1" s="404"/>
      <c r="KDB1" s="404"/>
      <c r="KDC1" s="404"/>
      <c r="KDD1" s="405"/>
      <c r="KDE1" s="432" t="s">
        <v>41</v>
      </c>
      <c r="KDF1" s="404"/>
      <c r="KDG1" s="404"/>
      <c r="KDH1" s="404"/>
      <c r="KDI1" s="404"/>
      <c r="KDJ1" s="404"/>
      <c r="KDK1" s="404"/>
      <c r="KDL1" s="405"/>
      <c r="KDM1" s="432" t="s">
        <v>41</v>
      </c>
      <c r="KDN1" s="404"/>
      <c r="KDO1" s="404"/>
      <c r="KDP1" s="404"/>
      <c r="KDQ1" s="404"/>
      <c r="KDR1" s="404"/>
      <c r="KDS1" s="404"/>
      <c r="KDT1" s="405"/>
      <c r="KDU1" s="432" t="s">
        <v>41</v>
      </c>
      <c r="KDV1" s="404"/>
      <c r="KDW1" s="404"/>
      <c r="KDX1" s="404"/>
      <c r="KDY1" s="404"/>
      <c r="KDZ1" s="404"/>
      <c r="KEA1" s="404"/>
      <c r="KEB1" s="405"/>
      <c r="KEC1" s="432" t="s">
        <v>41</v>
      </c>
      <c r="KED1" s="404"/>
      <c r="KEE1" s="404"/>
      <c r="KEF1" s="404"/>
      <c r="KEG1" s="404"/>
      <c r="KEH1" s="404"/>
      <c r="KEI1" s="404"/>
      <c r="KEJ1" s="405"/>
      <c r="KEK1" s="432" t="s">
        <v>41</v>
      </c>
      <c r="KEL1" s="404"/>
      <c r="KEM1" s="404"/>
      <c r="KEN1" s="404"/>
      <c r="KEO1" s="404"/>
      <c r="KEP1" s="404"/>
      <c r="KEQ1" s="404"/>
      <c r="KER1" s="405"/>
      <c r="KES1" s="432" t="s">
        <v>41</v>
      </c>
      <c r="KET1" s="404"/>
      <c r="KEU1" s="404"/>
      <c r="KEV1" s="404"/>
      <c r="KEW1" s="404"/>
      <c r="KEX1" s="404"/>
      <c r="KEY1" s="404"/>
      <c r="KEZ1" s="405"/>
      <c r="KFA1" s="432" t="s">
        <v>41</v>
      </c>
      <c r="KFB1" s="404"/>
      <c r="KFC1" s="404"/>
      <c r="KFD1" s="404"/>
      <c r="KFE1" s="404"/>
      <c r="KFF1" s="404"/>
      <c r="KFG1" s="404"/>
      <c r="KFH1" s="405"/>
      <c r="KFI1" s="432" t="s">
        <v>41</v>
      </c>
      <c r="KFJ1" s="404"/>
      <c r="KFK1" s="404"/>
      <c r="KFL1" s="404"/>
      <c r="KFM1" s="404"/>
      <c r="KFN1" s="404"/>
      <c r="KFO1" s="404"/>
      <c r="KFP1" s="405"/>
      <c r="KFQ1" s="432" t="s">
        <v>41</v>
      </c>
      <c r="KFR1" s="404"/>
      <c r="KFS1" s="404"/>
      <c r="KFT1" s="404"/>
      <c r="KFU1" s="404"/>
      <c r="KFV1" s="404"/>
      <c r="KFW1" s="404"/>
      <c r="KFX1" s="405"/>
      <c r="KFY1" s="432" t="s">
        <v>41</v>
      </c>
      <c r="KFZ1" s="404"/>
      <c r="KGA1" s="404"/>
      <c r="KGB1" s="404"/>
      <c r="KGC1" s="404"/>
      <c r="KGD1" s="404"/>
      <c r="KGE1" s="404"/>
      <c r="KGF1" s="405"/>
      <c r="KGG1" s="432" t="s">
        <v>41</v>
      </c>
      <c r="KGH1" s="404"/>
      <c r="KGI1" s="404"/>
      <c r="KGJ1" s="404"/>
      <c r="KGK1" s="404"/>
      <c r="KGL1" s="404"/>
      <c r="KGM1" s="404"/>
      <c r="KGN1" s="405"/>
      <c r="KGO1" s="432" t="s">
        <v>41</v>
      </c>
      <c r="KGP1" s="404"/>
      <c r="KGQ1" s="404"/>
      <c r="KGR1" s="404"/>
      <c r="KGS1" s="404"/>
      <c r="KGT1" s="404"/>
      <c r="KGU1" s="404"/>
      <c r="KGV1" s="405"/>
      <c r="KGW1" s="432" t="s">
        <v>41</v>
      </c>
      <c r="KGX1" s="404"/>
      <c r="KGY1" s="404"/>
      <c r="KGZ1" s="404"/>
      <c r="KHA1" s="404"/>
      <c r="KHB1" s="404"/>
      <c r="KHC1" s="404"/>
      <c r="KHD1" s="405"/>
      <c r="KHE1" s="432" t="s">
        <v>41</v>
      </c>
      <c r="KHF1" s="404"/>
      <c r="KHG1" s="404"/>
      <c r="KHH1" s="404"/>
      <c r="KHI1" s="404"/>
      <c r="KHJ1" s="404"/>
      <c r="KHK1" s="404"/>
      <c r="KHL1" s="405"/>
      <c r="KHM1" s="432" t="s">
        <v>41</v>
      </c>
      <c r="KHN1" s="404"/>
      <c r="KHO1" s="404"/>
      <c r="KHP1" s="404"/>
      <c r="KHQ1" s="404"/>
      <c r="KHR1" s="404"/>
      <c r="KHS1" s="404"/>
      <c r="KHT1" s="405"/>
      <c r="KHU1" s="432" t="s">
        <v>41</v>
      </c>
      <c r="KHV1" s="404"/>
      <c r="KHW1" s="404"/>
      <c r="KHX1" s="404"/>
      <c r="KHY1" s="404"/>
      <c r="KHZ1" s="404"/>
      <c r="KIA1" s="404"/>
      <c r="KIB1" s="405"/>
      <c r="KIC1" s="432" t="s">
        <v>41</v>
      </c>
      <c r="KID1" s="404"/>
      <c r="KIE1" s="404"/>
      <c r="KIF1" s="404"/>
      <c r="KIG1" s="404"/>
      <c r="KIH1" s="404"/>
      <c r="KII1" s="404"/>
      <c r="KIJ1" s="405"/>
      <c r="KIK1" s="432" t="s">
        <v>41</v>
      </c>
      <c r="KIL1" s="404"/>
      <c r="KIM1" s="404"/>
      <c r="KIN1" s="404"/>
      <c r="KIO1" s="404"/>
      <c r="KIP1" s="404"/>
      <c r="KIQ1" s="404"/>
      <c r="KIR1" s="405"/>
      <c r="KIS1" s="432" t="s">
        <v>41</v>
      </c>
      <c r="KIT1" s="404"/>
      <c r="KIU1" s="404"/>
      <c r="KIV1" s="404"/>
      <c r="KIW1" s="404"/>
      <c r="KIX1" s="404"/>
      <c r="KIY1" s="404"/>
      <c r="KIZ1" s="405"/>
      <c r="KJA1" s="432" t="s">
        <v>41</v>
      </c>
      <c r="KJB1" s="404"/>
      <c r="KJC1" s="404"/>
      <c r="KJD1" s="404"/>
      <c r="KJE1" s="404"/>
      <c r="KJF1" s="404"/>
      <c r="KJG1" s="404"/>
      <c r="KJH1" s="405"/>
      <c r="KJI1" s="432" t="s">
        <v>41</v>
      </c>
      <c r="KJJ1" s="404"/>
      <c r="KJK1" s="404"/>
      <c r="KJL1" s="404"/>
      <c r="KJM1" s="404"/>
      <c r="KJN1" s="404"/>
      <c r="KJO1" s="404"/>
      <c r="KJP1" s="405"/>
      <c r="KJQ1" s="432" t="s">
        <v>41</v>
      </c>
      <c r="KJR1" s="404"/>
      <c r="KJS1" s="404"/>
      <c r="KJT1" s="404"/>
      <c r="KJU1" s="404"/>
      <c r="KJV1" s="404"/>
      <c r="KJW1" s="404"/>
      <c r="KJX1" s="405"/>
      <c r="KJY1" s="432" t="s">
        <v>41</v>
      </c>
      <c r="KJZ1" s="404"/>
      <c r="KKA1" s="404"/>
      <c r="KKB1" s="404"/>
      <c r="KKC1" s="404"/>
      <c r="KKD1" s="404"/>
      <c r="KKE1" s="404"/>
      <c r="KKF1" s="405"/>
      <c r="KKG1" s="432" t="s">
        <v>41</v>
      </c>
      <c r="KKH1" s="404"/>
      <c r="KKI1" s="404"/>
      <c r="KKJ1" s="404"/>
      <c r="KKK1" s="404"/>
      <c r="KKL1" s="404"/>
      <c r="KKM1" s="404"/>
      <c r="KKN1" s="405"/>
      <c r="KKO1" s="432" t="s">
        <v>41</v>
      </c>
      <c r="KKP1" s="404"/>
      <c r="KKQ1" s="404"/>
      <c r="KKR1" s="404"/>
      <c r="KKS1" s="404"/>
      <c r="KKT1" s="404"/>
      <c r="KKU1" s="404"/>
      <c r="KKV1" s="405"/>
      <c r="KKW1" s="432" t="s">
        <v>41</v>
      </c>
      <c r="KKX1" s="404"/>
      <c r="KKY1" s="404"/>
      <c r="KKZ1" s="404"/>
      <c r="KLA1" s="404"/>
      <c r="KLB1" s="404"/>
      <c r="KLC1" s="404"/>
      <c r="KLD1" s="405"/>
      <c r="KLE1" s="432" t="s">
        <v>41</v>
      </c>
      <c r="KLF1" s="404"/>
      <c r="KLG1" s="404"/>
      <c r="KLH1" s="404"/>
      <c r="KLI1" s="404"/>
      <c r="KLJ1" s="404"/>
      <c r="KLK1" s="404"/>
      <c r="KLL1" s="405"/>
      <c r="KLM1" s="432" t="s">
        <v>41</v>
      </c>
      <c r="KLN1" s="404"/>
      <c r="KLO1" s="404"/>
      <c r="KLP1" s="404"/>
      <c r="KLQ1" s="404"/>
      <c r="KLR1" s="404"/>
      <c r="KLS1" s="404"/>
      <c r="KLT1" s="405"/>
      <c r="KLU1" s="432" t="s">
        <v>41</v>
      </c>
      <c r="KLV1" s="404"/>
      <c r="KLW1" s="404"/>
      <c r="KLX1" s="404"/>
      <c r="KLY1" s="404"/>
      <c r="KLZ1" s="404"/>
      <c r="KMA1" s="404"/>
      <c r="KMB1" s="405"/>
      <c r="KMC1" s="432" t="s">
        <v>41</v>
      </c>
      <c r="KMD1" s="404"/>
      <c r="KME1" s="404"/>
      <c r="KMF1" s="404"/>
      <c r="KMG1" s="404"/>
      <c r="KMH1" s="404"/>
      <c r="KMI1" s="404"/>
      <c r="KMJ1" s="405"/>
      <c r="KMK1" s="432" t="s">
        <v>41</v>
      </c>
      <c r="KML1" s="404"/>
      <c r="KMM1" s="404"/>
      <c r="KMN1" s="404"/>
      <c r="KMO1" s="404"/>
      <c r="KMP1" s="404"/>
      <c r="KMQ1" s="404"/>
      <c r="KMR1" s="405"/>
      <c r="KMS1" s="432" t="s">
        <v>41</v>
      </c>
      <c r="KMT1" s="404"/>
      <c r="KMU1" s="404"/>
      <c r="KMV1" s="404"/>
      <c r="KMW1" s="404"/>
      <c r="KMX1" s="404"/>
      <c r="KMY1" s="404"/>
      <c r="KMZ1" s="405"/>
      <c r="KNA1" s="432" t="s">
        <v>41</v>
      </c>
      <c r="KNB1" s="404"/>
      <c r="KNC1" s="404"/>
      <c r="KND1" s="404"/>
      <c r="KNE1" s="404"/>
      <c r="KNF1" s="404"/>
      <c r="KNG1" s="404"/>
      <c r="KNH1" s="405"/>
      <c r="KNI1" s="432" t="s">
        <v>41</v>
      </c>
      <c r="KNJ1" s="404"/>
      <c r="KNK1" s="404"/>
      <c r="KNL1" s="404"/>
      <c r="KNM1" s="404"/>
      <c r="KNN1" s="404"/>
      <c r="KNO1" s="404"/>
      <c r="KNP1" s="405"/>
      <c r="KNQ1" s="432" t="s">
        <v>41</v>
      </c>
      <c r="KNR1" s="404"/>
      <c r="KNS1" s="404"/>
      <c r="KNT1" s="404"/>
      <c r="KNU1" s="404"/>
      <c r="KNV1" s="404"/>
      <c r="KNW1" s="404"/>
      <c r="KNX1" s="405"/>
      <c r="KNY1" s="432" t="s">
        <v>41</v>
      </c>
      <c r="KNZ1" s="404"/>
      <c r="KOA1" s="404"/>
      <c r="KOB1" s="404"/>
      <c r="KOC1" s="404"/>
      <c r="KOD1" s="404"/>
      <c r="KOE1" s="404"/>
      <c r="KOF1" s="405"/>
      <c r="KOG1" s="432" t="s">
        <v>41</v>
      </c>
      <c r="KOH1" s="404"/>
      <c r="KOI1" s="404"/>
      <c r="KOJ1" s="404"/>
      <c r="KOK1" s="404"/>
      <c r="KOL1" s="404"/>
      <c r="KOM1" s="404"/>
      <c r="KON1" s="405"/>
      <c r="KOO1" s="432" t="s">
        <v>41</v>
      </c>
      <c r="KOP1" s="404"/>
      <c r="KOQ1" s="404"/>
      <c r="KOR1" s="404"/>
      <c r="KOS1" s="404"/>
      <c r="KOT1" s="404"/>
      <c r="KOU1" s="404"/>
      <c r="KOV1" s="405"/>
      <c r="KOW1" s="432" t="s">
        <v>41</v>
      </c>
      <c r="KOX1" s="404"/>
      <c r="KOY1" s="404"/>
      <c r="KOZ1" s="404"/>
      <c r="KPA1" s="404"/>
      <c r="KPB1" s="404"/>
      <c r="KPC1" s="404"/>
      <c r="KPD1" s="405"/>
      <c r="KPE1" s="432" t="s">
        <v>41</v>
      </c>
      <c r="KPF1" s="404"/>
      <c r="KPG1" s="404"/>
      <c r="KPH1" s="404"/>
      <c r="KPI1" s="404"/>
      <c r="KPJ1" s="404"/>
      <c r="KPK1" s="404"/>
      <c r="KPL1" s="405"/>
      <c r="KPM1" s="432" t="s">
        <v>41</v>
      </c>
      <c r="KPN1" s="404"/>
      <c r="KPO1" s="404"/>
      <c r="KPP1" s="404"/>
      <c r="KPQ1" s="404"/>
      <c r="KPR1" s="404"/>
      <c r="KPS1" s="404"/>
      <c r="KPT1" s="405"/>
      <c r="KPU1" s="432" t="s">
        <v>41</v>
      </c>
      <c r="KPV1" s="404"/>
      <c r="KPW1" s="404"/>
      <c r="KPX1" s="404"/>
      <c r="KPY1" s="404"/>
      <c r="KPZ1" s="404"/>
      <c r="KQA1" s="404"/>
      <c r="KQB1" s="405"/>
      <c r="KQC1" s="432" t="s">
        <v>41</v>
      </c>
      <c r="KQD1" s="404"/>
      <c r="KQE1" s="404"/>
      <c r="KQF1" s="404"/>
      <c r="KQG1" s="404"/>
      <c r="KQH1" s="404"/>
      <c r="KQI1" s="404"/>
      <c r="KQJ1" s="405"/>
      <c r="KQK1" s="432" t="s">
        <v>41</v>
      </c>
      <c r="KQL1" s="404"/>
      <c r="KQM1" s="404"/>
      <c r="KQN1" s="404"/>
      <c r="KQO1" s="404"/>
      <c r="KQP1" s="404"/>
      <c r="KQQ1" s="404"/>
      <c r="KQR1" s="405"/>
      <c r="KQS1" s="432" t="s">
        <v>41</v>
      </c>
      <c r="KQT1" s="404"/>
      <c r="KQU1" s="404"/>
      <c r="KQV1" s="404"/>
      <c r="KQW1" s="404"/>
      <c r="KQX1" s="404"/>
      <c r="KQY1" s="404"/>
      <c r="KQZ1" s="405"/>
      <c r="KRA1" s="432" t="s">
        <v>41</v>
      </c>
      <c r="KRB1" s="404"/>
      <c r="KRC1" s="404"/>
      <c r="KRD1" s="404"/>
      <c r="KRE1" s="404"/>
      <c r="KRF1" s="404"/>
      <c r="KRG1" s="404"/>
      <c r="KRH1" s="405"/>
      <c r="KRI1" s="432" t="s">
        <v>41</v>
      </c>
      <c r="KRJ1" s="404"/>
      <c r="KRK1" s="404"/>
      <c r="KRL1" s="404"/>
      <c r="KRM1" s="404"/>
      <c r="KRN1" s="404"/>
      <c r="KRO1" s="404"/>
      <c r="KRP1" s="405"/>
      <c r="KRQ1" s="432" t="s">
        <v>41</v>
      </c>
      <c r="KRR1" s="404"/>
      <c r="KRS1" s="404"/>
      <c r="KRT1" s="404"/>
      <c r="KRU1" s="404"/>
      <c r="KRV1" s="404"/>
      <c r="KRW1" s="404"/>
      <c r="KRX1" s="405"/>
      <c r="KRY1" s="432" t="s">
        <v>41</v>
      </c>
      <c r="KRZ1" s="404"/>
      <c r="KSA1" s="404"/>
      <c r="KSB1" s="404"/>
      <c r="KSC1" s="404"/>
      <c r="KSD1" s="404"/>
      <c r="KSE1" s="404"/>
      <c r="KSF1" s="405"/>
      <c r="KSG1" s="432" t="s">
        <v>41</v>
      </c>
      <c r="KSH1" s="404"/>
      <c r="KSI1" s="404"/>
      <c r="KSJ1" s="404"/>
      <c r="KSK1" s="404"/>
      <c r="KSL1" s="404"/>
      <c r="KSM1" s="404"/>
      <c r="KSN1" s="405"/>
      <c r="KSO1" s="432" t="s">
        <v>41</v>
      </c>
      <c r="KSP1" s="404"/>
      <c r="KSQ1" s="404"/>
      <c r="KSR1" s="404"/>
      <c r="KSS1" s="404"/>
      <c r="KST1" s="404"/>
      <c r="KSU1" s="404"/>
      <c r="KSV1" s="405"/>
      <c r="KSW1" s="432" t="s">
        <v>41</v>
      </c>
      <c r="KSX1" s="404"/>
      <c r="KSY1" s="404"/>
      <c r="KSZ1" s="404"/>
      <c r="KTA1" s="404"/>
      <c r="KTB1" s="404"/>
      <c r="KTC1" s="404"/>
      <c r="KTD1" s="405"/>
      <c r="KTE1" s="432" t="s">
        <v>41</v>
      </c>
      <c r="KTF1" s="404"/>
      <c r="KTG1" s="404"/>
      <c r="KTH1" s="404"/>
      <c r="KTI1" s="404"/>
      <c r="KTJ1" s="404"/>
      <c r="KTK1" s="404"/>
      <c r="KTL1" s="405"/>
      <c r="KTM1" s="432" t="s">
        <v>41</v>
      </c>
      <c r="KTN1" s="404"/>
      <c r="KTO1" s="404"/>
      <c r="KTP1" s="404"/>
      <c r="KTQ1" s="404"/>
      <c r="KTR1" s="404"/>
      <c r="KTS1" s="404"/>
      <c r="KTT1" s="405"/>
      <c r="KTU1" s="432" t="s">
        <v>41</v>
      </c>
      <c r="KTV1" s="404"/>
      <c r="KTW1" s="404"/>
      <c r="KTX1" s="404"/>
      <c r="KTY1" s="404"/>
      <c r="KTZ1" s="404"/>
      <c r="KUA1" s="404"/>
      <c r="KUB1" s="405"/>
      <c r="KUC1" s="432" t="s">
        <v>41</v>
      </c>
      <c r="KUD1" s="404"/>
      <c r="KUE1" s="404"/>
      <c r="KUF1" s="404"/>
      <c r="KUG1" s="404"/>
      <c r="KUH1" s="404"/>
      <c r="KUI1" s="404"/>
      <c r="KUJ1" s="405"/>
      <c r="KUK1" s="432" t="s">
        <v>41</v>
      </c>
      <c r="KUL1" s="404"/>
      <c r="KUM1" s="404"/>
      <c r="KUN1" s="404"/>
      <c r="KUO1" s="404"/>
      <c r="KUP1" s="404"/>
      <c r="KUQ1" s="404"/>
      <c r="KUR1" s="405"/>
      <c r="KUS1" s="432" t="s">
        <v>41</v>
      </c>
      <c r="KUT1" s="404"/>
      <c r="KUU1" s="404"/>
      <c r="KUV1" s="404"/>
      <c r="KUW1" s="404"/>
      <c r="KUX1" s="404"/>
      <c r="KUY1" s="404"/>
      <c r="KUZ1" s="405"/>
      <c r="KVA1" s="432" t="s">
        <v>41</v>
      </c>
      <c r="KVB1" s="404"/>
      <c r="KVC1" s="404"/>
      <c r="KVD1" s="404"/>
      <c r="KVE1" s="404"/>
      <c r="KVF1" s="404"/>
      <c r="KVG1" s="404"/>
      <c r="KVH1" s="405"/>
      <c r="KVI1" s="432" t="s">
        <v>41</v>
      </c>
      <c r="KVJ1" s="404"/>
      <c r="KVK1" s="404"/>
      <c r="KVL1" s="404"/>
      <c r="KVM1" s="404"/>
      <c r="KVN1" s="404"/>
      <c r="KVO1" s="404"/>
      <c r="KVP1" s="405"/>
      <c r="KVQ1" s="432" t="s">
        <v>41</v>
      </c>
      <c r="KVR1" s="404"/>
      <c r="KVS1" s="404"/>
      <c r="KVT1" s="404"/>
      <c r="KVU1" s="404"/>
      <c r="KVV1" s="404"/>
      <c r="KVW1" s="404"/>
      <c r="KVX1" s="405"/>
      <c r="KVY1" s="432" t="s">
        <v>41</v>
      </c>
      <c r="KVZ1" s="404"/>
      <c r="KWA1" s="404"/>
      <c r="KWB1" s="404"/>
      <c r="KWC1" s="404"/>
      <c r="KWD1" s="404"/>
      <c r="KWE1" s="404"/>
      <c r="KWF1" s="405"/>
      <c r="KWG1" s="432" t="s">
        <v>41</v>
      </c>
      <c r="KWH1" s="404"/>
      <c r="KWI1" s="404"/>
      <c r="KWJ1" s="404"/>
      <c r="KWK1" s="404"/>
      <c r="KWL1" s="404"/>
      <c r="KWM1" s="404"/>
      <c r="KWN1" s="405"/>
      <c r="KWO1" s="432" t="s">
        <v>41</v>
      </c>
      <c r="KWP1" s="404"/>
      <c r="KWQ1" s="404"/>
      <c r="KWR1" s="404"/>
      <c r="KWS1" s="404"/>
      <c r="KWT1" s="404"/>
      <c r="KWU1" s="404"/>
      <c r="KWV1" s="405"/>
      <c r="KWW1" s="432" t="s">
        <v>41</v>
      </c>
      <c r="KWX1" s="404"/>
      <c r="KWY1" s="404"/>
      <c r="KWZ1" s="404"/>
      <c r="KXA1" s="404"/>
      <c r="KXB1" s="404"/>
      <c r="KXC1" s="404"/>
      <c r="KXD1" s="405"/>
      <c r="KXE1" s="432" t="s">
        <v>41</v>
      </c>
      <c r="KXF1" s="404"/>
      <c r="KXG1" s="404"/>
      <c r="KXH1" s="404"/>
      <c r="KXI1" s="404"/>
      <c r="KXJ1" s="404"/>
      <c r="KXK1" s="404"/>
      <c r="KXL1" s="405"/>
      <c r="KXM1" s="432" t="s">
        <v>41</v>
      </c>
      <c r="KXN1" s="404"/>
      <c r="KXO1" s="404"/>
      <c r="KXP1" s="404"/>
      <c r="KXQ1" s="404"/>
      <c r="KXR1" s="404"/>
      <c r="KXS1" s="404"/>
      <c r="KXT1" s="405"/>
      <c r="KXU1" s="432" t="s">
        <v>41</v>
      </c>
      <c r="KXV1" s="404"/>
      <c r="KXW1" s="404"/>
      <c r="KXX1" s="404"/>
      <c r="KXY1" s="404"/>
      <c r="KXZ1" s="404"/>
      <c r="KYA1" s="404"/>
      <c r="KYB1" s="405"/>
      <c r="KYC1" s="432" t="s">
        <v>41</v>
      </c>
      <c r="KYD1" s="404"/>
      <c r="KYE1" s="404"/>
      <c r="KYF1" s="404"/>
      <c r="KYG1" s="404"/>
      <c r="KYH1" s="404"/>
      <c r="KYI1" s="404"/>
      <c r="KYJ1" s="405"/>
      <c r="KYK1" s="432" t="s">
        <v>41</v>
      </c>
      <c r="KYL1" s="404"/>
      <c r="KYM1" s="404"/>
      <c r="KYN1" s="404"/>
      <c r="KYO1" s="404"/>
      <c r="KYP1" s="404"/>
      <c r="KYQ1" s="404"/>
      <c r="KYR1" s="405"/>
      <c r="KYS1" s="432" t="s">
        <v>41</v>
      </c>
      <c r="KYT1" s="404"/>
      <c r="KYU1" s="404"/>
      <c r="KYV1" s="404"/>
      <c r="KYW1" s="404"/>
      <c r="KYX1" s="404"/>
      <c r="KYY1" s="404"/>
      <c r="KYZ1" s="405"/>
      <c r="KZA1" s="432" t="s">
        <v>41</v>
      </c>
      <c r="KZB1" s="404"/>
      <c r="KZC1" s="404"/>
      <c r="KZD1" s="404"/>
      <c r="KZE1" s="404"/>
      <c r="KZF1" s="404"/>
      <c r="KZG1" s="404"/>
      <c r="KZH1" s="405"/>
      <c r="KZI1" s="432" t="s">
        <v>41</v>
      </c>
      <c r="KZJ1" s="404"/>
      <c r="KZK1" s="404"/>
      <c r="KZL1" s="404"/>
      <c r="KZM1" s="404"/>
      <c r="KZN1" s="404"/>
      <c r="KZO1" s="404"/>
      <c r="KZP1" s="405"/>
      <c r="KZQ1" s="432" t="s">
        <v>41</v>
      </c>
      <c r="KZR1" s="404"/>
      <c r="KZS1" s="404"/>
      <c r="KZT1" s="404"/>
      <c r="KZU1" s="404"/>
      <c r="KZV1" s="404"/>
      <c r="KZW1" s="404"/>
      <c r="KZX1" s="405"/>
      <c r="KZY1" s="432" t="s">
        <v>41</v>
      </c>
      <c r="KZZ1" s="404"/>
      <c r="LAA1" s="404"/>
      <c r="LAB1" s="404"/>
      <c r="LAC1" s="404"/>
      <c r="LAD1" s="404"/>
      <c r="LAE1" s="404"/>
      <c r="LAF1" s="405"/>
      <c r="LAG1" s="432" t="s">
        <v>41</v>
      </c>
      <c r="LAH1" s="404"/>
      <c r="LAI1" s="404"/>
      <c r="LAJ1" s="404"/>
      <c r="LAK1" s="404"/>
      <c r="LAL1" s="404"/>
      <c r="LAM1" s="404"/>
      <c r="LAN1" s="405"/>
      <c r="LAO1" s="432" t="s">
        <v>41</v>
      </c>
      <c r="LAP1" s="404"/>
      <c r="LAQ1" s="404"/>
      <c r="LAR1" s="404"/>
      <c r="LAS1" s="404"/>
      <c r="LAT1" s="404"/>
      <c r="LAU1" s="404"/>
      <c r="LAV1" s="405"/>
      <c r="LAW1" s="432" t="s">
        <v>41</v>
      </c>
      <c r="LAX1" s="404"/>
      <c r="LAY1" s="404"/>
      <c r="LAZ1" s="404"/>
      <c r="LBA1" s="404"/>
      <c r="LBB1" s="404"/>
      <c r="LBC1" s="404"/>
      <c r="LBD1" s="405"/>
      <c r="LBE1" s="432" t="s">
        <v>41</v>
      </c>
      <c r="LBF1" s="404"/>
      <c r="LBG1" s="404"/>
      <c r="LBH1" s="404"/>
      <c r="LBI1" s="404"/>
      <c r="LBJ1" s="404"/>
      <c r="LBK1" s="404"/>
      <c r="LBL1" s="405"/>
      <c r="LBM1" s="432" t="s">
        <v>41</v>
      </c>
      <c r="LBN1" s="404"/>
      <c r="LBO1" s="404"/>
      <c r="LBP1" s="404"/>
      <c r="LBQ1" s="404"/>
      <c r="LBR1" s="404"/>
      <c r="LBS1" s="404"/>
      <c r="LBT1" s="405"/>
      <c r="LBU1" s="432" t="s">
        <v>41</v>
      </c>
      <c r="LBV1" s="404"/>
      <c r="LBW1" s="404"/>
      <c r="LBX1" s="404"/>
      <c r="LBY1" s="404"/>
      <c r="LBZ1" s="404"/>
      <c r="LCA1" s="404"/>
      <c r="LCB1" s="405"/>
      <c r="LCC1" s="432" t="s">
        <v>41</v>
      </c>
      <c r="LCD1" s="404"/>
      <c r="LCE1" s="404"/>
      <c r="LCF1" s="404"/>
      <c r="LCG1" s="404"/>
      <c r="LCH1" s="404"/>
      <c r="LCI1" s="404"/>
      <c r="LCJ1" s="405"/>
      <c r="LCK1" s="432" t="s">
        <v>41</v>
      </c>
      <c r="LCL1" s="404"/>
      <c r="LCM1" s="404"/>
      <c r="LCN1" s="404"/>
      <c r="LCO1" s="404"/>
      <c r="LCP1" s="404"/>
      <c r="LCQ1" s="404"/>
      <c r="LCR1" s="405"/>
      <c r="LCS1" s="432" t="s">
        <v>41</v>
      </c>
      <c r="LCT1" s="404"/>
      <c r="LCU1" s="404"/>
      <c r="LCV1" s="404"/>
      <c r="LCW1" s="404"/>
      <c r="LCX1" s="404"/>
      <c r="LCY1" s="404"/>
      <c r="LCZ1" s="405"/>
      <c r="LDA1" s="432" t="s">
        <v>41</v>
      </c>
      <c r="LDB1" s="404"/>
      <c r="LDC1" s="404"/>
      <c r="LDD1" s="404"/>
      <c r="LDE1" s="404"/>
      <c r="LDF1" s="404"/>
      <c r="LDG1" s="404"/>
      <c r="LDH1" s="405"/>
      <c r="LDI1" s="432" t="s">
        <v>41</v>
      </c>
      <c r="LDJ1" s="404"/>
      <c r="LDK1" s="404"/>
      <c r="LDL1" s="404"/>
      <c r="LDM1" s="404"/>
      <c r="LDN1" s="404"/>
      <c r="LDO1" s="404"/>
      <c r="LDP1" s="405"/>
      <c r="LDQ1" s="432" t="s">
        <v>41</v>
      </c>
      <c r="LDR1" s="404"/>
      <c r="LDS1" s="404"/>
      <c r="LDT1" s="404"/>
      <c r="LDU1" s="404"/>
      <c r="LDV1" s="404"/>
      <c r="LDW1" s="404"/>
      <c r="LDX1" s="405"/>
      <c r="LDY1" s="432" t="s">
        <v>41</v>
      </c>
      <c r="LDZ1" s="404"/>
      <c r="LEA1" s="404"/>
      <c r="LEB1" s="404"/>
      <c r="LEC1" s="404"/>
      <c r="LED1" s="404"/>
      <c r="LEE1" s="404"/>
      <c r="LEF1" s="405"/>
      <c r="LEG1" s="432" t="s">
        <v>41</v>
      </c>
      <c r="LEH1" s="404"/>
      <c r="LEI1" s="404"/>
      <c r="LEJ1" s="404"/>
      <c r="LEK1" s="404"/>
      <c r="LEL1" s="404"/>
      <c r="LEM1" s="404"/>
      <c r="LEN1" s="405"/>
      <c r="LEO1" s="432" t="s">
        <v>41</v>
      </c>
      <c r="LEP1" s="404"/>
      <c r="LEQ1" s="404"/>
      <c r="LER1" s="404"/>
      <c r="LES1" s="404"/>
      <c r="LET1" s="404"/>
      <c r="LEU1" s="404"/>
      <c r="LEV1" s="405"/>
      <c r="LEW1" s="432" t="s">
        <v>41</v>
      </c>
      <c r="LEX1" s="404"/>
      <c r="LEY1" s="404"/>
      <c r="LEZ1" s="404"/>
      <c r="LFA1" s="404"/>
      <c r="LFB1" s="404"/>
      <c r="LFC1" s="404"/>
      <c r="LFD1" s="405"/>
      <c r="LFE1" s="432" t="s">
        <v>41</v>
      </c>
      <c r="LFF1" s="404"/>
      <c r="LFG1" s="404"/>
      <c r="LFH1" s="404"/>
      <c r="LFI1" s="404"/>
      <c r="LFJ1" s="404"/>
      <c r="LFK1" s="404"/>
      <c r="LFL1" s="405"/>
      <c r="LFM1" s="432" t="s">
        <v>41</v>
      </c>
      <c r="LFN1" s="404"/>
      <c r="LFO1" s="404"/>
      <c r="LFP1" s="404"/>
      <c r="LFQ1" s="404"/>
      <c r="LFR1" s="404"/>
      <c r="LFS1" s="404"/>
      <c r="LFT1" s="405"/>
      <c r="LFU1" s="432" t="s">
        <v>41</v>
      </c>
      <c r="LFV1" s="404"/>
      <c r="LFW1" s="404"/>
      <c r="LFX1" s="404"/>
      <c r="LFY1" s="404"/>
      <c r="LFZ1" s="404"/>
      <c r="LGA1" s="404"/>
      <c r="LGB1" s="405"/>
      <c r="LGC1" s="432" t="s">
        <v>41</v>
      </c>
      <c r="LGD1" s="404"/>
      <c r="LGE1" s="404"/>
      <c r="LGF1" s="404"/>
      <c r="LGG1" s="404"/>
      <c r="LGH1" s="404"/>
      <c r="LGI1" s="404"/>
      <c r="LGJ1" s="405"/>
      <c r="LGK1" s="432" t="s">
        <v>41</v>
      </c>
      <c r="LGL1" s="404"/>
      <c r="LGM1" s="404"/>
      <c r="LGN1" s="404"/>
      <c r="LGO1" s="404"/>
      <c r="LGP1" s="404"/>
      <c r="LGQ1" s="404"/>
      <c r="LGR1" s="405"/>
      <c r="LGS1" s="432" t="s">
        <v>41</v>
      </c>
      <c r="LGT1" s="404"/>
      <c r="LGU1" s="404"/>
      <c r="LGV1" s="404"/>
      <c r="LGW1" s="404"/>
      <c r="LGX1" s="404"/>
      <c r="LGY1" s="404"/>
      <c r="LGZ1" s="405"/>
      <c r="LHA1" s="432" t="s">
        <v>41</v>
      </c>
      <c r="LHB1" s="404"/>
      <c r="LHC1" s="404"/>
      <c r="LHD1" s="404"/>
      <c r="LHE1" s="404"/>
      <c r="LHF1" s="404"/>
      <c r="LHG1" s="404"/>
      <c r="LHH1" s="405"/>
      <c r="LHI1" s="432" t="s">
        <v>41</v>
      </c>
      <c r="LHJ1" s="404"/>
      <c r="LHK1" s="404"/>
      <c r="LHL1" s="404"/>
      <c r="LHM1" s="404"/>
      <c r="LHN1" s="404"/>
      <c r="LHO1" s="404"/>
      <c r="LHP1" s="405"/>
      <c r="LHQ1" s="432" t="s">
        <v>41</v>
      </c>
      <c r="LHR1" s="404"/>
      <c r="LHS1" s="404"/>
      <c r="LHT1" s="404"/>
      <c r="LHU1" s="404"/>
      <c r="LHV1" s="404"/>
      <c r="LHW1" s="404"/>
      <c r="LHX1" s="405"/>
      <c r="LHY1" s="432" t="s">
        <v>41</v>
      </c>
      <c r="LHZ1" s="404"/>
      <c r="LIA1" s="404"/>
      <c r="LIB1" s="404"/>
      <c r="LIC1" s="404"/>
      <c r="LID1" s="404"/>
      <c r="LIE1" s="404"/>
      <c r="LIF1" s="405"/>
      <c r="LIG1" s="432" t="s">
        <v>41</v>
      </c>
      <c r="LIH1" s="404"/>
      <c r="LII1" s="404"/>
      <c r="LIJ1" s="404"/>
      <c r="LIK1" s="404"/>
      <c r="LIL1" s="404"/>
      <c r="LIM1" s="404"/>
      <c r="LIN1" s="405"/>
      <c r="LIO1" s="432" t="s">
        <v>41</v>
      </c>
      <c r="LIP1" s="404"/>
      <c r="LIQ1" s="404"/>
      <c r="LIR1" s="404"/>
      <c r="LIS1" s="404"/>
      <c r="LIT1" s="404"/>
      <c r="LIU1" s="404"/>
      <c r="LIV1" s="405"/>
      <c r="LIW1" s="432" t="s">
        <v>41</v>
      </c>
      <c r="LIX1" s="404"/>
      <c r="LIY1" s="404"/>
      <c r="LIZ1" s="404"/>
      <c r="LJA1" s="404"/>
      <c r="LJB1" s="404"/>
      <c r="LJC1" s="404"/>
      <c r="LJD1" s="405"/>
      <c r="LJE1" s="432" t="s">
        <v>41</v>
      </c>
      <c r="LJF1" s="404"/>
      <c r="LJG1" s="404"/>
      <c r="LJH1" s="404"/>
      <c r="LJI1" s="404"/>
      <c r="LJJ1" s="404"/>
      <c r="LJK1" s="404"/>
      <c r="LJL1" s="405"/>
      <c r="LJM1" s="432" t="s">
        <v>41</v>
      </c>
      <c r="LJN1" s="404"/>
      <c r="LJO1" s="404"/>
      <c r="LJP1" s="404"/>
      <c r="LJQ1" s="404"/>
      <c r="LJR1" s="404"/>
      <c r="LJS1" s="404"/>
      <c r="LJT1" s="405"/>
      <c r="LJU1" s="432" t="s">
        <v>41</v>
      </c>
      <c r="LJV1" s="404"/>
      <c r="LJW1" s="404"/>
      <c r="LJX1" s="404"/>
      <c r="LJY1" s="404"/>
      <c r="LJZ1" s="404"/>
      <c r="LKA1" s="404"/>
      <c r="LKB1" s="405"/>
      <c r="LKC1" s="432" t="s">
        <v>41</v>
      </c>
      <c r="LKD1" s="404"/>
      <c r="LKE1" s="404"/>
      <c r="LKF1" s="404"/>
      <c r="LKG1" s="404"/>
      <c r="LKH1" s="404"/>
      <c r="LKI1" s="404"/>
      <c r="LKJ1" s="405"/>
      <c r="LKK1" s="432" t="s">
        <v>41</v>
      </c>
      <c r="LKL1" s="404"/>
      <c r="LKM1" s="404"/>
      <c r="LKN1" s="404"/>
      <c r="LKO1" s="404"/>
      <c r="LKP1" s="404"/>
      <c r="LKQ1" s="404"/>
      <c r="LKR1" s="405"/>
      <c r="LKS1" s="432" t="s">
        <v>41</v>
      </c>
      <c r="LKT1" s="404"/>
      <c r="LKU1" s="404"/>
      <c r="LKV1" s="404"/>
      <c r="LKW1" s="404"/>
      <c r="LKX1" s="404"/>
      <c r="LKY1" s="404"/>
      <c r="LKZ1" s="405"/>
      <c r="LLA1" s="432" t="s">
        <v>41</v>
      </c>
      <c r="LLB1" s="404"/>
      <c r="LLC1" s="404"/>
      <c r="LLD1" s="404"/>
      <c r="LLE1" s="404"/>
      <c r="LLF1" s="404"/>
      <c r="LLG1" s="404"/>
      <c r="LLH1" s="405"/>
      <c r="LLI1" s="432" t="s">
        <v>41</v>
      </c>
      <c r="LLJ1" s="404"/>
      <c r="LLK1" s="404"/>
      <c r="LLL1" s="404"/>
      <c r="LLM1" s="404"/>
      <c r="LLN1" s="404"/>
      <c r="LLO1" s="404"/>
      <c r="LLP1" s="405"/>
      <c r="LLQ1" s="432" t="s">
        <v>41</v>
      </c>
      <c r="LLR1" s="404"/>
      <c r="LLS1" s="404"/>
      <c r="LLT1" s="404"/>
      <c r="LLU1" s="404"/>
      <c r="LLV1" s="404"/>
      <c r="LLW1" s="404"/>
      <c r="LLX1" s="405"/>
      <c r="LLY1" s="432" t="s">
        <v>41</v>
      </c>
      <c r="LLZ1" s="404"/>
      <c r="LMA1" s="404"/>
      <c r="LMB1" s="404"/>
      <c r="LMC1" s="404"/>
      <c r="LMD1" s="404"/>
      <c r="LME1" s="404"/>
      <c r="LMF1" s="405"/>
      <c r="LMG1" s="432" t="s">
        <v>41</v>
      </c>
      <c r="LMH1" s="404"/>
      <c r="LMI1" s="404"/>
      <c r="LMJ1" s="404"/>
      <c r="LMK1" s="404"/>
      <c r="LML1" s="404"/>
      <c r="LMM1" s="404"/>
      <c r="LMN1" s="405"/>
      <c r="LMO1" s="432" t="s">
        <v>41</v>
      </c>
      <c r="LMP1" s="404"/>
      <c r="LMQ1" s="404"/>
      <c r="LMR1" s="404"/>
      <c r="LMS1" s="404"/>
      <c r="LMT1" s="404"/>
      <c r="LMU1" s="404"/>
      <c r="LMV1" s="405"/>
      <c r="LMW1" s="432" t="s">
        <v>41</v>
      </c>
      <c r="LMX1" s="404"/>
      <c r="LMY1" s="404"/>
      <c r="LMZ1" s="404"/>
      <c r="LNA1" s="404"/>
      <c r="LNB1" s="404"/>
      <c r="LNC1" s="404"/>
      <c r="LND1" s="405"/>
      <c r="LNE1" s="432" t="s">
        <v>41</v>
      </c>
      <c r="LNF1" s="404"/>
      <c r="LNG1" s="404"/>
      <c r="LNH1" s="404"/>
      <c r="LNI1" s="404"/>
      <c r="LNJ1" s="404"/>
      <c r="LNK1" s="404"/>
      <c r="LNL1" s="405"/>
      <c r="LNM1" s="432" t="s">
        <v>41</v>
      </c>
      <c r="LNN1" s="404"/>
      <c r="LNO1" s="404"/>
      <c r="LNP1" s="404"/>
      <c r="LNQ1" s="404"/>
      <c r="LNR1" s="404"/>
      <c r="LNS1" s="404"/>
      <c r="LNT1" s="405"/>
      <c r="LNU1" s="432" t="s">
        <v>41</v>
      </c>
      <c r="LNV1" s="404"/>
      <c r="LNW1" s="404"/>
      <c r="LNX1" s="404"/>
      <c r="LNY1" s="404"/>
      <c r="LNZ1" s="404"/>
      <c r="LOA1" s="404"/>
      <c r="LOB1" s="405"/>
      <c r="LOC1" s="432" t="s">
        <v>41</v>
      </c>
      <c r="LOD1" s="404"/>
      <c r="LOE1" s="404"/>
      <c r="LOF1" s="404"/>
      <c r="LOG1" s="404"/>
      <c r="LOH1" s="404"/>
      <c r="LOI1" s="404"/>
      <c r="LOJ1" s="405"/>
      <c r="LOK1" s="432" t="s">
        <v>41</v>
      </c>
      <c r="LOL1" s="404"/>
      <c r="LOM1" s="404"/>
      <c r="LON1" s="404"/>
      <c r="LOO1" s="404"/>
      <c r="LOP1" s="404"/>
      <c r="LOQ1" s="404"/>
      <c r="LOR1" s="405"/>
      <c r="LOS1" s="432" t="s">
        <v>41</v>
      </c>
      <c r="LOT1" s="404"/>
      <c r="LOU1" s="404"/>
      <c r="LOV1" s="404"/>
      <c r="LOW1" s="404"/>
      <c r="LOX1" s="404"/>
      <c r="LOY1" s="404"/>
      <c r="LOZ1" s="405"/>
      <c r="LPA1" s="432" t="s">
        <v>41</v>
      </c>
      <c r="LPB1" s="404"/>
      <c r="LPC1" s="404"/>
      <c r="LPD1" s="404"/>
      <c r="LPE1" s="404"/>
      <c r="LPF1" s="404"/>
      <c r="LPG1" s="404"/>
      <c r="LPH1" s="405"/>
      <c r="LPI1" s="432" t="s">
        <v>41</v>
      </c>
      <c r="LPJ1" s="404"/>
      <c r="LPK1" s="404"/>
      <c r="LPL1" s="404"/>
      <c r="LPM1" s="404"/>
      <c r="LPN1" s="404"/>
      <c r="LPO1" s="404"/>
      <c r="LPP1" s="405"/>
      <c r="LPQ1" s="432" t="s">
        <v>41</v>
      </c>
      <c r="LPR1" s="404"/>
      <c r="LPS1" s="404"/>
      <c r="LPT1" s="404"/>
      <c r="LPU1" s="404"/>
      <c r="LPV1" s="404"/>
      <c r="LPW1" s="404"/>
      <c r="LPX1" s="405"/>
      <c r="LPY1" s="432" t="s">
        <v>41</v>
      </c>
      <c r="LPZ1" s="404"/>
      <c r="LQA1" s="404"/>
      <c r="LQB1" s="404"/>
      <c r="LQC1" s="404"/>
      <c r="LQD1" s="404"/>
      <c r="LQE1" s="404"/>
      <c r="LQF1" s="405"/>
      <c r="LQG1" s="432" t="s">
        <v>41</v>
      </c>
      <c r="LQH1" s="404"/>
      <c r="LQI1" s="404"/>
      <c r="LQJ1" s="404"/>
      <c r="LQK1" s="404"/>
      <c r="LQL1" s="404"/>
      <c r="LQM1" s="404"/>
      <c r="LQN1" s="405"/>
      <c r="LQO1" s="432" t="s">
        <v>41</v>
      </c>
      <c r="LQP1" s="404"/>
      <c r="LQQ1" s="404"/>
      <c r="LQR1" s="404"/>
      <c r="LQS1" s="404"/>
      <c r="LQT1" s="404"/>
      <c r="LQU1" s="404"/>
      <c r="LQV1" s="405"/>
      <c r="LQW1" s="432" t="s">
        <v>41</v>
      </c>
      <c r="LQX1" s="404"/>
      <c r="LQY1" s="404"/>
      <c r="LQZ1" s="404"/>
      <c r="LRA1" s="404"/>
      <c r="LRB1" s="404"/>
      <c r="LRC1" s="404"/>
      <c r="LRD1" s="405"/>
      <c r="LRE1" s="432" t="s">
        <v>41</v>
      </c>
      <c r="LRF1" s="404"/>
      <c r="LRG1" s="404"/>
      <c r="LRH1" s="404"/>
      <c r="LRI1" s="404"/>
      <c r="LRJ1" s="404"/>
      <c r="LRK1" s="404"/>
      <c r="LRL1" s="405"/>
      <c r="LRM1" s="432" t="s">
        <v>41</v>
      </c>
      <c r="LRN1" s="404"/>
      <c r="LRO1" s="404"/>
      <c r="LRP1" s="404"/>
      <c r="LRQ1" s="404"/>
      <c r="LRR1" s="404"/>
      <c r="LRS1" s="404"/>
      <c r="LRT1" s="405"/>
      <c r="LRU1" s="432" t="s">
        <v>41</v>
      </c>
      <c r="LRV1" s="404"/>
      <c r="LRW1" s="404"/>
      <c r="LRX1" s="404"/>
      <c r="LRY1" s="404"/>
      <c r="LRZ1" s="404"/>
      <c r="LSA1" s="404"/>
      <c r="LSB1" s="405"/>
      <c r="LSC1" s="432" t="s">
        <v>41</v>
      </c>
      <c r="LSD1" s="404"/>
      <c r="LSE1" s="404"/>
      <c r="LSF1" s="404"/>
      <c r="LSG1" s="404"/>
      <c r="LSH1" s="404"/>
      <c r="LSI1" s="404"/>
      <c r="LSJ1" s="405"/>
      <c r="LSK1" s="432" t="s">
        <v>41</v>
      </c>
      <c r="LSL1" s="404"/>
      <c r="LSM1" s="404"/>
      <c r="LSN1" s="404"/>
      <c r="LSO1" s="404"/>
      <c r="LSP1" s="404"/>
      <c r="LSQ1" s="404"/>
      <c r="LSR1" s="405"/>
      <c r="LSS1" s="432" t="s">
        <v>41</v>
      </c>
      <c r="LST1" s="404"/>
      <c r="LSU1" s="404"/>
      <c r="LSV1" s="404"/>
      <c r="LSW1" s="404"/>
      <c r="LSX1" s="404"/>
      <c r="LSY1" s="404"/>
      <c r="LSZ1" s="405"/>
      <c r="LTA1" s="432" t="s">
        <v>41</v>
      </c>
      <c r="LTB1" s="404"/>
      <c r="LTC1" s="404"/>
      <c r="LTD1" s="404"/>
      <c r="LTE1" s="404"/>
      <c r="LTF1" s="404"/>
      <c r="LTG1" s="404"/>
      <c r="LTH1" s="405"/>
      <c r="LTI1" s="432" t="s">
        <v>41</v>
      </c>
      <c r="LTJ1" s="404"/>
      <c r="LTK1" s="404"/>
      <c r="LTL1" s="404"/>
      <c r="LTM1" s="404"/>
      <c r="LTN1" s="404"/>
      <c r="LTO1" s="404"/>
      <c r="LTP1" s="405"/>
      <c r="LTQ1" s="432" t="s">
        <v>41</v>
      </c>
      <c r="LTR1" s="404"/>
      <c r="LTS1" s="404"/>
      <c r="LTT1" s="404"/>
      <c r="LTU1" s="404"/>
      <c r="LTV1" s="404"/>
      <c r="LTW1" s="404"/>
      <c r="LTX1" s="405"/>
      <c r="LTY1" s="432" t="s">
        <v>41</v>
      </c>
      <c r="LTZ1" s="404"/>
      <c r="LUA1" s="404"/>
      <c r="LUB1" s="404"/>
      <c r="LUC1" s="404"/>
      <c r="LUD1" s="404"/>
      <c r="LUE1" s="404"/>
      <c r="LUF1" s="405"/>
      <c r="LUG1" s="432" t="s">
        <v>41</v>
      </c>
      <c r="LUH1" s="404"/>
      <c r="LUI1" s="404"/>
      <c r="LUJ1" s="404"/>
      <c r="LUK1" s="404"/>
      <c r="LUL1" s="404"/>
      <c r="LUM1" s="404"/>
      <c r="LUN1" s="405"/>
      <c r="LUO1" s="432" t="s">
        <v>41</v>
      </c>
      <c r="LUP1" s="404"/>
      <c r="LUQ1" s="404"/>
      <c r="LUR1" s="404"/>
      <c r="LUS1" s="404"/>
      <c r="LUT1" s="404"/>
      <c r="LUU1" s="404"/>
      <c r="LUV1" s="405"/>
      <c r="LUW1" s="432" t="s">
        <v>41</v>
      </c>
      <c r="LUX1" s="404"/>
      <c r="LUY1" s="404"/>
      <c r="LUZ1" s="404"/>
      <c r="LVA1" s="404"/>
      <c r="LVB1" s="404"/>
      <c r="LVC1" s="404"/>
      <c r="LVD1" s="405"/>
      <c r="LVE1" s="432" t="s">
        <v>41</v>
      </c>
      <c r="LVF1" s="404"/>
      <c r="LVG1" s="404"/>
      <c r="LVH1" s="404"/>
      <c r="LVI1" s="404"/>
      <c r="LVJ1" s="404"/>
      <c r="LVK1" s="404"/>
      <c r="LVL1" s="405"/>
      <c r="LVM1" s="432" t="s">
        <v>41</v>
      </c>
      <c r="LVN1" s="404"/>
      <c r="LVO1" s="404"/>
      <c r="LVP1" s="404"/>
      <c r="LVQ1" s="404"/>
      <c r="LVR1" s="404"/>
      <c r="LVS1" s="404"/>
      <c r="LVT1" s="405"/>
      <c r="LVU1" s="432" t="s">
        <v>41</v>
      </c>
      <c r="LVV1" s="404"/>
      <c r="LVW1" s="404"/>
      <c r="LVX1" s="404"/>
      <c r="LVY1" s="404"/>
      <c r="LVZ1" s="404"/>
      <c r="LWA1" s="404"/>
      <c r="LWB1" s="405"/>
      <c r="LWC1" s="432" t="s">
        <v>41</v>
      </c>
      <c r="LWD1" s="404"/>
      <c r="LWE1" s="404"/>
      <c r="LWF1" s="404"/>
      <c r="LWG1" s="404"/>
      <c r="LWH1" s="404"/>
      <c r="LWI1" s="404"/>
      <c r="LWJ1" s="405"/>
      <c r="LWK1" s="432" t="s">
        <v>41</v>
      </c>
      <c r="LWL1" s="404"/>
      <c r="LWM1" s="404"/>
      <c r="LWN1" s="404"/>
      <c r="LWO1" s="404"/>
      <c r="LWP1" s="404"/>
      <c r="LWQ1" s="404"/>
      <c r="LWR1" s="405"/>
      <c r="LWS1" s="432" t="s">
        <v>41</v>
      </c>
      <c r="LWT1" s="404"/>
      <c r="LWU1" s="404"/>
      <c r="LWV1" s="404"/>
      <c r="LWW1" s="404"/>
      <c r="LWX1" s="404"/>
      <c r="LWY1" s="404"/>
      <c r="LWZ1" s="405"/>
      <c r="LXA1" s="432" t="s">
        <v>41</v>
      </c>
      <c r="LXB1" s="404"/>
      <c r="LXC1" s="404"/>
      <c r="LXD1" s="404"/>
      <c r="LXE1" s="404"/>
      <c r="LXF1" s="404"/>
      <c r="LXG1" s="404"/>
      <c r="LXH1" s="405"/>
      <c r="LXI1" s="432" t="s">
        <v>41</v>
      </c>
      <c r="LXJ1" s="404"/>
      <c r="LXK1" s="404"/>
      <c r="LXL1" s="404"/>
      <c r="LXM1" s="404"/>
      <c r="LXN1" s="404"/>
      <c r="LXO1" s="404"/>
      <c r="LXP1" s="405"/>
      <c r="LXQ1" s="432" t="s">
        <v>41</v>
      </c>
      <c r="LXR1" s="404"/>
      <c r="LXS1" s="404"/>
      <c r="LXT1" s="404"/>
      <c r="LXU1" s="404"/>
      <c r="LXV1" s="404"/>
      <c r="LXW1" s="404"/>
      <c r="LXX1" s="405"/>
      <c r="LXY1" s="432" t="s">
        <v>41</v>
      </c>
      <c r="LXZ1" s="404"/>
      <c r="LYA1" s="404"/>
      <c r="LYB1" s="404"/>
      <c r="LYC1" s="404"/>
      <c r="LYD1" s="404"/>
      <c r="LYE1" s="404"/>
      <c r="LYF1" s="405"/>
      <c r="LYG1" s="432" t="s">
        <v>41</v>
      </c>
      <c r="LYH1" s="404"/>
      <c r="LYI1" s="404"/>
      <c r="LYJ1" s="404"/>
      <c r="LYK1" s="404"/>
      <c r="LYL1" s="404"/>
      <c r="LYM1" s="404"/>
      <c r="LYN1" s="405"/>
      <c r="LYO1" s="432" t="s">
        <v>41</v>
      </c>
      <c r="LYP1" s="404"/>
      <c r="LYQ1" s="404"/>
      <c r="LYR1" s="404"/>
      <c r="LYS1" s="404"/>
      <c r="LYT1" s="404"/>
      <c r="LYU1" s="404"/>
      <c r="LYV1" s="405"/>
      <c r="LYW1" s="432" t="s">
        <v>41</v>
      </c>
      <c r="LYX1" s="404"/>
      <c r="LYY1" s="404"/>
      <c r="LYZ1" s="404"/>
      <c r="LZA1" s="404"/>
      <c r="LZB1" s="404"/>
      <c r="LZC1" s="404"/>
      <c r="LZD1" s="405"/>
      <c r="LZE1" s="432" t="s">
        <v>41</v>
      </c>
      <c r="LZF1" s="404"/>
      <c r="LZG1" s="404"/>
      <c r="LZH1" s="404"/>
      <c r="LZI1" s="404"/>
      <c r="LZJ1" s="404"/>
      <c r="LZK1" s="404"/>
      <c r="LZL1" s="405"/>
      <c r="LZM1" s="432" t="s">
        <v>41</v>
      </c>
      <c r="LZN1" s="404"/>
      <c r="LZO1" s="404"/>
      <c r="LZP1" s="404"/>
      <c r="LZQ1" s="404"/>
      <c r="LZR1" s="404"/>
      <c r="LZS1" s="404"/>
      <c r="LZT1" s="405"/>
      <c r="LZU1" s="432" t="s">
        <v>41</v>
      </c>
      <c r="LZV1" s="404"/>
      <c r="LZW1" s="404"/>
      <c r="LZX1" s="404"/>
      <c r="LZY1" s="404"/>
      <c r="LZZ1" s="404"/>
      <c r="MAA1" s="404"/>
      <c r="MAB1" s="405"/>
      <c r="MAC1" s="432" t="s">
        <v>41</v>
      </c>
      <c r="MAD1" s="404"/>
      <c r="MAE1" s="404"/>
      <c r="MAF1" s="404"/>
      <c r="MAG1" s="404"/>
      <c r="MAH1" s="404"/>
      <c r="MAI1" s="404"/>
      <c r="MAJ1" s="405"/>
      <c r="MAK1" s="432" t="s">
        <v>41</v>
      </c>
      <c r="MAL1" s="404"/>
      <c r="MAM1" s="404"/>
      <c r="MAN1" s="404"/>
      <c r="MAO1" s="404"/>
      <c r="MAP1" s="404"/>
      <c r="MAQ1" s="404"/>
      <c r="MAR1" s="405"/>
      <c r="MAS1" s="432" t="s">
        <v>41</v>
      </c>
      <c r="MAT1" s="404"/>
      <c r="MAU1" s="404"/>
      <c r="MAV1" s="404"/>
      <c r="MAW1" s="404"/>
      <c r="MAX1" s="404"/>
      <c r="MAY1" s="404"/>
      <c r="MAZ1" s="405"/>
      <c r="MBA1" s="432" t="s">
        <v>41</v>
      </c>
      <c r="MBB1" s="404"/>
      <c r="MBC1" s="404"/>
      <c r="MBD1" s="404"/>
      <c r="MBE1" s="404"/>
      <c r="MBF1" s="404"/>
      <c r="MBG1" s="404"/>
      <c r="MBH1" s="405"/>
      <c r="MBI1" s="432" t="s">
        <v>41</v>
      </c>
      <c r="MBJ1" s="404"/>
      <c r="MBK1" s="404"/>
      <c r="MBL1" s="404"/>
      <c r="MBM1" s="404"/>
      <c r="MBN1" s="404"/>
      <c r="MBO1" s="404"/>
      <c r="MBP1" s="405"/>
      <c r="MBQ1" s="432" t="s">
        <v>41</v>
      </c>
      <c r="MBR1" s="404"/>
      <c r="MBS1" s="404"/>
      <c r="MBT1" s="404"/>
      <c r="MBU1" s="404"/>
      <c r="MBV1" s="404"/>
      <c r="MBW1" s="404"/>
      <c r="MBX1" s="405"/>
      <c r="MBY1" s="432" t="s">
        <v>41</v>
      </c>
      <c r="MBZ1" s="404"/>
      <c r="MCA1" s="404"/>
      <c r="MCB1" s="404"/>
      <c r="MCC1" s="404"/>
      <c r="MCD1" s="404"/>
      <c r="MCE1" s="404"/>
      <c r="MCF1" s="405"/>
      <c r="MCG1" s="432" t="s">
        <v>41</v>
      </c>
      <c r="MCH1" s="404"/>
      <c r="MCI1" s="404"/>
      <c r="MCJ1" s="404"/>
      <c r="MCK1" s="404"/>
      <c r="MCL1" s="404"/>
      <c r="MCM1" s="404"/>
      <c r="MCN1" s="405"/>
      <c r="MCO1" s="432" t="s">
        <v>41</v>
      </c>
      <c r="MCP1" s="404"/>
      <c r="MCQ1" s="404"/>
      <c r="MCR1" s="404"/>
      <c r="MCS1" s="404"/>
      <c r="MCT1" s="404"/>
      <c r="MCU1" s="404"/>
      <c r="MCV1" s="405"/>
      <c r="MCW1" s="432" t="s">
        <v>41</v>
      </c>
      <c r="MCX1" s="404"/>
      <c r="MCY1" s="404"/>
      <c r="MCZ1" s="404"/>
      <c r="MDA1" s="404"/>
      <c r="MDB1" s="404"/>
      <c r="MDC1" s="404"/>
      <c r="MDD1" s="405"/>
      <c r="MDE1" s="432" t="s">
        <v>41</v>
      </c>
      <c r="MDF1" s="404"/>
      <c r="MDG1" s="404"/>
      <c r="MDH1" s="404"/>
      <c r="MDI1" s="404"/>
      <c r="MDJ1" s="404"/>
      <c r="MDK1" s="404"/>
      <c r="MDL1" s="405"/>
      <c r="MDM1" s="432" t="s">
        <v>41</v>
      </c>
      <c r="MDN1" s="404"/>
      <c r="MDO1" s="404"/>
      <c r="MDP1" s="404"/>
      <c r="MDQ1" s="404"/>
      <c r="MDR1" s="404"/>
      <c r="MDS1" s="404"/>
      <c r="MDT1" s="405"/>
      <c r="MDU1" s="432" t="s">
        <v>41</v>
      </c>
      <c r="MDV1" s="404"/>
      <c r="MDW1" s="404"/>
      <c r="MDX1" s="404"/>
      <c r="MDY1" s="404"/>
      <c r="MDZ1" s="404"/>
      <c r="MEA1" s="404"/>
      <c r="MEB1" s="405"/>
      <c r="MEC1" s="432" t="s">
        <v>41</v>
      </c>
      <c r="MED1" s="404"/>
      <c r="MEE1" s="404"/>
      <c r="MEF1" s="404"/>
      <c r="MEG1" s="404"/>
      <c r="MEH1" s="404"/>
      <c r="MEI1" s="404"/>
      <c r="MEJ1" s="405"/>
      <c r="MEK1" s="432" t="s">
        <v>41</v>
      </c>
      <c r="MEL1" s="404"/>
      <c r="MEM1" s="404"/>
      <c r="MEN1" s="404"/>
      <c r="MEO1" s="404"/>
      <c r="MEP1" s="404"/>
      <c r="MEQ1" s="404"/>
      <c r="MER1" s="405"/>
      <c r="MES1" s="432" t="s">
        <v>41</v>
      </c>
      <c r="MET1" s="404"/>
      <c r="MEU1" s="404"/>
      <c r="MEV1" s="404"/>
      <c r="MEW1" s="404"/>
      <c r="MEX1" s="404"/>
      <c r="MEY1" s="404"/>
      <c r="MEZ1" s="405"/>
      <c r="MFA1" s="432" t="s">
        <v>41</v>
      </c>
      <c r="MFB1" s="404"/>
      <c r="MFC1" s="404"/>
      <c r="MFD1" s="404"/>
      <c r="MFE1" s="404"/>
      <c r="MFF1" s="404"/>
      <c r="MFG1" s="404"/>
      <c r="MFH1" s="405"/>
      <c r="MFI1" s="432" t="s">
        <v>41</v>
      </c>
      <c r="MFJ1" s="404"/>
      <c r="MFK1" s="404"/>
      <c r="MFL1" s="404"/>
      <c r="MFM1" s="404"/>
      <c r="MFN1" s="404"/>
      <c r="MFO1" s="404"/>
      <c r="MFP1" s="405"/>
      <c r="MFQ1" s="432" t="s">
        <v>41</v>
      </c>
      <c r="MFR1" s="404"/>
      <c r="MFS1" s="404"/>
      <c r="MFT1" s="404"/>
      <c r="MFU1" s="404"/>
      <c r="MFV1" s="404"/>
      <c r="MFW1" s="404"/>
      <c r="MFX1" s="405"/>
      <c r="MFY1" s="432" t="s">
        <v>41</v>
      </c>
      <c r="MFZ1" s="404"/>
      <c r="MGA1" s="404"/>
      <c r="MGB1" s="404"/>
      <c r="MGC1" s="404"/>
      <c r="MGD1" s="404"/>
      <c r="MGE1" s="404"/>
      <c r="MGF1" s="405"/>
      <c r="MGG1" s="432" t="s">
        <v>41</v>
      </c>
      <c r="MGH1" s="404"/>
      <c r="MGI1" s="404"/>
      <c r="MGJ1" s="404"/>
      <c r="MGK1" s="404"/>
      <c r="MGL1" s="404"/>
      <c r="MGM1" s="404"/>
      <c r="MGN1" s="405"/>
      <c r="MGO1" s="432" t="s">
        <v>41</v>
      </c>
      <c r="MGP1" s="404"/>
      <c r="MGQ1" s="404"/>
      <c r="MGR1" s="404"/>
      <c r="MGS1" s="404"/>
      <c r="MGT1" s="404"/>
      <c r="MGU1" s="404"/>
      <c r="MGV1" s="405"/>
      <c r="MGW1" s="432" t="s">
        <v>41</v>
      </c>
      <c r="MGX1" s="404"/>
      <c r="MGY1" s="404"/>
      <c r="MGZ1" s="404"/>
      <c r="MHA1" s="404"/>
      <c r="MHB1" s="404"/>
      <c r="MHC1" s="404"/>
      <c r="MHD1" s="405"/>
      <c r="MHE1" s="432" t="s">
        <v>41</v>
      </c>
      <c r="MHF1" s="404"/>
      <c r="MHG1" s="404"/>
      <c r="MHH1" s="404"/>
      <c r="MHI1" s="404"/>
      <c r="MHJ1" s="404"/>
      <c r="MHK1" s="404"/>
      <c r="MHL1" s="405"/>
      <c r="MHM1" s="432" t="s">
        <v>41</v>
      </c>
      <c r="MHN1" s="404"/>
      <c r="MHO1" s="404"/>
      <c r="MHP1" s="404"/>
      <c r="MHQ1" s="404"/>
      <c r="MHR1" s="404"/>
      <c r="MHS1" s="404"/>
      <c r="MHT1" s="405"/>
      <c r="MHU1" s="432" t="s">
        <v>41</v>
      </c>
      <c r="MHV1" s="404"/>
      <c r="MHW1" s="404"/>
      <c r="MHX1" s="404"/>
      <c r="MHY1" s="404"/>
      <c r="MHZ1" s="404"/>
      <c r="MIA1" s="404"/>
      <c r="MIB1" s="405"/>
      <c r="MIC1" s="432" t="s">
        <v>41</v>
      </c>
      <c r="MID1" s="404"/>
      <c r="MIE1" s="404"/>
      <c r="MIF1" s="404"/>
      <c r="MIG1" s="404"/>
      <c r="MIH1" s="404"/>
      <c r="MII1" s="404"/>
      <c r="MIJ1" s="405"/>
      <c r="MIK1" s="432" t="s">
        <v>41</v>
      </c>
      <c r="MIL1" s="404"/>
      <c r="MIM1" s="404"/>
      <c r="MIN1" s="404"/>
      <c r="MIO1" s="404"/>
      <c r="MIP1" s="404"/>
      <c r="MIQ1" s="404"/>
      <c r="MIR1" s="405"/>
      <c r="MIS1" s="432" t="s">
        <v>41</v>
      </c>
      <c r="MIT1" s="404"/>
      <c r="MIU1" s="404"/>
      <c r="MIV1" s="404"/>
      <c r="MIW1" s="404"/>
      <c r="MIX1" s="404"/>
      <c r="MIY1" s="404"/>
      <c r="MIZ1" s="405"/>
      <c r="MJA1" s="432" t="s">
        <v>41</v>
      </c>
      <c r="MJB1" s="404"/>
      <c r="MJC1" s="404"/>
      <c r="MJD1" s="404"/>
      <c r="MJE1" s="404"/>
      <c r="MJF1" s="404"/>
      <c r="MJG1" s="404"/>
      <c r="MJH1" s="405"/>
      <c r="MJI1" s="432" t="s">
        <v>41</v>
      </c>
      <c r="MJJ1" s="404"/>
      <c r="MJK1" s="404"/>
      <c r="MJL1" s="404"/>
      <c r="MJM1" s="404"/>
      <c r="MJN1" s="404"/>
      <c r="MJO1" s="404"/>
      <c r="MJP1" s="405"/>
      <c r="MJQ1" s="432" t="s">
        <v>41</v>
      </c>
      <c r="MJR1" s="404"/>
      <c r="MJS1" s="404"/>
      <c r="MJT1" s="404"/>
      <c r="MJU1" s="404"/>
      <c r="MJV1" s="404"/>
      <c r="MJW1" s="404"/>
      <c r="MJX1" s="405"/>
      <c r="MJY1" s="432" t="s">
        <v>41</v>
      </c>
      <c r="MJZ1" s="404"/>
      <c r="MKA1" s="404"/>
      <c r="MKB1" s="404"/>
      <c r="MKC1" s="404"/>
      <c r="MKD1" s="404"/>
      <c r="MKE1" s="404"/>
      <c r="MKF1" s="405"/>
      <c r="MKG1" s="432" t="s">
        <v>41</v>
      </c>
      <c r="MKH1" s="404"/>
      <c r="MKI1" s="404"/>
      <c r="MKJ1" s="404"/>
      <c r="MKK1" s="404"/>
      <c r="MKL1" s="404"/>
      <c r="MKM1" s="404"/>
      <c r="MKN1" s="405"/>
      <c r="MKO1" s="432" t="s">
        <v>41</v>
      </c>
      <c r="MKP1" s="404"/>
      <c r="MKQ1" s="404"/>
      <c r="MKR1" s="404"/>
      <c r="MKS1" s="404"/>
      <c r="MKT1" s="404"/>
      <c r="MKU1" s="404"/>
      <c r="MKV1" s="405"/>
      <c r="MKW1" s="432" t="s">
        <v>41</v>
      </c>
      <c r="MKX1" s="404"/>
      <c r="MKY1" s="404"/>
      <c r="MKZ1" s="404"/>
      <c r="MLA1" s="404"/>
      <c r="MLB1" s="404"/>
      <c r="MLC1" s="404"/>
      <c r="MLD1" s="405"/>
      <c r="MLE1" s="432" t="s">
        <v>41</v>
      </c>
      <c r="MLF1" s="404"/>
      <c r="MLG1" s="404"/>
      <c r="MLH1" s="404"/>
      <c r="MLI1" s="404"/>
      <c r="MLJ1" s="404"/>
      <c r="MLK1" s="404"/>
      <c r="MLL1" s="405"/>
      <c r="MLM1" s="432" t="s">
        <v>41</v>
      </c>
      <c r="MLN1" s="404"/>
      <c r="MLO1" s="404"/>
      <c r="MLP1" s="404"/>
      <c r="MLQ1" s="404"/>
      <c r="MLR1" s="404"/>
      <c r="MLS1" s="404"/>
      <c r="MLT1" s="405"/>
      <c r="MLU1" s="432" t="s">
        <v>41</v>
      </c>
      <c r="MLV1" s="404"/>
      <c r="MLW1" s="404"/>
      <c r="MLX1" s="404"/>
      <c r="MLY1" s="404"/>
      <c r="MLZ1" s="404"/>
      <c r="MMA1" s="404"/>
      <c r="MMB1" s="405"/>
      <c r="MMC1" s="432" t="s">
        <v>41</v>
      </c>
      <c r="MMD1" s="404"/>
      <c r="MME1" s="404"/>
      <c r="MMF1" s="404"/>
      <c r="MMG1" s="404"/>
      <c r="MMH1" s="404"/>
      <c r="MMI1" s="404"/>
      <c r="MMJ1" s="405"/>
      <c r="MMK1" s="432" t="s">
        <v>41</v>
      </c>
      <c r="MML1" s="404"/>
      <c r="MMM1" s="404"/>
      <c r="MMN1" s="404"/>
      <c r="MMO1" s="404"/>
      <c r="MMP1" s="404"/>
      <c r="MMQ1" s="404"/>
      <c r="MMR1" s="405"/>
      <c r="MMS1" s="432" t="s">
        <v>41</v>
      </c>
      <c r="MMT1" s="404"/>
      <c r="MMU1" s="404"/>
      <c r="MMV1" s="404"/>
      <c r="MMW1" s="404"/>
      <c r="MMX1" s="404"/>
      <c r="MMY1" s="404"/>
      <c r="MMZ1" s="405"/>
      <c r="MNA1" s="432" t="s">
        <v>41</v>
      </c>
      <c r="MNB1" s="404"/>
      <c r="MNC1" s="404"/>
      <c r="MND1" s="404"/>
      <c r="MNE1" s="404"/>
      <c r="MNF1" s="404"/>
      <c r="MNG1" s="404"/>
      <c r="MNH1" s="405"/>
      <c r="MNI1" s="432" t="s">
        <v>41</v>
      </c>
      <c r="MNJ1" s="404"/>
      <c r="MNK1" s="404"/>
      <c r="MNL1" s="404"/>
      <c r="MNM1" s="404"/>
      <c r="MNN1" s="404"/>
      <c r="MNO1" s="404"/>
      <c r="MNP1" s="405"/>
      <c r="MNQ1" s="432" t="s">
        <v>41</v>
      </c>
      <c r="MNR1" s="404"/>
      <c r="MNS1" s="404"/>
      <c r="MNT1" s="404"/>
      <c r="MNU1" s="404"/>
      <c r="MNV1" s="404"/>
      <c r="MNW1" s="404"/>
      <c r="MNX1" s="405"/>
      <c r="MNY1" s="432" t="s">
        <v>41</v>
      </c>
      <c r="MNZ1" s="404"/>
      <c r="MOA1" s="404"/>
      <c r="MOB1" s="404"/>
      <c r="MOC1" s="404"/>
      <c r="MOD1" s="404"/>
      <c r="MOE1" s="404"/>
      <c r="MOF1" s="405"/>
      <c r="MOG1" s="432" t="s">
        <v>41</v>
      </c>
      <c r="MOH1" s="404"/>
      <c r="MOI1" s="404"/>
      <c r="MOJ1" s="404"/>
      <c r="MOK1" s="404"/>
      <c r="MOL1" s="404"/>
      <c r="MOM1" s="404"/>
      <c r="MON1" s="405"/>
      <c r="MOO1" s="432" t="s">
        <v>41</v>
      </c>
      <c r="MOP1" s="404"/>
      <c r="MOQ1" s="404"/>
      <c r="MOR1" s="404"/>
      <c r="MOS1" s="404"/>
      <c r="MOT1" s="404"/>
      <c r="MOU1" s="404"/>
      <c r="MOV1" s="405"/>
      <c r="MOW1" s="432" t="s">
        <v>41</v>
      </c>
      <c r="MOX1" s="404"/>
      <c r="MOY1" s="404"/>
      <c r="MOZ1" s="404"/>
      <c r="MPA1" s="404"/>
      <c r="MPB1" s="404"/>
      <c r="MPC1" s="404"/>
      <c r="MPD1" s="405"/>
      <c r="MPE1" s="432" t="s">
        <v>41</v>
      </c>
      <c r="MPF1" s="404"/>
      <c r="MPG1" s="404"/>
      <c r="MPH1" s="404"/>
      <c r="MPI1" s="404"/>
      <c r="MPJ1" s="404"/>
      <c r="MPK1" s="404"/>
      <c r="MPL1" s="405"/>
      <c r="MPM1" s="432" t="s">
        <v>41</v>
      </c>
      <c r="MPN1" s="404"/>
      <c r="MPO1" s="404"/>
      <c r="MPP1" s="404"/>
      <c r="MPQ1" s="404"/>
      <c r="MPR1" s="404"/>
      <c r="MPS1" s="404"/>
      <c r="MPT1" s="405"/>
      <c r="MPU1" s="432" t="s">
        <v>41</v>
      </c>
      <c r="MPV1" s="404"/>
      <c r="MPW1" s="404"/>
      <c r="MPX1" s="404"/>
      <c r="MPY1" s="404"/>
      <c r="MPZ1" s="404"/>
      <c r="MQA1" s="404"/>
      <c r="MQB1" s="405"/>
      <c r="MQC1" s="432" t="s">
        <v>41</v>
      </c>
      <c r="MQD1" s="404"/>
      <c r="MQE1" s="404"/>
      <c r="MQF1" s="404"/>
      <c r="MQG1" s="404"/>
      <c r="MQH1" s="404"/>
      <c r="MQI1" s="404"/>
      <c r="MQJ1" s="405"/>
      <c r="MQK1" s="432" t="s">
        <v>41</v>
      </c>
      <c r="MQL1" s="404"/>
      <c r="MQM1" s="404"/>
      <c r="MQN1" s="404"/>
      <c r="MQO1" s="404"/>
      <c r="MQP1" s="404"/>
      <c r="MQQ1" s="404"/>
      <c r="MQR1" s="405"/>
      <c r="MQS1" s="432" t="s">
        <v>41</v>
      </c>
      <c r="MQT1" s="404"/>
      <c r="MQU1" s="404"/>
      <c r="MQV1" s="404"/>
      <c r="MQW1" s="404"/>
      <c r="MQX1" s="404"/>
      <c r="MQY1" s="404"/>
      <c r="MQZ1" s="405"/>
      <c r="MRA1" s="432" t="s">
        <v>41</v>
      </c>
      <c r="MRB1" s="404"/>
      <c r="MRC1" s="404"/>
      <c r="MRD1" s="404"/>
      <c r="MRE1" s="404"/>
      <c r="MRF1" s="404"/>
      <c r="MRG1" s="404"/>
      <c r="MRH1" s="405"/>
      <c r="MRI1" s="432" t="s">
        <v>41</v>
      </c>
      <c r="MRJ1" s="404"/>
      <c r="MRK1" s="404"/>
      <c r="MRL1" s="404"/>
      <c r="MRM1" s="404"/>
      <c r="MRN1" s="404"/>
      <c r="MRO1" s="404"/>
      <c r="MRP1" s="405"/>
      <c r="MRQ1" s="432" t="s">
        <v>41</v>
      </c>
      <c r="MRR1" s="404"/>
      <c r="MRS1" s="404"/>
      <c r="MRT1" s="404"/>
      <c r="MRU1" s="404"/>
      <c r="MRV1" s="404"/>
      <c r="MRW1" s="404"/>
      <c r="MRX1" s="405"/>
      <c r="MRY1" s="432" t="s">
        <v>41</v>
      </c>
      <c r="MRZ1" s="404"/>
      <c r="MSA1" s="404"/>
      <c r="MSB1" s="404"/>
      <c r="MSC1" s="404"/>
      <c r="MSD1" s="404"/>
      <c r="MSE1" s="404"/>
      <c r="MSF1" s="405"/>
      <c r="MSG1" s="432" t="s">
        <v>41</v>
      </c>
      <c r="MSH1" s="404"/>
      <c r="MSI1" s="404"/>
      <c r="MSJ1" s="404"/>
      <c r="MSK1" s="404"/>
      <c r="MSL1" s="404"/>
      <c r="MSM1" s="404"/>
      <c r="MSN1" s="405"/>
      <c r="MSO1" s="432" t="s">
        <v>41</v>
      </c>
      <c r="MSP1" s="404"/>
      <c r="MSQ1" s="404"/>
      <c r="MSR1" s="404"/>
      <c r="MSS1" s="404"/>
      <c r="MST1" s="404"/>
      <c r="MSU1" s="404"/>
      <c r="MSV1" s="405"/>
      <c r="MSW1" s="432" t="s">
        <v>41</v>
      </c>
      <c r="MSX1" s="404"/>
      <c r="MSY1" s="404"/>
      <c r="MSZ1" s="404"/>
      <c r="MTA1" s="404"/>
      <c r="MTB1" s="404"/>
      <c r="MTC1" s="404"/>
      <c r="MTD1" s="405"/>
      <c r="MTE1" s="432" t="s">
        <v>41</v>
      </c>
      <c r="MTF1" s="404"/>
      <c r="MTG1" s="404"/>
      <c r="MTH1" s="404"/>
      <c r="MTI1" s="404"/>
      <c r="MTJ1" s="404"/>
      <c r="MTK1" s="404"/>
      <c r="MTL1" s="405"/>
      <c r="MTM1" s="432" t="s">
        <v>41</v>
      </c>
      <c r="MTN1" s="404"/>
      <c r="MTO1" s="404"/>
      <c r="MTP1" s="404"/>
      <c r="MTQ1" s="404"/>
      <c r="MTR1" s="404"/>
      <c r="MTS1" s="404"/>
      <c r="MTT1" s="405"/>
      <c r="MTU1" s="432" t="s">
        <v>41</v>
      </c>
      <c r="MTV1" s="404"/>
      <c r="MTW1" s="404"/>
      <c r="MTX1" s="404"/>
      <c r="MTY1" s="404"/>
      <c r="MTZ1" s="404"/>
      <c r="MUA1" s="404"/>
      <c r="MUB1" s="405"/>
      <c r="MUC1" s="432" t="s">
        <v>41</v>
      </c>
      <c r="MUD1" s="404"/>
      <c r="MUE1" s="404"/>
      <c r="MUF1" s="404"/>
      <c r="MUG1" s="404"/>
      <c r="MUH1" s="404"/>
      <c r="MUI1" s="404"/>
      <c r="MUJ1" s="405"/>
      <c r="MUK1" s="432" t="s">
        <v>41</v>
      </c>
      <c r="MUL1" s="404"/>
      <c r="MUM1" s="404"/>
      <c r="MUN1" s="404"/>
      <c r="MUO1" s="404"/>
      <c r="MUP1" s="404"/>
      <c r="MUQ1" s="404"/>
      <c r="MUR1" s="405"/>
      <c r="MUS1" s="432" t="s">
        <v>41</v>
      </c>
      <c r="MUT1" s="404"/>
      <c r="MUU1" s="404"/>
      <c r="MUV1" s="404"/>
      <c r="MUW1" s="404"/>
      <c r="MUX1" s="404"/>
      <c r="MUY1" s="404"/>
      <c r="MUZ1" s="405"/>
      <c r="MVA1" s="432" t="s">
        <v>41</v>
      </c>
      <c r="MVB1" s="404"/>
      <c r="MVC1" s="404"/>
      <c r="MVD1" s="404"/>
      <c r="MVE1" s="404"/>
      <c r="MVF1" s="404"/>
      <c r="MVG1" s="404"/>
      <c r="MVH1" s="405"/>
      <c r="MVI1" s="432" t="s">
        <v>41</v>
      </c>
      <c r="MVJ1" s="404"/>
      <c r="MVK1" s="404"/>
      <c r="MVL1" s="404"/>
      <c r="MVM1" s="404"/>
      <c r="MVN1" s="404"/>
      <c r="MVO1" s="404"/>
      <c r="MVP1" s="405"/>
      <c r="MVQ1" s="432" t="s">
        <v>41</v>
      </c>
      <c r="MVR1" s="404"/>
      <c r="MVS1" s="404"/>
      <c r="MVT1" s="404"/>
      <c r="MVU1" s="404"/>
      <c r="MVV1" s="404"/>
      <c r="MVW1" s="404"/>
      <c r="MVX1" s="405"/>
      <c r="MVY1" s="432" t="s">
        <v>41</v>
      </c>
      <c r="MVZ1" s="404"/>
      <c r="MWA1" s="404"/>
      <c r="MWB1" s="404"/>
      <c r="MWC1" s="404"/>
      <c r="MWD1" s="404"/>
      <c r="MWE1" s="404"/>
      <c r="MWF1" s="405"/>
      <c r="MWG1" s="432" t="s">
        <v>41</v>
      </c>
      <c r="MWH1" s="404"/>
      <c r="MWI1" s="404"/>
      <c r="MWJ1" s="404"/>
      <c r="MWK1" s="404"/>
      <c r="MWL1" s="404"/>
      <c r="MWM1" s="404"/>
      <c r="MWN1" s="405"/>
      <c r="MWO1" s="432" t="s">
        <v>41</v>
      </c>
      <c r="MWP1" s="404"/>
      <c r="MWQ1" s="404"/>
      <c r="MWR1" s="404"/>
      <c r="MWS1" s="404"/>
      <c r="MWT1" s="404"/>
      <c r="MWU1" s="404"/>
      <c r="MWV1" s="405"/>
      <c r="MWW1" s="432" t="s">
        <v>41</v>
      </c>
      <c r="MWX1" s="404"/>
      <c r="MWY1" s="404"/>
      <c r="MWZ1" s="404"/>
      <c r="MXA1" s="404"/>
      <c r="MXB1" s="404"/>
      <c r="MXC1" s="404"/>
      <c r="MXD1" s="405"/>
      <c r="MXE1" s="432" t="s">
        <v>41</v>
      </c>
      <c r="MXF1" s="404"/>
      <c r="MXG1" s="404"/>
      <c r="MXH1" s="404"/>
      <c r="MXI1" s="404"/>
      <c r="MXJ1" s="404"/>
      <c r="MXK1" s="404"/>
      <c r="MXL1" s="405"/>
      <c r="MXM1" s="432" t="s">
        <v>41</v>
      </c>
      <c r="MXN1" s="404"/>
      <c r="MXO1" s="404"/>
      <c r="MXP1" s="404"/>
      <c r="MXQ1" s="404"/>
      <c r="MXR1" s="404"/>
      <c r="MXS1" s="404"/>
      <c r="MXT1" s="405"/>
      <c r="MXU1" s="432" t="s">
        <v>41</v>
      </c>
      <c r="MXV1" s="404"/>
      <c r="MXW1" s="404"/>
      <c r="MXX1" s="404"/>
      <c r="MXY1" s="404"/>
      <c r="MXZ1" s="404"/>
      <c r="MYA1" s="404"/>
      <c r="MYB1" s="405"/>
      <c r="MYC1" s="432" t="s">
        <v>41</v>
      </c>
      <c r="MYD1" s="404"/>
      <c r="MYE1" s="404"/>
      <c r="MYF1" s="404"/>
      <c r="MYG1" s="404"/>
      <c r="MYH1" s="404"/>
      <c r="MYI1" s="404"/>
      <c r="MYJ1" s="405"/>
      <c r="MYK1" s="432" t="s">
        <v>41</v>
      </c>
      <c r="MYL1" s="404"/>
      <c r="MYM1" s="404"/>
      <c r="MYN1" s="404"/>
      <c r="MYO1" s="404"/>
      <c r="MYP1" s="404"/>
      <c r="MYQ1" s="404"/>
      <c r="MYR1" s="405"/>
      <c r="MYS1" s="432" t="s">
        <v>41</v>
      </c>
      <c r="MYT1" s="404"/>
      <c r="MYU1" s="404"/>
      <c r="MYV1" s="404"/>
      <c r="MYW1" s="404"/>
      <c r="MYX1" s="404"/>
      <c r="MYY1" s="404"/>
      <c r="MYZ1" s="405"/>
      <c r="MZA1" s="432" t="s">
        <v>41</v>
      </c>
      <c r="MZB1" s="404"/>
      <c r="MZC1" s="404"/>
      <c r="MZD1" s="404"/>
      <c r="MZE1" s="404"/>
      <c r="MZF1" s="404"/>
      <c r="MZG1" s="404"/>
      <c r="MZH1" s="405"/>
      <c r="MZI1" s="432" t="s">
        <v>41</v>
      </c>
      <c r="MZJ1" s="404"/>
      <c r="MZK1" s="404"/>
      <c r="MZL1" s="404"/>
      <c r="MZM1" s="404"/>
      <c r="MZN1" s="404"/>
      <c r="MZO1" s="404"/>
      <c r="MZP1" s="405"/>
      <c r="MZQ1" s="432" t="s">
        <v>41</v>
      </c>
      <c r="MZR1" s="404"/>
      <c r="MZS1" s="404"/>
      <c r="MZT1" s="404"/>
      <c r="MZU1" s="404"/>
      <c r="MZV1" s="404"/>
      <c r="MZW1" s="404"/>
      <c r="MZX1" s="405"/>
      <c r="MZY1" s="432" t="s">
        <v>41</v>
      </c>
      <c r="MZZ1" s="404"/>
      <c r="NAA1" s="404"/>
      <c r="NAB1" s="404"/>
      <c r="NAC1" s="404"/>
      <c r="NAD1" s="404"/>
      <c r="NAE1" s="404"/>
      <c r="NAF1" s="405"/>
      <c r="NAG1" s="432" t="s">
        <v>41</v>
      </c>
      <c r="NAH1" s="404"/>
      <c r="NAI1" s="404"/>
      <c r="NAJ1" s="404"/>
      <c r="NAK1" s="404"/>
      <c r="NAL1" s="404"/>
      <c r="NAM1" s="404"/>
      <c r="NAN1" s="405"/>
      <c r="NAO1" s="432" t="s">
        <v>41</v>
      </c>
      <c r="NAP1" s="404"/>
      <c r="NAQ1" s="404"/>
      <c r="NAR1" s="404"/>
      <c r="NAS1" s="404"/>
      <c r="NAT1" s="404"/>
      <c r="NAU1" s="404"/>
      <c r="NAV1" s="405"/>
      <c r="NAW1" s="432" t="s">
        <v>41</v>
      </c>
      <c r="NAX1" s="404"/>
      <c r="NAY1" s="404"/>
      <c r="NAZ1" s="404"/>
      <c r="NBA1" s="404"/>
      <c r="NBB1" s="404"/>
      <c r="NBC1" s="404"/>
      <c r="NBD1" s="405"/>
      <c r="NBE1" s="432" t="s">
        <v>41</v>
      </c>
      <c r="NBF1" s="404"/>
      <c r="NBG1" s="404"/>
      <c r="NBH1" s="404"/>
      <c r="NBI1" s="404"/>
      <c r="NBJ1" s="404"/>
      <c r="NBK1" s="404"/>
      <c r="NBL1" s="405"/>
      <c r="NBM1" s="432" t="s">
        <v>41</v>
      </c>
      <c r="NBN1" s="404"/>
      <c r="NBO1" s="404"/>
      <c r="NBP1" s="404"/>
      <c r="NBQ1" s="404"/>
      <c r="NBR1" s="404"/>
      <c r="NBS1" s="404"/>
      <c r="NBT1" s="405"/>
      <c r="NBU1" s="432" t="s">
        <v>41</v>
      </c>
      <c r="NBV1" s="404"/>
      <c r="NBW1" s="404"/>
      <c r="NBX1" s="404"/>
      <c r="NBY1" s="404"/>
      <c r="NBZ1" s="404"/>
      <c r="NCA1" s="404"/>
      <c r="NCB1" s="405"/>
      <c r="NCC1" s="432" t="s">
        <v>41</v>
      </c>
      <c r="NCD1" s="404"/>
      <c r="NCE1" s="404"/>
      <c r="NCF1" s="404"/>
      <c r="NCG1" s="404"/>
      <c r="NCH1" s="404"/>
      <c r="NCI1" s="404"/>
      <c r="NCJ1" s="405"/>
      <c r="NCK1" s="432" t="s">
        <v>41</v>
      </c>
      <c r="NCL1" s="404"/>
      <c r="NCM1" s="404"/>
      <c r="NCN1" s="404"/>
      <c r="NCO1" s="404"/>
      <c r="NCP1" s="404"/>
      <c r="NCQ1" s="404"/>
      <c r="NCR1" s="405"/>
      <c r="NCS1" s="432" t="s">
        <v>41</v>
      </c>
      <c r="NCT1" s="404"/>
      <c r="NCU1" s="404"/>
      <c r="NCV1" s="404"/>
      <c r="NCW1" s="404"/>
      <c r="NCX1" s="404"/>
      <c r="NCY1" s="404"/>
      <c r="NCZ1" s="405"/>
      <c r="NDA1" s="432" t="s">
        <v>41</v>
      </c>
      <c r="NDB1" s="404"/>
      <c r="NDC1" s="404"/>
      <c r="NDD1" s="404"/>
      <c r="NDE1" s="404"/>
      <c r="NDF1" s="404"/>
      <c r="NDG1" s="404"/>
      <c r="NDH1" s="405"/>
      <c r="NDI1" s="432" t="s">
        <v>41</v>
      </c>
      <c r="NDJ1" s="404"/>
      <c r="NDK1" s="404"/>
      <c r="NDL1" s="404"/>
      <c r="NDM1" s="404"/>
      <c r="NDN1" s="404"/>
      <c r="NDO1" s="404"/>
      <c r="NDP1" s="405"/>
      <c r="NDQ1" s="432" t="s">
        <v>41</v>
      </c>
      <c r="NDR1" s="404"/>
      <c r="NDS1" s="404"/>
      <c r="NDT1" s="404"/>
      <c r="NDU1" s="404"/>
      <c r="NDV1" s="404"/>
      <c r="NDW1" s="404"/>
      <c r="NDX1" s="405"/>
      <c r="NDY1" s="432" t="s">
        <v>41</v>
      </c>
      <c r="NDZ1" s="404"/>
      <c r="NEA1" s="404"/>
      <c r="NEB1" s="404"/>
      <c r="NEC1" s="404"/>
      <c r="NED1" s="404"/>
      <c r="NEE1" s="404"/>
      <c r="NEF1" s="405"/>
      <c r="NEG1" s="432" t="s">
        <v>41</v>
      </c>
      <c r="NEH1" s="404"/>
      <c r="NEI1" s="404"/>
      <c r="NEJ1" s="404"/>
      <c r="NEK1" s="404"/>
      <c r="NEL1" s="404"/>
      <c r="NEM1" s="404"/>
      <c r="NEN1" s="405"/>
      <c r="NEO1" s="432" t="s">
        <v>41</v>
      </c>
      <c r="NEP1" s="404"/>
      <c r="NEQ1" s="404"/>
      <c r="NER1" s="404"/>
      <c r="NES1" s="404"/>
      <c r="NET1" s="404"/>
      <c r="NEU1" s="404"/>
      <c r="NEV1" s="405"/>
      <c r="NEW1" s="432" t="s">
        <v>41</v>
      </c>
      <c r="NEX1" s="404"/>
      <c r="NEY1" s="404"/>
      <c r="NEZ1" s="404"/>
      <c r="NFA1" s="404"/>
      <c r="NFB1" s="404"/>
      <c r="NFC1" s="404"/>
      <c r="NFD1" s="405"/>
      <c r="NFE1" s="432" t="s">
        <v>41</v>
      </c>
      <c r="NFF1" s="404"/>
      <c r="NFG1" s="404"/>
      <c r="NFH1" s="404"/>
      <c r="NFI1" s="404"/>
      <c r="NFJ1" s="404"/>
      <c r="NFK1" s="404"/>
      <c r="NFL1" s="405"/>
      <c r="NFM1" s="432" t="s">
        <v>41</v>
      </c>
      <c r="NFN1" s="404"/>
      <c r="NFO1" s="404"/>
      <c r="NFP1" s="404"/>
      <c r="NFQ1" s="404"/>
      <c r="NFR1" s="404"/>
      <c r="NFS1" s="404"/>
      <c r="NFT1" s="405"/>
      <c r="NFU1" s="432" t="s">
        <v>41</v>
      </c>
      <c r="NFV1" s="404"/>
      <c r="NFW1" s="404"/>
      <c r="NFX1" s="404"/>
      <c r="NFY1" s="404"/>
      <c r="NFZ1" s="404"/>
      <c r="NGA1" s="404"/>
      <c r="NGB1" s="405"/>
      <c r="NGC1" s="432" t="s">
        <v>41</v>
      </c>
      <c r="NGD1" s="404"/>
      <c r="NGE1" s="404"/>
      <c r="NGF1" s="404"/>
      <c r="NGG1" s="404"/>
      <c r="NGH1" s="404"/>
      <c r="NGI1" s="404"/>
      <c r="NGJ1" s="405"/>
      <c r="NGK1" s="432" t="s">
        <v>41</v>
      </c>
      <c r="NGL1" s="404"/>
      <c r="NGM1" s="404"/>
      <c r="NGN1" s="404"/>
      <c r="NGO1" s="404"/>
      <c r="NGP1" s="404"/>
      <c r="NGQ1" s="404"/>
      <c r="NGR1" s="405"/>
      <c r="NGS1" s="432" t="s">
        <v>41</v>
      </c>
      <c r="NGT1" s="404"/>
      <c r="NGU1" s="404"/>
      <c r="NGV1" s="404"/>
      <c r="NGW1" s="404"/>
      <c r="NGX1" s="404"/>
      <c r="NGY1" s="404"/>
      <c r="NGZ1" s="405"/>
      <c r="NHA1" s="432" t="s">
        <v>41</v>
      </c>
      <c r="NHB1" s="404"/>
      <c r="NHC1" s="404"/>
      <c r="NHD1" s="404"/>
      <c r="NHE1" s="404"/>
      <c r="NHF1" s="404"/>
      <c r="NHG1" s="404"/>
      <c r="NHH1" s="405"/>
      <c r="NHI1" s="432" t="s">
        <v>41</v>
      </c>
      <c r="NHJ1" s="404"/>
      <c r="NHK1" s="404"/>
      <c r="NHL1" s="404"/>
      <c r="NHM1" s="404"/>
      <c r="NHN1" s="404"/>
      <c r="NHO1" s="404"/>
      <c r="NHP1" s="405"/>
      <c r="NHQ1" s="432" t="s">
        <v>41</v>
      </c>
      <c r="NHR1" s="404"/>
      <c r="NHS1" s="404"/>
      <c r="NHT1" s="404"/>
      <c r="NHU1" s="404"/>
      <c r="NHV1" s="404"/>
      <c r="NHW1" s="404"/>
      <c r="NHX1" s="405"/>
      <c r="NHY1" s="432" t="s">
        <v>41</v>
      </c>
      <c r="NHZ1" s="404"/>
      <c r="NIA1" s="404"/>
      <c r="NIB1" s="404"/>
      <c r="NIC1" s="404"/>
      <c r="NID1" s="404"/>
      <c r="NIE1" s="404"/>
      <c r="NIF1" s="405"/>
      <c r="NIG1" s="432" t="s">
        <v>41</v>
      </c>
      <c r="NIH1" s="404"/>
      <c r="NII1" s="404"/>
      <c r="NIJ1" s="404"/>
      <c r="NIK1" s="404"/>
      <c r="NIL1" s="404"/>
      <c r="NIM1" s="404"/>
      <c r="NIN1" s="405"/>
      <c r="NIO1" s="432" t="s">
        <v>41</v>
      </c>
      <c r="NIP1" s="404"/>
      <c r="NIQ1" s="404"/>
      <c r="NIR1" s="404"/>
      <c r="NIS1" s="404"/>
      <c r="NIT1" s="404"/>
      <c r="NIU1" s="404"/>
      <c r="NIV1" s="405"/>
      <c r="NIW1" s="432" t="s">
        <v>41</v>
      </c>
      <c r="NIX1" s="404"/>
      <c r="NIY1" s="404"/>
      <c r="NIZ1" s="404"/>
      <c r="NJA1" s="404"/>
      <c r="NJB1" s="404"/>
      <c r="NJC1" s="404"/>
      <c r="NJD1" s="405"/>
      <c r="NJE1" s="432" t="s">
        <v>41</v>
      </c>
      <c r="NJF1" s="404"/>
      <c r="NJG1" s="404"/>
      <c r="NJH1" s="404"/>
      <c r="NJI1" s="404"/>
      <c r="NJJ1" s="404"/>
      <c r="NJK1" s="404"/>
      <c r="NJL1" s="405"/>
      <c r="NJM1" s="432" t="s">
        <v>41</v>
      </c>
      <c r="NJN1" s="404"/>
      <c r="NJO1" s="404"/>
      <c r="NJP1" s="404"/>
      <c r="NJQ1" s="404"/>
      <c r="NJR1" s="404"/>
      <c r="NJS1" s="404"/>
      <c r="NJT1" s="405"/>
      <c r="NJU1" s="432" t="s">
        <v>41</v>
      </c>
      <c r="NJV1" s="404"/>
      <c r="NJW1" s="404"/>
      <c r="NJX1" s="404"/>
      <c r="NJY1" s="404"/>
      <c r="NJZ1" s="404"/>
      <c r="NKA1" s="404"/>
      <c r="NKB1" s="405"/>
      <c r="NKC1" s="432" t="s">
        <v>41</v>
      </c>
      <c r="NKD1" s="404"/>
      <c r="NKE1" s="404"/>
      <c r="NKF1" s="404"/>
      <c r="NKG1" s="404"/>
      <c r="NKH1" s="404"/>
      <c r="NKI1" s="404"/>
      <c r="NKJ1" s="405"/>
      <c r="NKK1" s="432" t="s">
        <v>41</v>
      </c>
      <c r="NKL1" s="404"/>
      <c r="NKM1" s="404"/>
      <c r="NKN1" s="404"/>
      <c r="NKO1" s="404"/>
      <c r="NKP1" s="404"/>
      <c r="NKQ1" s="404"/>
      <c r="NKR1" s="405"/>
      <c r="NKS1" s="432" t="s">
        <v>41</v>
      </c>
      <c r="NKT1" s="404"/>
      <c r="NKU1" s="404"/>
      <c r="NKV1" s="404"/>
      <c r="NKW1" s="404"/>
      <c r="NKX1" s="404"/>
      <c r="NKY1" s="404"/>
      <c r="NKZ1" s="405"/>
      <c r="NLA1" s="432" t="s">
        <v>41</v>
      </c>
      <c r="NLB1" s="404"/>
      <c r="NLC1" s="404"/>
      <c r="NLD1" s="404"/>
      <c r="NLE1" s="404"/>
      <c r="NLF1" s="404"/>
      <c r="NLG1" s="404"/>
      <c r="NLH1" s="405"/>
      <c r="NLI1" s="432" t="s">
        <v>41</v>
      </c>
      <c r="NLJ1" s="404"/>
      <c r="NLK1" s="404"/>
      <c r="NLL1" s="404"/>
      <c r="NLM1" s="404"/>
      <c r="NLN1" s="404"/>
      <c r="NLO1" s="404"/>
      <c r="NLP1" s="405"/>
      <c r="NLQ1" s="432" t="s">
        <v>41</v>
      </c>
      <c r="NLR1" s="404"/>
      <c r="NLS1" s="404"/>
      <c r="NLT1" s="404"/>
      <c r="NLU1" s="404"/>
      <c r="NLV1" s="404"/>
      <c r="NLW1" s="404"/>
      <c r="NLX1" s="405"/>
      <c r="NLY1" s="432" t="s">
        <v>41</v>
      </c>
      <c r="NLZ1" s="404"/>
      <c r="NMA1" s="404"/>
      <c r="NMB1" s="404"/>
      <c r="NMC1" s="404"/>
      <c r="NMD1" s="404"/>
      <c r="NME1" s="404"/>
      <c r="NMF1" s="405"/>
      <c r="NMG1" s="432" t="s">
        <v>41</v>
      </c>
      <c r="NMH1" s="404"/>
      <c r="NMI1" s="404"/>
      <c r="NMJ1" s="404"/>
      <c r="NMK1" s="404"/>
      <c r="NML1" s="404"/>
      <c r="NMM1" s="404"/>
      <c r="NMN1" s="405"/>
      <c r="NMO1" s="432" t="s">
        <v>41</v>
      </c>
      <c r="NMP1" s="404"/>
      <c r="NMQ1" s="404"/>
      <c r="NMR1" s="404"/>
      <c r="NMS1" s="404"/>
      <c r="NMT1" s="404"/>
      <c r="NMU1" s="404"/>
      <c r="NMV1" s="405"/>
      <c r="NMW1" s="432" t="s">
        <v>41</v>
      </c>
      <c r="NMX1" s="404"/>
      <c r="NMY1" s="404"/>
      <c r="NMZ1" s="404"/>
      <c r="NNA1" s="404"/>
      <c r="NNB1" s="404"/>
      <c r="NNC1" s="404"/>
      <c r="NND1" s="405"/>
      <c r="NNE1" s="432" t="s">
        <v>41</v>
      </c>
      <c r="NNF1" s="404"/>
      <c r="NNG1" s="404"/>
      <c r="NNH1" s="404"/>
      <c r="NNI1" s="404"/>
      <c r="NNJ1" s="404"/>
      <c r="NNK1" s="404"/>
      <c r="NNL1" s="405"/>
      <c r="NNM1" s="432" t="s">
        <v>41</v>
      </c>
      <c r="NNN1" s="404"/>
      <c r="NNO1" s="404"/>
      <c r="NNP1" s="404"/>
      <c r="NNQ1" s="404"/>
      <c r="NNR1" s="404"/>
      <c r="NNS1" s="404"/>
      <c r="NNT1" s="405"/>
      <c r="NNU1" s="432" t="s">
        <v>41</v>
      </c>
      <c r="NNV1" s="404"/>
      <c r="NNW1" s="404"/>
      <c r="NNX1" s="404"/>
      <c r="NNY1" s="404"/>
      <c r="NNZ1" s="404"/>
      <c r="NOA1" s="404"/>
      <c r="NOB1" s="405"/>
      <c r="NOC1" s="432" t="s">
        <v>41</v>
      </c>
      <c r="NOD1" s="404"/>
      <c r="NOE1" s="404"/>
      <c r="NOF1" s="404"/>
      <c r="NOG1" s="404"/>
      <c r="NOH1" s="404"/>
      <c r="NOI1" s="404"/>
      <c r="NOJ1" s="405"/>
      <c r="NOK1" s="432" t="s">
        <v>41</v>
      </c>
      <c r="NOL1" s="404"/>
      <c r="NOM1" s="404"/>
      <c r="NON1" s="404"/>
      <c r="NOO1" s="404"/>
      <c r="NOP1" s="404"/>
      <c r="NOQ1" s="404"/>
      <c r="NOR1" s="405"/>
      <c r="NOS1" s="432" t="s">
        <v>41</v>
      </c>
      <c r="NOT1" s="404"/>
      <c r="NOU1" s="404"/>
      <c r="NOV1" s="404"/>
      <c r="NOW1" s="404"/>
      <c r="NOX1" s="404"/>
      <c r="NOY1" s="404"/>
      <c r="NOZ1" s="405"/>
      <c r="NPA1" s="432" t="s">
        <v>41</v>
      </c>
      <c r="NPB1" s="404"/>
      <c r="NPC1" s="404"/>
      <c r="NPD1" s="404"/>
      <c r="NPE1" s="404"/>
      <c r="NPF1" s="404"/>
      <c r="NPG1" s="404"/>
      <c r="NPH1" s="405"/>
      <c r="NPI1" s="432" t="s">
        <v>41</v>
      </c>
      <c r="NPJ1" s="404"/>
      <c r="NPK1" s="404"/>
      <c r="NPL1" s="404"/>
      <c r="NPM1" s="404"/>
      <c r="NPN1" s="404"/>
      <c r="NPO1" s="404"/>
      <c r="NPP1" s="405"/>
      <c r="NPQ1" s="432" t="s">
        <v>41</v>
      </c>
      <c r="NPR1" s="404"/>
      <c r="NPS1" s="404"/>
      <c r="NPT1" s="404"/>
      <c r="NPU1" s="404"/>
      <c r="NPV1" s="404"/>
      <c r="NPW1" s="404"/>
      <c r="NPX1" s="405"/>
      <c r="NPY1" s="432" t="s">
        <v>41</v>
      </c>
      <c r="NPZ1" s="404"/>
      <c r="NQA1" s="404"/>
      <c r="NQB1" s="404"/>
      <c r="NQC1" s="404"/>
      <c r="NQD1" s="404"/>
      <c r="NQE1" s="404"/>
      <c r="NQF1" s="405"/>
      <c r="NQG1" s="432" t="s">
        <v>41</v>
      </c>
      <c r="NQH1" s="404"/>
      <c r="NQI1" s="404"/>
      <c r="NQJ1" s="404"/>
      <c r="NQK1" s="404"/>
      <c r="NQL1" s="404"/>
      <c r="NQM1" s="404"/>
      <c r="NQN1" s="405"/>
      <c r="NQO1" s="432" t="s">
        <v>41</v>
      </c>
      <c r="NQP1" s="404"/>
      <c r="NQQ1" s="404"/>
      <c r="NQR1" s="404"/>
      <c r="NQS1" s="404"/>
      <c r="NQT1" s="404"/>
      <c r="NQU1" s="404"/>
      <c r="NQV1" s="405"/>
      <c r="NQW1" s="432" t="s">
        <v>41</v>
      </c>
      <c r="NQX1" s="404"/>
      <c r="NQY1" s="404"/>
      <c r="NQZ1" s="404"/>
      <c r="NRA1" s="404"/>
      <c r="NRB1" s="404"/>
      <c r="NRC1" s="404"/>
      <c r="NRD1" s="405"/>
      <c r="NRE1" s="432" t="s">
        <v>41</v>
      </c>
      <c r="NRF1" s="404"/>
      <c r="NRG1" s="404"/>
      <c r="NRH1" s="404"/>
      <c r="NRI1" s="404"/>
      <c r="NRJ1" s="404"/>
      <c r="NRK1" s="404"/>
      <c r="NRL1" s="405"/>
      <c r="NRM1" s="432" t="s">
        <v>41</v>
      </c>
      <c r="NRN1" s="404"/>
      <c r="NRO1" s="404"/>
      <c r="NRP1" s="404"/>
      <c r="NRQ1" s="404"/>
      <c r="NRR1" s="404"/>
      <c r="NRS1" s="404"/>
      <c r="NRT1" s="405"/>
      <c r="NRU1" s="432" t="s">
        <v>41</v>
      </c>
      <c r="NRV1" s="404"/>
      <c r="NRW1" s="404"/>
      <c r="NRX1" s="404"/>
      <c r="NRY1" s="404"/>
      <c r="NRZ1" s="404"/>
      <c r="NSA1" s="404"/>
      <c r="NSB1" s="405"/>
      <c r="NSC1" s="432" t="s">
        <v>41</v>
      </c>
      <c r="NSD1" s="404"/>
      <c r="NSE1" s="404"/>
      <c r="NSF1" s="404"/>
      <c r="NSG1" s="404"/>
      <c r="NSH1" s="404"/>
      <c r="NSI1" s="404"/>
      <c r="NSJ1" s="405"/>
      <c r="NSK1" s="432" t="s">
        <v>41</v>
      </c>
      <c r="NSL1" s="404"/>
      <c r="NSM1" s="404"/>
      <c r="NSN1" s="404"/>
      <c r="NSO1" s="404"/>
      <c r="NSP1" s="404"/>
      <c r="NSQ1" s="404"/>
      <c r="NSR1" s="405"/>
      <c r="NSS1" s="432" t="s">
        <v>41</v>
      </c>
      <c r="NST1" s="404"/>
      <c r="NSU1" s="404"/>
      <c r="NSV1" s="404"/>
      <c r="NSW1" s="404"/>
      <c r="NSX1" s="404"/>
      <c r="NSY1" s="404"/>
      <c r="NSZ1" s="405"/>
      <c r="NTA1" s="432" t="s">
        <v>41</v>
      </c>
      <c r="NTB1" s="404"/>
      <c r="NTC1" s="404"/>
      <c r="NTD1" s="404"/>
      <c r="NTE1" s="404"/>
      <c r="NTF1" s="404"/>
      <c r="NTG1" s="404"/>
      <c r="NTH1" s="405"/>
      <c r="NTI1" s="432" t="s">
        <v>41</v>
      </c>
      <c r="NTJ1" s="404"/>
      <c r="NTK1" s="404"/>
      <c r="NTL1" s="404"/>
      <c r="NTM1" s="404"/>
      <c r="NTN1" s="404"/>
      <c r="NTO1" s="404"/>
      <c r="NTP1" s="405"/>
      <c r="NTQ1" s="432" t="s">
        <v>41</v>
      </c>
      <c r="NTR1" s="404"/>
      <c r="NTS1" s="404"/>
      <c r="NTT1" s="404"/>
      <c r="NTU1" s="404"/>
      <c r="NTV1" s="404"/>
      <c r="NTW1" s="404"/>
      <c r="NTX1" s="405"/>
      <c r="NTY1" s="432" t="s">
        <v>41</v>
      </c>
      <c r="NTZ1" s="404"/>
      <c r="NUA1" s="404"/>
      <c r="NUB1" s="404"/>
      <c r="NUC1" s="404"/>
      <c r="NUD1" s="404"/>
      <c r="NUE1" s="404"/>
      <c r="NUF1" s="405"/>
      <c r="NUG1" s="432" t="s">
        <v>41</v>
      </c>
      <c r="NUH1" s="404"/>
      <c r="NUI1" s="404"/>
      <c r="NUJ1" s="404"/>
      <c r="NUK1" s="404"/>
      <c r="NUL1" s="404"/>
      <c r="NUM1" s="404"/>
      <c r="NUN1" s="405"/>
      <c r="NUO1" s="432" t="s">
        <v>41</v>
      </c>
      <c r="NUP1" s="404"/>
      <c r="NUQ1" s="404"/>
      <c r="NUR1" s="404"/>
      <c r="NUS1" s="404"/>
      <c r="NUT1" s="404"/>
      <c r="NUU1" s="404"/>
      <c r="NUV1" s="405"/>
      <c r="NUW1" s="432" t="s">
        <v>41</v>
      </c>
      <c r="NUX1" s="404"/>
      <c r="NUY1" s="404"/>
      <c r="NUZ1" s="404"/>
      <c r="NVA1" s="404"/>
      <c r="NVB1" s="404"/>
      <c r="NVC1" s="404"/>
      <c r="NVD1" s="405"/>
      <c r="NVE1" s="432" t="s">
        <v>41</v>
      </c>
      <c r="NVF1" s="404"/>
      <c r="NVG1" s="404"/>
      <c r="NVH1" s="404"/>
      <c r="NVI1" s="404"/>
      <c r="NVJ1" s="404"/>
      <c r="NVK1" s="404"/>
      <c r="NVL1" s="405"/>
      <c r="NVM1" s="432" t="s">
        <v>41</v>
      </c>
      <c r="NVN1" s="404"/>
      <c r="NVO1" s="404"/>
      <c r="NVP1" s="404"/>
      <c r="NVQ1" s="404"/>
      <c r="NVR1" s="404"/>
      <c r="NVS1" s="404"/>
      <c r="NVT1" s="405"/>
      <c r="NVU1" s="432" t="s">
        <v>41</v>
      </c>
      <c r="NVV1" s="404"/>
      <c r="NVW1" s="404"/>
      <c r="NVX1" s="404"/>
      <c r="NVY1" s="404"/>
      <c r="NVZ1" s="404"/>
      <c r="NWA1" s="404"/>
      <c r="NWB1" s="405"/>
      <c r="NWC1" s="432" t="s">
        <v>41</v>
      </c>
      <c r="NWD1" s="404"/>
      <c r="NWE1" s="404"/>
      <c r="NWF1" s="404"/>
      <c r="NWG1" s="404"/>
      <c r="NWH1" s="404"/>
      <c r="NWI1" s="404"/>
      <c r="NWJ1" s="405"/>
      <c r="NWK1" s="432" t="s">
        <v>41</v>
      </c>
      <c r="NWL1" s="404"/>
      <c r="NWM1" s="404"/>
      <c r="NWN1" s="404"/>
      <c r="NWO1" s="404"/>
      <c r="NWP1" s="404"/>
      <c r="NWQ1" s="404"/>
      <c r="NWR1" s="405"/>
      <c r="NWS1" s="432" t="s">
        <v>41</v>
      </c>
      <c r="NWT1" s="404"/>
      <c r="NWU1" s="404"/>
      <c r="NWV1" s="404"/>
      <c r="NWW1" s="404"/>
      <c r="NWX1" s="404"/>
      <c r="NWY1" s="404"/>
      <c r="NWZ1" s="405"/>
      <c r="NXA1" s="432" t="s">
        <v>41</v>
      </c>
      <c r="NXB1" s="404"/>
      <c r="NXC1" s="404"/>
      <c r="NXD1" s="404"/>
      <c r="NXE1" s="404"/>
      <c r="NXF1" s="404"/>
      <c r="NXG1" s="404"/>
      <c r="NXH1" s="405"/>
      <c r="NXI1" s="432" t="s">
        <v>41</v>
      </c>
      <c r="NXJ1" s="404"/>
      <c r="NXK1" s="404"/>
      <c r="NXL1" s="404"/>
      <c r="NXM1" s="404"/>
      <c r="NXN1" s="404"/>
      <c r="NXO1" s="404"/>
      <c r="NXP1" s="405"/>
      <c r="NXQ1" s="432" t="s">
        <v>41</v>
      </c>
      <c r="NXR1" s="404"/>
      <c r="NXS1" s="404"/>
      <c r="NXT1" s="404"/>
      <c r="NXU1" s="404"/>
      <c r="NXV1" s="404"/>
      <c r="NXW1" s="404"/>
      <c r="NXX1" s="405"/>
      <c r="NXY1" s="432" t="s">
        <v>41</v>
      </c>
      <c r="NXZ1" s="404"/>
      <c r="NYA1" s="404"/>
      <c r="NYB1" s="404"/>
      <c r="NYC1" s="404"/>
      <c r="NYD1" s="404"/>
      <c r="NYE1" s="404"/>
      <c r="NYF1" s="405"/>
      <c r="NYG1" s="432" t="s">
        <v>41</v>
      </c>
      <c r="NYH1" s="404"/>
      <c r="NYI1" s="404"/>
      <c r="NYJ1" s="404"/>
      <c r="NYK1" s="404"/>
      <c r="NYL1" s="404"/>
      <c r="NYM1" s="404"/>
      <c r="NYN1" s="405"/>
      <c r="NYO1" s="432" t="s">
        <v>41</v>
      </c>
      <c r="NYP1" s="404"/>
      <c r="NYQ1" s="404"/>
      <c r="NYR1" s="404"/>
      <c r="NYS1" s="404"/>
      <c r="NYT1" s="404"/>
      <c r="NYU1" s="404"/>
      <c r="NYV1" s="405"/>
      <c r="NYW1" s="432" t="s">
        <v>41</v>
      </c>
      <c r="NYX1" s="404"/>
      <c r="NYY1" s="404"/>
      <c r="NYZ1" s="404"/>
      <c r="NZA1" s="404"/>
      <c r="NZB1" s="404"/>
      <c r="NZC1" s="404"/>
      <c r="NZD1" s="405"/>
      <c r="NZE1" s="432" t="s">
        <v>41</v>
      </c>
      <c r="NZF1" s="404"/>
      <c r="NZG1" s="404"/>
      <c r="NZH1" s="404"/>
      <c r="NZI1" s="404"/>
      <c r="NZJ1" s="404"/>
      <c r="NZK1" s="404"/>
      <c r="NZL1" s="405"/>
      <c r="NZM1" s="432" t="s">
        <v>41</v>
      </c>
      <c r="NZN1" s="404"/>
      <c r="NZO1" s="404"/>
      <c r="NZP1" s="404"/>
      <c r="NZQ1" s="404"/>
      <c r="NZR1" s="404"/>
      <c r="NZS1" s="404"/>
      <c r="NZT1" s="405"/>
      <c r="NZU1" s="432" t="s">
        <v>41</v>
      </c>
      <c r="NZV1" s="404"/>
      <c r="NZW1" s="404"/>
      <c r="NZX1" s="404"/>
      <c r="NZY1" s="404"/>
      <c r="NZZ1" s="404"/>
      <c r="OAA1" s="404"/>
      <c r="OAB1" s="405"/>
      <c r="OAC1" s="432" t="s">
        <v>41</v>
      </c>
      <c r="OAD1" s="404"/>
      <c r="OAE1" s="404"/>
      <c r="OAF1" s="404"/>
      <c r="OAG1" s="404"/>
      <c r="OAH1" s="404"/>
      <c r="OAI1" s="404"/>
      <c r="OAJ1" s="405"/>
      <c r="OAK1" s="432" t="s">
        <v>41</v>
      </c>
      <c r="OAL1" s="404"/>
      <c r="OAM1" s="404"/>
      <c r="OAN1" s="404"/>
      <c r="OAO1" s="404"/>
      <c r="OAP1" s="404"/>
      <c r="OAQ1" s="404"/>
      <c r="OAR1" s="405"/>
      <c r="OAS1" s="432" t="s">
        <v>41</v>
      </c>
      <c r="OAT1" s="404"/>
      <c r="OAU1" s="404"/>
      <c r="OAV1" s="404"/>
      <c r="OAW1" s="404"/>
      <c r="OAX1" s="404"/>
      <c r="OAY1" s="404"/>
      <c r="OAZ1" s="405"/>
      <c r="OBA1" s="432" t="s">
        <v>41</v>
      </c>
      <c r="OBB1" s="404"/>
      <c r="OBC1" s="404"/>
      <c r="OBD1" s="404"/>
      <c r="OBE1" s="404"/>
      <c r="OBF1" s="404"/>
      <c r="OBG1" s="404"/>
      <c r="OBH1" s="405"/>
      <c r="OBI1" s="432" t="s">
        <v>41</v>
      </c>
      <c r="OBJ1" s="404"/>
      <c r="OBK1" s="404"/>
      <c r="OBL1" s="404"/>
      <c r="OBM1" s="404"/>
      <c r="OBN1" s="404"/>
      <c r="OBO1" s="404"/>
      <c r="OBP1" s="405"/>
      <c r="OBQ1" s="432" t="s">
        <v>41</v>
      </c>
      <c r="OBR1" s="404"/>
      <c r="OBS1" s="404"/>
      <c r="OBT1" s="404"/>
      <c r="OBU1" s="404"/>
      <c r="OBV1" s="404"/>
      <c r="OBW1" s="404"/>
      <c r="OBX1" s="405"/>
      <c r="OBY1" s="432" t="s">
        <v>41</v>
      </c>
      <c r="OBZ1" s="404"/>
      <c r="OCA1" s="404"/>
      <c r="OCB1" s="404"/>
      <c r="OCC1" s="404"/>
      <c r="OCD1" s="404"/>
      <c r="OCE1" s="404"/>
      <c r="OCF1" s="405"/>
      <c r="OCG1" s="432" t="s">
        <v>41</v>
      </c>
      <c r="OCH1" s="404"/>
      <c r="OCI1" s="404"/>
      <c r="OCJ1" s="404"/>
      <c r="OCK1" s="404"/>
      <c r="OCL1" s="404"/>
      <c r="OCM1" s="404"/>
      <c r="OCN1" s="405"/>
      <c r="OCO1" s="432" t="s">
        <v>41</v>
      </c>
      <c r="OCP1" s="404"/>
      <c r="OCQ1" s="404"/>
      <c r="OCR1" s="404"/>
      <c r="OCS1" s="404"/>
      <c r="OCT1" s="404"/>
      <c r="OCU1" s="404"/>
      <c r="OCV1" s="405"/>
      <c r="OCW1" s="432" t="s">
        <v>41</v>
      </c>
      <c r="OCX1" s="404"/>
      <c r="OCY1" s="404"/>
      <c r="OCZ1" s="404"/>
      <c r="ODA1" s="404"/>
      <c r="ODB1" s="404"/>
      <c r="ODC1" s="404"/>
      <c r="ODD1" s="405"/>
      <c r="ODE1" s="432" t="s">
        <v>41</v>
      </c>
      <c r="ODF1" s="404"/>
      <c r="ODG1" s="404"/>
      <c r="ODH1" s="404"/>
      <c r="ODI1" s="404"/>
      <c r="ODJ1" s="404"/>
      <c r="ODK1" s="404"/>
      <c r="ODL1" s="405"/>
      <c r="ODM1" s="432" t="s">
        <v>41</v>
      </c>
      <c r="ODN1" s="404"/>
      <c r="ODO1" s="404"/>
      <c r="ODP1" s="404"/>
      <c r="ODQ1" s="404"/>
      <c r="ODR1" s="404"/>
      <c r="ODS1" s="404"/>
      <c r="ODT1" s="405"/>
      <c r="ODU1" s="432" t="s">
        <v>41</v>
      </c>
      <c r="ODV1" s="404"/>
      <c r="ODW1" s="404"/>
      <c r="ODX1" s="404"/>
      <c r="ODY1" s="404"/>
      <c r="ODZ1" s="404"/>
      <c r="OEA1" s="404"/>
      <c r="OEB1" s="405"/>
      <c r="OEC1" s="432" t="s">
        <v>41</v>
      </c>
      <c r="OED1" s="404"/>
      <c r="OEE1" s="404"/>
      <c r="OEF1" s="404"/>
      <c r="OEG1" s="404"/>
      <c r="OEH1" s="404"/>
      <c r="OEI1" s="404"/>
      <c r="OEJ1" s="405"/>
      <c r="OEK1" s="432" t="s">
        <v>41</v>
      </c>
      <c r="OEL1" s="404"/>
      <c r="OEM1" s="404"/>
      <c r="OEN1" s="404"/>
      <c r="OEO1" s="404"/>
      <c r="OEP1" s="404"/>
      <c r="OEQ1" s="404"/>
      <c r="OER1" s="405"/>
      <c r="OES1" s="432" t="s">
        <v>41</v>
      </c>
      <c r="OET1" s="404"/>
      <c r="OEU1" s="404"/>
      <c r="OEV1" s="404"/>
      <c r="OEW1" s="404"/>
      <c r="OEX1" s="404"/>
      <c r="OEY1" s="404"/>
      <c r="OEZ1" s="405"/>
      <c r="OFA1" s="432" t="s">
        <v>41</v>
      </c>
      <c r="OFB1" s="404"/>
      <c r="OFC1" s="404"/>
      <c r="OFD1" s="404"/>
      <c r="OFE1" s="404"/>
      <c r="OFF1" s="404"/>
      <c r="OFG1" s="404"/>
      <c r="OFH1" s="405"/>
      <c r="OFI1" s="432" t="s">
        <v>41</v>
      </c>
      <c r="OFJ1" s="404"/>
      <c r="OFK1" s="404"/>
      <c r="OFL1" s="404"/>
      <c r="OFM1" s="404"/>
      <c r="OFN1" s="404"/>
      <c r="OFO1" s="404"/>
      <c r="OFP1" s="405"/>
      <c r="OFQ1" s="432" t="s">
        <v>41</v>
      </c>
      <c r="OFR1" s="404"/>
      <c r="OFS1" s="404"/>
      <c r="OFT1" s="404"/>
      <c r="OFU1" s="404"/>
      <c r="OFV1" s="404"/>
      <c r="OFW1" s="404"/>
      <c r="OFX1" s="405"/>
      <c r="OFY1" s="432" t="s">
        <v>41</v>
      </c>
      <c r="OFZ1" s="404"/>
      <c r="OGA1" s="404"/>
      <c r="OGB1" s="404"/>
      <c r="OGC1" s="404"/>
      <c r="OGD1" s="404"/>
      <c r="OGE1" s="404"/>
      <c r="OGF1" s="405"/>
      <c r="OGG1" s="432" t="s">
        <v>41</v>
      </c>
      <c r="OGH1" s="404"/>
      <c r="OGI1" s="404"/>
      <c r="OGJ1" s="404"/>
      <c r="OGK1" s="404"/>
      <c r="OGL1" s="404"/>
      <c r="OGM1" s="404"/>
      <c r="OGN1" s="405"/>
      <c r="OGO1" s="432" t="s">
        <v>41</v>
      </c>
      <c r="OGP1" s="404"/>
      <c r="OGQ1" s="404"/>
      <c r="OGR1" s="404"/>
      <c r="OGS1" s="404"/>
      <c r="OGT1" s="404"/>
      <c r="OGU1" s="404"/>
      <c r="OGV1" s="405"/>
      <c r="OGW1" s="432" t="s">
        <v>41</v>
      </c>
      <c r="OGX1" s="404"/>
      <c r="OGY1" s="404"/>
      <c r="OGZ1" s="404"/>
      <c r="OHA1" s="404"/>
      <c r="OHB1" s="404"/>
      <c r="OHC1" s="404"/>
      <c r="OHD1" s="405"/>
      <c r="OHE1" s="432" t="s">
        <v>41</v>
      </c>
      <c r="OHF1" s="404"/>
      <c r="OHG1" s="404"/>
      <c r="OHH1" s="404"/>
      <c r="OHI1" s="404"/>
      <c r="OHJ1" s="404"/>
      <c r="OHK1" s="404"/>
      <c r="OHL1" s="405"/>
      <c r="OHM1" s="432" t="s">
        <v>41</v>
      </c>
      <c r="OHN1" s="404"/>
      <c r="OHO1" s="404"/>
      <c r="OHP1" s="404"/>
      <c r="OHQ1" s="404"/>
      <c r="OHR1" s="404"/>
      <c r="OHS1" s="404"/>
      <c r="OHT1" s="405"/>
      <c r="OHU1" s="432" t="s">
        <v>41</v>
      </c>
      <c r="OHV1" s="404"/>
      <c r="OHW1" s="404"/>
      <c r="OHX1" s="404"/>
      <c r="OHY1" s="404"/>
      <c r="OHZ1" s="404"/>
      <c r="OIA1" s="404"/>
      <c r="OIB1" s="405"/>
      <c r="OIC1" s="432" t="s">
        <v>41</v>
      </c>
      <c r="OID1" s="404"/>
      <c r="OIE1" s="404"/>
      <c r="OIF1" s="404"/>
      <c r="OIG1" s="404"/>
      <c r="OIH1" s="404"/>
      <c r="OII1" s="404"/>
      <c r="OIJ1" s="405"/>
      <c r="OIK1" s="432" t="s">
        <v>41</v>
      </c>
      <c r="OIL1" s="404"/>
      <c r="OIM1" s="404"/>
      <c r="OIN1" s="404"/>
      <c r="OIO1" s="404"/>
      <c r="OIP1" s="404"/>
      <c r="OIQ1" s="404"/>
      <c r="OIR1" s="405"/>
      <c r="OIS1" s="432" t="s">
        <v>41</v>
      </c>
      <c r="OIT1" s="404"/>
      <c r="OIU1" s="404"/>
      <c r="OIV1" s="404"/>
      <c r="OIW1" s="404"/>
      <c r="OIX1" s="404"/>
      <c r="OIY1" s="404"/>
      <c r="OIZ1" s="405"/>
      <c r="OJA1" s="432" t="s">
        <v>41</v>
      </c>
      <c r="OJB1" s="404"/>
      <c r="OJC1" s="404"/>
      <c r="OJD1" s="404"/>
      <c r="OJE1" s="404"/>
      <c r="OJF1" s="404"/>
      <c r="OJG1" s="404"/>
      <c r="OJH1" s="405"/>
      <c r="OJI1" s="432" t="s">
        <v>41</v>
      </c>
      <c r="OJJ1" s="404"/>
      <c r="OJK1" s="404"/>
      <c r="OJL1" s="404"/>
      <c r="OJM1" s="404"/>
      <c r="OJN1" s="404"/>
      <c r="OJO1" s="404"/>
      <c r="OJP1" s="405"/>
      <c r="OJQ1" s="432" t="s">
        <v>41</v>
      </c>
      <c r="OJR1" s="404"/>
      <c r="OJS1" s="404"/>
      <c r="OJT1" s="404"/>
      <c r="OJU1" s="404"/>
      <c r="OJV1" s="404"/>
      <c r="OJW1" s="404"/>
      <c r="OJX1" s="405"/>
      <c r="OJY1" s="432" t="s">
        <v>41</v>
      </c>
      <c r="OJZ1" s="404"/>
      <c r="OKA1" s="404"/>
      <c r="OKB1" s="404"/>
      <c r="OKC1" s="404"/>
      <c r="OKD1" s="404"/>
      <c r="OKE1" s="404"/>
      <c r="OKF1" s="405"/>
      <c r="OKG1" s="432" t="s">
        <v>41</v>
      </c>
      <c r="OKH1" s="404"/>
      <c r="OKI1" s="404"/>
      <c r="OKJ1" s="404"/>
      <c r="OKK1" s="404"/>
      <c r="OKL1" s="404"/>
      <c r="OKM1" s="404"/>
      <c r="OKN1" s="405"/>
      <c r="OKO1" s="432" t="s">
        <v>41</v>
      </c>
      <c r="OKP1" s="404"/>
      <c r="OKQ1" s="404"/>
      <c r="OKR1" s="404"/>
      <c r="OKS1" s="404"/>
      <c r="OKT1" s="404"/>
      <c r="OKU1" s="404"/>
      <c r="OKV1" s="405"/>
      <c r="OKW1" s="432" t="s">
        <v>41</v>
      </c>
      <c r="OKX1" s="404"/>
      <c r="OKY1" s="404"/>
      <c r="OKZ1" s="404"/>
      <c r="OLA1" s="404"/>
      <c r="OLB1" s="404"/>
      <c r="OLC1" s="404"/>
      <c r="OLD1" s="405"/>
      <c r="OLE1" s="432" t="s">
        <v>41</v>
      </c>
      <c r="OLF1" s="404"/>
      <c r="OLG1" s="404"/>
      <c r="OLH1" s="404"/>
      <c r="OLI1" s="404"/>
      <c r="OLJ1" s="404"/>
      <c r="OLK1" s="404"/>
      <c r="OLL1" s="405"/>
      <c r="OLM1" s="432" t="s">
        <v>41</v>
      </c>
      <c r="OLN1" s="404"/>
      <c r="OLO1" s="404"/>
      <c r="OLP1" s="404"/>
      <c r="OLQ1" s="404"/>
      <c r="OLR1" s="404"/>
      <c r="OLS1" s="404"/>
      <c r="OLT1" s="405"/>
      <c r="OLU1" s="432" t="s">
        <v>41</v>
      </c>
      <c r="OLV1" s="404"/>
      <c r="OLW1" s="404"/>
      <c r="OLX1" s="404"/>
      <c r="OLY1" s="404"/>
      <c r="OLZ1" s="404"/>
      <c r="OMA1" s="404"/>
      <c r="OMB1" s="405"/>
      <c r="OMC1" s="432" t="s">
        <v>41</v>
      </c>
      <c r="OMD1" s="404"/>
      <c r="OME1" s="404"/>
      <c r="OMF1" s="404"/>
      <c r="OMG1" s="404"/>
      <c r="OMH1" s="404"/>
      <c r="OMI1" s="404"/>
      <c r="OMJ1" s="405"/>
      <c r="OMK1" s="432" t="s">
        <v>41</v>
      </c>
      <c r="OML1" s="404"/>
      <c r="OMM1" s="404"/>
      <c r="OMN1" s="404"/>
      <c r="OMO1" s="404"/>
      <c r="OMP1" s="404"/>
      <c r="OMQ1" s="404"/>
      <c r="OMR1" s="405"/>
      <c r="OMS1" s="432" t="s">
        <v>41</v>
      </c>
      <c r="OMT1" s="404"/>
      <c r="OMU1" s="404"/>
      <c r="OMV1" s="404"/>
      <c r="OMW1" s="404"/>
      <c r="OMX1" s="404"/>
      <c r="OMY1" s="404"/>
      <c r="OMZ1" s="405"/>
      <c r="ONA1" s="432" t="s">
        <v>41</v>
      </c>
      <c r="ONB1" s="404"/>
      <c r="ONC1" s="404"/>
      <c r="OND1" s="404"/>
      <c r="ONE1" s="404"/>
      <c r="ONF1" s="404"/>
      <c r="ONG1" s="404"/>
      <c r="ONH1" s="405"/>
      <c r="ONI1" s="432" t="s">
        <v>41</v>
      </c>
      <c r="ONJ1" s="404"/>
      <c r="ONK1" s="404"/>
      <c r="ONL1" s="404"/>
      <c r="ONM1" s="404"/>
      <c r="ONN1" s="404"/>
      <c r="ONO1" s="404"/>
      <c r="ONP1" s="405"/>
      <c r="ONQ1" s="432" t="s">
        <v>41</v>
      </c>
      <c r="ONR1" s="404"/>
      <c r="ONS1" s="404"/>
      <c r="ONT1" s="404"/>
      <c r="ONU1" s="404"/>
      <c r="ONV1" s="404"/>
      <c r="ONW1" s="404"/>
      <c r="ONX1" s="405"/>
      <c r="ONY1" s="432" t="s">
        <v>41</v>
      </c>
      <c r="ONZ1" s="404"/>
      <c r="OOA1" s="404"/>
      <c r="OOB1" s="404"/>
      <c r="OOC1" s="404"/>
      <c r="OOD1" s="404"/>
      <c r="OOE1" s="404"/>
      <c r="OOF1" s="405"/>
      <c r="OOG1" s="432" t="s">
        <v>41</v>
      </c>
      <c r="OOH1" s="404"/>
      <c r="OOI1" s="404"/>
      <c r="OOJ1" s="404"/>
      <c r="OOK1" s="404"/>
      <c r="OOL1" s="404"/>
      <c r="OOM1" s="404"/>
      <c r="OON1" s="405"/>
      <c r="OOO1" s="432" t="s">
        <v>41</v>
      </c>
      <c r="OOP1" s="404"/>
      <c r="OOQ1" s="404"/>
      <c r="OOR1" s="404"/>
      <c r="OOS1" s="404"/>
      <c r="OOT1" s="404"/>
      <c r="OOU1" s="404"/>
      <c r="OOV1" s="405"/>
      <c r="OOW1" s="432" t="s">
        <v>41</v>
      </c>
      <c r="OOX1" s="404"/>
      <c r="OOY1" s="404"/>
      <c r="OOZ1" s="404"/>
      <c r="OPA1" s="404"/>
      <c r="OPB1" s="404"/>
      <c r="OPC1" s="404"/>
      <c r="OPD1" s="405"/>
      <c r="OPE1" s="432" t="s">
        <v>41</v>
      </c>
      <c r="OPF1" s="404"/>
      <c r="OPG1" s="404"/>
      <c r="OPH1" s="404"/>
      <c r="OPI1" s="404"/>
      <c r="OPJ1" s="404"/>
      <c r="OPK1" s="404"/>
      <c r="OPL1" s="405"/>
      <c r="OPM1" s="432" t="s">
        <v>41</v>
      </c>
      <c r="OPN1" s="404"/>
      <c r="OPO1" s="404"/>
      <c r="OPP1" s="404"/>
      <c r="OPQ1" s="404"/>
      <c r="OPR1" s="404"/>
      <c r="OPS1" s="404"/>
      <c r="OPT1" s="405"/>
      <c r="OPU1" s="432" t="s">
        <v>41</v>
      </c>
      <c r="OPV1" s="404"/>
      <c r="OPW1" s="404"/>
      <c r="OPX1" s="404"/>
      <c r="OPY1" s="404"/>
      <c r="OPZ1" s="404"/>
      <c r="OQA1" s="404"/>
      <c r="OQB1" s="405"/>
      <c r="OQC1" s="432" t="s">
        <v>41</v>
      </c>
      <c r="OQD1" s="404"/>
      <c r="OQE1" s="404"/>
      <c r="OQF1" s="404"/>
      <c r="OQG1" s="404"/>
      <c r="OQH1" s="404"/>
      <c r="OQI1" s="404"/>
      <c r="OQJ1" s="405"/>
      <c r="OQK1" s="432" t="s">
        <v>41</v>
      </c>
      <c r="OQL1" s="404"/>
      <c r="OQM1" s="404"/>
      <c r="OQN1" s="404"/>
      <c r="OQO1" s="404"/>
      <c r="OQP1" s="404"/>
      <c r="OQQ1" s="404"/>
      <c r="OQR1" s="405"/>
      <c r="OQS1" s="432" t="s">
        <v>41</v>
      </c>
      <c r="OQT1" s="404"/>
      <c r="OQU1" s="404"/>
      <c r="OQV1" s="404"/>
      <c r="OQW1" s="404"/>
      <c r="OQX1" s="404"/>
      <c r="OQY1" s="404"/>
      <c r="OQZ1" s="405"/>
      <c r="ORA1" s="432" t="s">
        <v>41</v>
      </c>
      <c r="ORB1" s="404"/>
      <c r="ORC1" s="404"/>
      <c r="ORD1" s="404"/>
      <c r="ORE1" s="404"/>
      <c r="ORF1" s="404"/>
      <c r="ORG1" s="404"/>
      <c r="ORH1" s="405"/>
      <c r="ORI1" s="432" t="s">
        <v>41</v>
      </c>
      <c r="ORJ1" s="404"/>
      <c r="ORK1" s="404"/>
      <c r="ORL1" s="404"/>
      <c r="ORM1" s="404"/>
      <c r="ORN1" s="404"/>
      <c r="ORO1" s="404"/>
      <c r="ORP1" s="405"/>
      <c r="ORQ1" s="432" t="s">
        <v>41</v>
      </c>
      <c r="ORR1" s="404"/>
      <c r="ORS1" s="404"/>
      <c r="ORT1" s="404"/>
      <c r="ORU1" s="404"/>
      <c r="ORV1" s="404"/>
      <c r="ORW1" s="404"/>
      <c r="ORX1" s="405"/>
      <c r="ORY1" s="432" t="s">
        <v>41</v>
      </c>
      <c r="ORZ1" s="404"/>
      <c r="OSA1" s="404"/>
      <c r="OSB1" s="404"/>
      <c r="OSC1" s="404"/>
      <c r="OSD1" s="404"/>
      <c r="OSE1" s="404"/>
      <c r="OSF1" s="405"/>
      <c r="OSG1" s="432" t="s">
        <v>41</v>
      </c>
      <c r="OSH1" s="404"/>
      <c r="OSI1" s="404"/>
      <c r="OSJ1" s="404"/>
      <c r="OSK1" s="404"/>
      <c r="OSL1" s="404"/>
      <c r="OSM1" s="404"/>
      <c r="OSN1" s="405"/>
      <c r="OSO1" s="432" t="s">
        <v>41</v>
      </c>
      <c r="OSP1" s="404"/>
      <c r="OSQ1" s="404"/>
      <c r="OSR1" s="404"/>
      <c r="OSS1" s="404"/>
      <c r="OST1" s="404"/>
      <c r="OSU1" s="404"/>
      <c r="OSV1" s="405"/>
      <c r="OSW1" s="432" t="s">
        <v>41</v>
      </c>
      <c r="OSX1" s="404"/>
      <c r="OSY1" s="404"/>
      <c r="OSZ1" s="404"/>
      <c r="OTA1" s="404"/>
      <c r="OTB1" s="404"/>
      <c r="OTC1" s="404"/>
      <c r="OTD1" s="405"/>
      <c r="OTE1" s="432" t="s">
        <v>41</v>
      </c>
      <c r="OTF1" s="404"/>
      <c r="OTG1" s="404"/>
      <c r="OTH1" s="404"/>
      <c r="OTI1" s="404"/>
      <c r="OTJ1" s="404"/>
      <c r="OTK1" s="404"/>
      <c r="OTL1" s="405"/>
      <c r="OTM1" s="432" t="s">
        <v>41</v>
      </c>
      <c r="OTN1" s="404"/>
      <c r="OTO1" s="404"/>
      <c r="OTP1" s="404"/>
      <c r="OTQ1" s="404"/>
      <c r="OTR1" s="404"/>
      <c r="OTS1" s="404"/>
      <c r="OTT1" s="405"/>
      <c r="OTU1" s="432" t="s">
        <v>41</v>
      </c>
      <c r="OTV1" s="404"/>
      <c r="OTW1" s="404"/>
      <c r="OTX1" s="404"/>
      <c r="OTY1" s="404"/>
      <c r="OTZ1" s="404"/>
      <c r="OUA1" s="404"/>
      <c r="OUB1" s="405"/>
      <c r="OUC1" s="432" t="s">
        <v>41</v>
      </c>
      <c r="OUD1" s="404"/>
      <c r="OUE1" s="404"/>
      <c r="OUF1" s="404"/>
      <c r="OUG1" s="404"/>
      <c r="OUH1" s="404"/>
      <c r="OUI1" s="404"/>
      <c r="OUJ1" s="405"/>
      <c r="OUK1" s="432" t="s">
        <v>41</v>
      </c>
      <c r="OUL1" s="404"/>
      <c r="OUM1" s="404"/>
      <c r="OUN1" s="404"/>
      <c r="OUO1" s="404"/>
      <c r="OUP1" s="404"/>
      <c r="OUQ1" s="404"/>
      <c r="OUR1" s="405"/>
      <c r="OUS1" s="432" t="s">
        <v>41</v>
      </c>
      <c r="OUT1" s="404"/>
      <c r="OUU1" s="404"/>
      <c r="OUV1" s="404"/>
      <c r="OUW1" s="404"/>
      <c r="OUX1" s="404"/>
      <c r="OUY1" s="404"/>
      <c r="OUZ1" s="405"/>
      <c r="OVA1" s="432" t="s">
        <v>41</v>
      </c>
      <c r="OVB1" s="404"/>
      <c r="OVC1" s="404"/>
      <c r="OVD1" s="404"/>
      <c r="OVE1" s="404"/>
      <c r="OVF1" s="404"/>
      <c r="OVG1" s="404"/>
      <c r="OVH1" s="405"/>
      <c r="OVI1" s="432" t="s">
        <v>41</v>
      </c>
      <c r="OVJ1" s="404"/>
      <c r="OVK1" s="404"/>
      <c r="OVL1" s="404"/>
      <c r="OVM1" s="404"/>
      <c r="OVN1" s="404"/>
      <c r="OVO1" s="404"/>
      <c r="OVP1" s="405"/>
      <c r="OVQ1" s="432" t="s">
        <v>41</v>
      </c>
      <c r="OVR1" s="404"/>
      <c r="OVS1" s="404"/>
      <c r="OVT1" s="404"/>
      <c r="OVU1" s="404"/>
      <c r="OVV1" s="404"/>
      <c r="OVW1" s="404"/>
      <c r="OVX1" s="405"/>
      <c r="OVY1" s="432" t="s">
        <v>41</v>
      </c>
      <c r="OVZ1" s="404"/>
      <c r="OWA1" s="404"/>
      <c r="OWB1" s="404"/>
      <c r="OWC1" s="404"/>
      <c r="OWD1" s="404"/>
      <c r="OWE1" s="404"/>
      <c r="OWF1" s="405"/>
      <c r="OWG1" s="432" t="s">
        <v>41</v>
      </c>
      <c r="OWH1" s="404"/>
      <c r="OWI1" s="404"/>
      <c r="OWJ1" s="404"/>
      <c r="OWK1" s="404"/>
      <c r="OWL1" s="404"/>
      <c r="OWM1" s="404"/>
      <c r="OWN1" s="405"/>
      <c r="OWO1" s="432" t="s">
        <v>41</v>
      </c>
      <c r="OWP1" s="404"/>
      <c r="OWQ1" s="404"/>
      <c r="OWR1" s="404"/>
      <c r="OWS1" s="404"/>
      <c r="OWT1" s="404"/>
      <c r="OWU1" s="404"/>
      <c r="OWV1" s="405"/>
      <c r="OWW1" s="432" t="s">
        <v>41</v>
      </c>
      <c r="OWX1" s="404"/>
      <c r="OWY1" s="404"/>
      <c r="OWZ1" s="404"/>
      <c r="OXA1" s="404"/>
      <c r="OXB1" s="404"/>
      <c r="OXC1" s="404"/>
      <c r="OXD1" s="405"/>
      <c r="OXE1" s="432" t="s">
        <v>41</v>
      </c>
      <c r="OXF1" s="404"/>
      <c r="OXG1" s="404"/>
      <c r="OXH1" s="404"/>
      <c r="OXI1" s="404"/>
      <c r="OXJ1" s="404"/>
      <c r="OXK1" s="404"/>
      <c r="OXL1" s="405"/>
      <c r="OXM1" s="432" t="s">
        <v>41</v>
      </c>
      <c r="OXN1" s="404"/>
      <c r="OXO1" s="404"/>
      <c r="OXP1" s="404"/>
      <c r="OXQ1" s="404"/>
      <c r="OXR1" s="404"/>
      <c r="OXS1" s="404"/>
      <c r="OXT1" s="405"/>
      <c r="OXU1" s="432" t="s">
        <v>41</v>
      </c>
      <c r="OXV1" s="404"/>
      <c r="OXW1" s="404"/>
      <c r="OXX1" s="404"/>
      <c r="OXY1" s="404"/>
      <c r="OXZ1" s="404"/>
      <c r="OYA1" s="404"/>
      <c r="OYB1" s="405"/>
      <c r="OYC1" s="432" t="s">
        <v>41</v>
      </c>
      <c r="OYD1" s="404"/>
      <c r="OYE1" s="404"/>
      <c r="OYF1" s="404"/>
      <c r="OYG1" s="404"/>
      <c r="OYH1" s="404"/>
      <c r="OYI1" s="404"/>
      <c r="OYJ1" s="405"/>
      <c r="OYK1" s="432" t="s">
        <v>41</v>
      </c>
      <c r="OYL1" s="404"/>
      <c r="OYM1" s="404"/>
      <c r="OYN1" s="404"/>
      <c r="OYO1" s="404"/>
      <c r="OYP1" s="404"/>
      <c r="OYQ1" s="404"/>
      <c r="OYR1" s="405"/>
      <c r="OYS1" s="432" t="s">
        <v>41</v>
      </c>
      <c r="OYT1" s="404"/>
      <c r="OYU1" s="404"/>
      <c r="OYV1" s="404"/>
      <c r="OYW1" s="404"/>
      <c r="OYX1" s="404"/>
      <c r="OYY1" s="404"/>
      <c r="OYZ1" s="405"/>
      <c r="OZA1" s="432" t="s">
        <v>41</v>
      </c>
      <c r="OZB1" s="404"/>
      <c r="OZC1" s="404"/>
      <c r="OZD1" s="404"/>
      <c r="OZE1" s="404"/>
      <c r="OZF1" s="404"/>
      <c r="OZG1" s="404"/>
      <c r="OZH1" s="405"/>
      <c r="OZI1" s="432" t="s">
        <v>41</v>
      </c>
      <c r="OZJ1" s="404"/>
      <c r="OZK1" s="404"/>
      <c r="OZL1" s="404"/>
      <c r="OZM1" s="404"/>
      <c r="OZN1" s="404"/>
      <c r="OZO1" s="404"/>
      <c r="OZP1" s="405"/>
      <c r="OZQ1" s="432" t="s">
        <v>41</v>
      </c>
      <c r="OZR1" s="404"/>
      <c r="OZS1" s="404"/>
      <c r="OZT1" s="404"/>
      <c r="OZU1" s="404"/>
      <c r="OZV1" s="404"/>
      <c r="OZW1" s="404"/>
      <c r="OZX1" s="405"/>
      <c r="OZY1" s="432" t="s">
        <v>41</v>
      </c>
      <c r="OZZ1" s="404"/>
      <c r="PAA1" s="404"/>
      <c r="PAB1" s="404"/>
      <c r="PAC1" s="404"/>
      <c r="PAD1" s="404"/>
      <c r="PAE1" s="404"/>
      <c r="PAF1" s="405"/>
      <c r="PAG1" s="432" t="s">
        <v>41</v>
      </c>
      <c r="PAH1" s="404"/>
      <c r="PAI1" s="404"/>
      <c r="PAJ1" s="404"/>
      <c r="PAK1" s="404"/>
      <c r="PAL1" s="404"/>
      <c r="PAM1" s="404"/>
      <c r="PAN1" s="405"/>
      <c r="PAO1" s="432" t="s">
        <v>41</v>
      </c>
      <c r="PAP1" s="404"/>
      <c r="PAQ1" s="404"/>
      <c r="PAR1" s="404"/>
      <c r="PAS1" s="404"/>
      <c r="PAT1" s="404"/>
      <c r="PAU1" s="404"/>
      <c r="PAV1" s="405"/>
      <c r="PAW1" s="432" t="s">
        <v>41</v>
      </c>
      <c r="PAX1" s="404"/>
      <c r="PAY1" s="404"/>
      <c r="PAZ1" s="404"/>
      <c r="PBA1" s="404"/>
      <c r="PBB1" s="404"/>
      <c r="PBC1" s="404"/>
      <c r="PBD1" s="405"/>
      <c r="PBE1" s="432" t="s">
        <v>41</v>
      </c>
      <c r="PBF1" s="404"/>
      <c r="PBG1" s="404"/>
      <c r="PBH1" s="404"/>
      <c r="PBI1" s="404"/>
      <c r="PBJ1" s="404"/>
      <c r="PBK1" s="404"/>
      <c r="PBL1" s="405"/>
      <c r="PBM1" s="432" t="s">
        <v>41</v>
      </c>
      <c r="PBN1" s="404"/>
      <c r="PBO1" s="404"/>
      <c r="PBP1" s="404"/>
      <c r="PBQ1" s="404"/>
      <c r="PBR1" s="404"/>
      <c r="PBS1" s="404"/>
      <c r="PBT1" s="405"/>
      <c r="PBU1" s="432" t="s">
        <v>41</v>
      </c>
      <c r="PBV1" s="404"/>
      <c r="PBW1" s="404"/>
      <c r="PBX1" s="404"/>
      <c r="PBY1" s="404"/>
      <c r="PBZ1" s="404"/>
      <c r="PCA1" s="404"/>
      <c r="PCB1" s="405"/>
      <c r="PCC1" s="432" t="s">
        <v>41</v>
      </c>
      <c r="PCD1" s="404"/>
      <c r="PCE1" s="404"/>
      <c r="PCF1" s="404"/>
      <c r="PCG1" s="404"/>
      <c r="PCH1" s="404"/>
      <c r="PCI1" s="404"/>
      <c r="PCJ1" s="405"/>
      <c r="PCK1" s="432" t="s">
        <v>41</v>
      </c>
      <c r="PCL1" s="404"/>
      <c r="PCM1" s="404"/>
      <c r="PCN1" s="404"/>
      <c r="PCO1" s="404"/>
      <c r="PCP1" s="404"/>
      <c r="PCQ1" s="404"/>
      <c r="PCR1" s="405"/>
      <c r="PCS1" s="432" t="s">
        <v>41</v>
      </c>
      <c r="PCT1" s="404"/>
      <c r="PCU1" s="404"/>
      <c r="PCV1" s="404"/>
      <c r="PCW1" s="404"/>
      <c r="PCX1" s="404"/>
      <c r="PCY1" s="404"/>
      <c r="PCZ1" s="405"/>
      <c r="PDA1" s="432" t="s">
        <v>41</v>
      </c>
      <c r="PDB1" s="404"/>
      <c r="PDC1" s="404"/>
      <c r="PDD1" s="404"/>
      <c r="PDE1" s="404"/>
      <c r="PDF1" s="404"/>
      <c r="PDG1" s="404"/>
      <c r="PDH1" s="405"/>
      <c r="PDI1" s="432" t="s">
        <v>41</v>
      </c>
      <c r="PDJ1" s="404"/>
      <c r="PDK1" s="404"/>
      <c r="PDL1" s="404"/>
      <c r="PDM1" s="404"/>
      <c r="PDN1" s="404"/>
      <c r="PDO1" s="404"/>
      <c r="PDP1" s="405"/>
      <c r="PDQ1" s="432" t="s">
        <v>41</v>
      </c>
      <c r="PDR1" s="404"/>
      <c r="PDS1" s="404"/>
      <c r="PDT1" s="404"/>
      <c r="PDU1" s="404"/>
      <c r="PDV1" s="404"/>
      <c r="PDW1" s="404"/>
      <c r="PDX1" s="405"/>
      <c r="PDY1" s="432" t="s">
        <v>41</v>
      </c>
      <c r="PDZ1" s="404"/>
      <c r="PEA1" s="404"/>
      <c r="PEB1" s="404"/>
      <c r="PEC1" s="404"/>
      <c r="PED1" s="404"/>
      <c r="PEE1" s="404"/>
      <c r="PEF1" s="405"/>
      <c r="PEG1" s="432" t="s">
        <v>41</v>
      </c>
      <c r="PEH1" s="404"/>
      <c r="PEI1" s="404"/>
      <c r="PEJ1" s="404"/>
      <c r="PEK1" s="404"/>
      <c r="PEL1" s="404"/>
      <c r="PEM1" s="404"/>
      <c r="PEN1" s="405"/>
      <c r="PEO1" s="432" t="s">
        <v>41</v>
      </c>
      <c r="PEP1" s="404"/>
      <c r="PEQ1" s="404"/>
      <c r="PER1" s="404"/>
      <c r="PES1" s="404"/>
      <c r="PET1" s="404"/>
      <c r="PEU1" s="404"/>
      <c r="PEV1" s="405"/>
      <c r="PEW1" s="432" t="s">
        <v>41</v>
      </c>
      <c r="PEX1" s="404"/>
      <c r="PEY1" s="404"/>
      <c r="PEZ1" s="404"/>
      <c r="PFA1" s="404"/>
      <c r="PFB1" s="404"/>
      <c r="PFC1" s="404"/>
      <c r="PFD1" s="405"/>
      <c r="PFE1" s="432" t="s">
        <v>41</v>
      </c>
      <c r="PFF1" s="404"/>
      <c r="PFG1" s="404"/>
      <c r="PFH1" s="404"/>
      <c r="PFI1" s="404"/>
      <c r="PFJ1" s="404"/>
      <c r="PFK1" s="404"/>
      <c r="PFL1" s="405"/>
      <c r="PFM1" s="432" t="s">
        <v>41</v>
      </c>
      <c r="PFN1" s="404"/>
      <c r="PFO1" s="404"/>
      <c r="PFP1" s="404"/>
      <c r="PFQ1" s="404"/>
      <c r="PFR1" s="404"/>
      <c r="PFS1" s="404"/>
      <c r="PFT1" s="405"/>
      <c r="PFU1" s="432" t="s">
        <v>41</v>
      </c>
      <c r="PFV1" s="404"/>
      <c r="PFW1" s="404"/>
      <c r="PFX1" s="404"/>
      <c r="PFY1" s="404"/>
      <c r="PFZ1" s="404"/>
      <c r="PGA1" s="404"/>
      <c r="PGB1" s="405"/>
      <c r="PGC1" s="432" t="s">
        <v>41</v>
      </c>
      <c r="PGD1" s="404"/>
      <c r="PGE1" s="404"/>
      <c r="PGF1" s="404"/>
      <c r="PGG1" s="404"/>
      <c r="PGH1" s="404"/>
      <c r="PGI1" s="404"/>
      <c r="PGJ1" s="405"/>
      <c r="PGK1" s="432" t="s">
        <v>41</v>
      </c>
      <c r="PGL1" s="404"/>
      <c r="PGM1" s="404"/>
      <c r="PGN1" s="404"/>
      <c r="PGO1" s="404"/>
      <c r="PGP1" s="404"/>
      <c r="PGQ1" s="404"/>
      <c r="PGR1" s="405"/>
      <c r="PGS1" s="432" t="s">
        <v>41</v>
      </c>
      <c r="PGT1" s="404"/>
      <c r="PGU1" s="404"/>
      <c r="PGV1" s="404"/>
      <c r="PGW1" s="404"/>
      <c r="PGX1" s="404"/>
      <c r="PGY1" s="404"/>
      <c r="PGZ1" s="405"/>
      <c r="PHA1" s="432" t="s">
        <v>41</v>
      </c>
      <c r="PHB1" s="404"/>
      <c r="PHC1" s="404"/>
      <c r="PHD1" s="404"/>
      <c r="PHE1" s="404"/>
      <c r="PHF1" s="404"/>
      <c r="PHG1" s="404"/>
      <c r="PHH1" s="405"/>
      <c r="PHI1" s="432" t="s">
        <v>41</v>
      </c>
      <c r="PHJ1" s="404"/>
      <c r="PHK1" s="404"/>
      <c r="PHL1" s="404"/>
      <c r="PHM1" s="404"/>
      <c r="PHN1" s="404"/>
      <c r="PHO1" s="404"/>
      <c r="PHP1" s="405"/>
      <c r="PHQ1" s="432" t="s">
        <v>41</v>
      </c>
      <c r="PHR1" s="404"/>
      <c r="PHS1" s="404"/>
      <c r="PHT1" s="404"/>
      <c r="PHU1" s="404"/>
      <c r="PHV1" s="404"/>
      <c r="PHW1" s="404"/>
      <c r="PHX1" s="405"/>
      <c r="PHY1" s="432" t="s">
        <v>41</v>
      </c>
      <c r="PHZ1" s="404"/>
      <c r="PIA1" s="404"/>
      <c r="PIB1" s="404"/>
      <c r="PIC1" s="404"/>
      <c r="PID1" s="404"/>
      <c r="PIE1" s="404"/>
      <c r="PIF1" s="405"/>
      <c r="PIG1" s="432" t="s">
        <v>41</v>
      </c>
      <c r="PIH1" s="404"/>
      <c r="PII1" s="404"/>
      <c r="PIJ1" s="404"/>
      <c r="PIK1" s="404"/>
      <c r="PIL1" s="404"/>
      <c r="PIM1" s="404"/>
      <c r="PIN1" s="405"/>
      <c r="PIO1" s="432" t="s">
        <v>41</v>
      </c>
      <c r="PIP1" s="404"/>
      <c r="PIQ1" s="404"/>
      <c r="PIR1" s="404"/>
      <c r="PIS1" s="404"/>
      <c r="PIT1" s="404"/>
      <c r="PIU1" s="404"/>
      <c r="PIV1" s="405"/>
      <c r="PIW1" s="432" t="s">
        <v>41</v>
      </c>
      <c r="PIX1" s="404"/>
      <c r="PIY1" s="404"/>
      <c r="PIZ1" s="404"/>
      <c r="PJA1" s="404"/>
      <c r="PJB1" s="404"/>
      <c r="PJC1" s="404"/>
      <c r="PJD1" s="405"/>
      <c r="PJE1" s="432" t="s">
        <v>41</v>
      </c>
      <c r="PJF1" s="404"/>
      <c r="PJG1" s="404"/>
      <c r="PJH1" s="404"/>
      <c r="PJI1" s="404"/>
      <c r="PJJ1" s="404"/>
      <c r="PJK1" s="404"/>
      <c r="PJL1" s="405"/>
      <c r="PJM1" s="432" t="s">
        <v>41</v>
      </c>
      <c r="PJN1" s="404"/>
      <c r="PJO1" s="404"/>
      <c r="PJP1" s="404"/>
      <c r="PJQ1" s="404"/>
      <c r="PJR1" s="404"/>
      <c r="PJS1" s="404"/>
      <c r="PJT1" s="405"/>
      <c r="PJU1" s="432" t="s">
        <v>41</v>
      </c>
      <c r="PJV1" s="404"/>
      <c r="PJW1" s="404"/>
      <c r="PJX1" s="404"/>
      <c r="PJY1" s="404"/>
      <c r="PJZ1" s="404"/>
      <c r="PKA1" s="404"/>
      <c r="PKB1" s="405"/>
      <c r="PKC1" s="432" t="s">
        <v>41</v>
      </c>
      <c r="PKD1" s="404"/>
      <c r="PKE1" s="404"/>
      <c r="PKF1" s="404"/>
      <c r="PKG1" s="404"/>
      <c r="PKH1" s="404"/>
      <c r="PKI1" s="404"/>
      <c r="PKJ1" s="405"/>
      <c r="PKK1" s="432" t="s">
        <v>41</v>
      </c>
      <c r="PKL1" s="404"/>
      <c r="PKM1" s="404"/>
      <c r="PKN1" s="404"/>
      <c r="PKO1" s="404"/>
      <c r="PKP1" s="404"/>
      <c r="PKQ1" s="404"/>
      <c r="PKR1" s="405"/>
      <c r="PKS1" s="432" t="s">
        <v>41</v>
      </c>
      <c r="PKT1" s="404"/>
      <c r="PKU1" s="404"/>
      <c r="PKV1" s="404"/>
      <c r="PKW1" s="404"/>
      <c r="PKX1" s="404"/>
      <c r="PKY1" s="404"/>
      <c r="PKZ1" s="405"/>
      <c r="PLA1" s="432" t="s">
        <v>41</v>
      </c>
      <c r="PLB1" s="404"/>
      <c r="PLC1" s="404"/>
      <c r="PLD1" s="404"/>
      <c r="PLE1" s="404"/>
      <c r="PLF1" s="404"/>
      <c r="PLG1" s="404"/>
      <c r="PLH1" s="405"/>
      <c r="PLI1" s="432" t="s">
        <v>41</v>
      </c>
      <c r="PLJ1" s="404"/>
      <c r="PLK1" s="404"/>
      <c r="PLL1" s="404"/>
      <c r="PLM1" s="404"/>
      <c r="PLN1" s="404"/>
      <c r="PLO1" s="404"/>
      <c r="PLP1" s="405"/>
      <c r="PLQ1" s="432" t="s">
        <v>41</v>
      </c>
      <c r="PLR1" s="404"/>
      <c r="PLS1" s="404"/>
      <c r="PLT1" s="404"/>
      <c r="PLU1" s="404"/>
      <c r="PLV1" s="404"/>
      <c r="PLW1" s="404"/>
      <c r="PLX1" s="405"/>
      <c r="PLY1" s="432" t="s">
        <v>41</v>
      </c>
      <c r="PLZ1" s="404"/>
      <c r="PMA1" s="404"/>
      <c r="PMB1" s="404"/>
      <c r="PMC1" s="404"/>
      <c r="PMD1" s="404"/>
      <c r="PME1" s="404"/>
      <c r="PMF1" s="405"/>
      <c r="PMG1" s="432" t="s">
        <v>41</v>
      </c>
      <c r="PMH1" s="404"/>
      <c r="PMI1" s="404"/>
      <c r="PMJ1" s="404"/>
      <c r="PMK1" s="404"/>
      <c r="PML1" s="404"/>
      <c r="PMM1" s="404"/>
      <c r="PMN1" s="405"/>
      <c r="PMO1" s="432" t="s">
        <v>41</v>
      </c>
      <c r="PMP1" s="404"/>
      <c r="PMQ1" s="404"/>
      <c r="PMR1" s="404"/>
      <c r="PMS1" s="404"/>
      <c r="PMT1" s="404"/>
      <c r="PMU1" s="404"/>
      <c r="PMV1" s="405"/>
      <c r="PMW1" s="432" t="s">
        <v>41</v>
      </c>
      <c r="PMX1" s="404"/>
      <c r="PMY1" s="404"/>
      <c r="PMZ1" s="404"/>
      <c r="PNA1" s="404"/>
      <c r="PNB1" s="404"/>
      <c r="PNC1" s="404"/>
      <c r="PND1" s="405"/>
      <c r="PNE1" s="432" t="s">
        <v>41</v>
      </c>
      <c r="PNF1" s="404"/>
      <c r="PNG1" s="404"/>
      <c r="PNH1" s="404"/>
      <c r="PNI1" s="404"/>
      <c r="PNJ1" s="404"/>
      <c r="PNK1" s="404"/>
      <c r="PNL1" s="405"/>
      <c r="PNM1" s="432" t="s">
        <v>41</v>
      </c>
      <c r="PNN1" s="404"/>
      <c r="PNO1" s="404"/>
      <c r="PNP1" s="404"/>
      <c r="PNQ1" s="404"/>
      <c r="PNR1" s="404"/>
      <c r="PNS1" s="404"/>
      <c r="PNT1" s="405"/>
      <c r="PNU1" s="432" t="s">
        <v>41</v>
      </c>
      <c r="PNV1" s="404"/>
      <c r="PNW1" s="404"/>
      <c r="PNX1" s="404"/>
      <c r="PNY1" s="404"/>
      <c r="PNZ1" s="404"/>
      <c r="POA1" s="404"/>
      <c r="POB1" s="405"/>
      <c r="POC1" s="432" t="s">
        <v>41</v>
      </c>
      <c r="POD1" s="404"/>
      <c r="POE1" s="404"/>
      <c r="POF1" s="404"/>
      <c r="POG1" s="404"/>
      <c r="POH1" s="404"/>
      <c r="POI1" s="404"/>
      <c r="POJ1" s="405"/>
      <c r="POK1" s="432" t="s">
        <v>41</v>
      </c>
      <c r="POL1" s="404"/>
      <c r="POM1" s="404"/>
      <c r="PON1" s="404"/>
      <c r="POO1" s="404"/>
      <c r="POP1" s="404"/>
      <c r="POQ1" s="404"/>
      <c r="POR1" s="405"/>
      <c r="POS1" s="432" t="s">
        <v>41</v>
      </c>
      <c r="POT1" s="404"/>
      <c r="POU1" s="404"/>
      <c r="POV1" s="404"/>
      <c r="POW1" s="404"/>
      <c r="POX1" s="404"/>
      <c r="POY1" s="404"/>
      <c r="POZ1" s="405"/>
      <c r="PPA1" s="432" t="s">
        <v>41</v>
      </c>
      <c r="PPB1" s="404"/>
      <c r="PPC1" s="404"/>
      <c r="PPD1" s="404"/>
      <c r="PPE1" s="404"/>
      <c r="PPF1" s="404"/>
      <c r="PPG1" s="404"/>
      <c r="PPH1" s="405"/>
      <c r="PPI1" s="432" t="s">
        <v>41</v>
      </c>
      <c r="PPJ1" s="404"/>
      <c r="PPK1" s="404"/>
      <c r="PPL1" s="404"/>
      <c r="PPM1" s="404"/>
      <c r="PPN1" s="404"/>
      <c r="PPO1" s="404"/>
      <c r="PPP1" s="405"/>
      <c r="PPQ1" s="432" t="s">
        <v>41</v>
      </c>
      <c r="PPR1" s="404"/>
      <c r="PPS1" s="404"/>
      <c r="PPT1" s="404"/>
      <c r="PPU1" s="404"/>
      <c r="PPV1" s="404"/>
      <c r="PPW1" s="404"/>
      <c r="PPX1" s="405"/>
      <c r="PPY1" s="432" t="s">
        <v>41</v>
      </c>
      <c r="PPZ1" s="404"/>
      <c r="PQA1" s="404"/>
      <c r="PQB1" s="404"/>
      <c r="PQC1" s="404"/>
      <c r="PQD1" s="404"/>
      <c r="PQE1" s="404"/>
      <c r="PQF1" s="405"/>
      <c r="PQG1" s="432" t="s">
        <v>41</v>
      </c>
      <c r="PQH1" s="404"/>
      <c r="PQI1" s="404"/>
      <c r="PQJ1" s="404"/>
      <c r="PQK1" s="404"/>
      <c r="PQL1" s="404"/>
      <c r="PQM1" s="404"/>
      <c r="PQN1" s="405"/>
      <c r="PQO1" s="432" t="s">
        <v>41</v>
      </c>
      <c r="PQP1" s="404"/>
      <c r="PQQ1" s="404"/>
      <c r="PQR1" s="404"/>
      <c r="PQS1" s="404"/>
      <c r="PQT1" s="404"/>
      <c r="PQU1" s="404"/>
      <c r="PQV1" s="405"/>
      <c r="PQW1" s="432" t="s">
        <v>41</v>
      </c>
      <c r="PQX1" s="404"/>
      <c r="PQY1" s="404"/>
      <c r="PQZ1" s="404"/>
      <c r="PRA1" s="404"/>
      <c r="PRB1" s="404"/>
      <c r="PRC1" s="404"/>
      <c r="PRD1" s="405"/>
      <c r="PRE1" s="432" t="s">
        <v>41</v>
      </c>
      <c r="PRF1" s="404"/>
      <c r="PRG1" s="404"/>
      <c r="PRH1" s="404"/>
      <c r="PRI1" s="404"/>
      <c r="PRJ1" s="404"/>
      <c r="PRK1" s="404"/>
      <c r="PRL1" s="405"/>
      <c r="PRM1" s="432" t="s">
        <v>41</v>
      </c>
      <c r="PRN1" s="404"/>
      <c r="PRO1" s="404"/>
      <c r="PRP1" s="404"/>
      <c r="PRQ1" s="404"/>
      <c r="PRR1" s="404"/>
      <c r="PRS1" s="404"/>
      <c r="PRT1" s="405"/>
      <c r="PRU1" s="432" t="s">
        <v>41</v>
      </c>
      <c r="PRV1" s="404"/>
      <c r="PRW1" s="404"/>
      <c r="PRX1" s="404"/>
      <c r="PRY1" s="404"/>
      <c r="PRZ1" s="404"/>
      <c r="PSA1" s="404"/>
      <c r="PSB1" s="405"/>
      <c r="PSC1" s="432" t="s">
        <v>41</v>
      </c>
      <c r="PSD1" s="404"/>
      <c r="PSE1" s="404"/>
      <c r="PSF1" s="404"/>
      <c r="PSG1" s="404"/>
      <c r="PSH1" s="404"/>
      <c r="PSI1" s="404"/>
      <c r="PSJ1" s="405"/>
      <c r="PSK1" s="432" t="s">
        <v>41</v>
      </c>
      <c r="PSL1" s="404"/>
      <c r="PSM1" s="404"/>
      <c r="PSN1" s="404"/>
      <c r="PSO1" s="404"/>
      <c r="PSP1" s="404"/>
      <c r="PSQ1" s="404"/>
      <c r="PSR1" s="405"/>
      <c r="PSS1" s="432" t="s">
        <v>41</v>
      </c>
      <c r="PST1" s="404"/>
      <c r="PSU1" s="404"/>
      <c r="PSV1" s="404"/>
      <c r="PSW1" s="404"/>
      <c r="PSX1" s="404"/>
      <c r="PSY1" s="404"/>
      <c r="PSZ1" s="405"/>
      <c r="PTA1" s="432" t="s">
        <v>41</v>
      </c>
      <c r="PTB1" s="404"/>
      <c r="PTC1" s="404"/>
      <c r="PTD1" s="404"/>
      <c r="PTE1" s="404"/>
      <c r="PTF1" s="404"/>
      <c r="PTG1" s="404"/>
      <c r="PTH1" s="405"/>
      <c r="PTI1" s="432" t="s">
        <v>41</v>
      </c>
      <c r="PTJ1" s="404"/>
      <c r="PTK1" s="404"/>
      <c r="PTL1" s="404"/>
      <c r="PTM1" s="404"/>
      <c r="PTN1" s="404"/>
      <c r="PTO1" s="404"/>
      <c r="PTP1" s="405"/>
      <c r="PTQ1" s="432" t="s">
        <v>41</v>
      </c>
      <c r="PTR1" s="404"/>
      <c r="PTS1" s="404"/>
      <c r="PTT1" s="404"/>
      <c r="PTU1" s="404"/>
      <c r="PTV1" s="404"/>
      <c r="PTW1" s="404"/>
      <c r="PTX1" s="405"/>
      <c r="PTY1" s="432" t="s">
        <v>41</v>
      </c>
      <c r="PTZ1" s="404"/>
      <c r="PUA1" s="404"/>
      <c r="PUB1" s="404"/>
      <c r="PUC1" s="404"/>
      <c r="PUD1" s="404"/>
      <c r="PUE1" s="404"/>
      <c r="PUF1" s="405"/>
      <c r="PUG1" s="432" t="s">
        <v>41</v>
      </c>
      <c r="PUH1" s="404"/>
      <c r="PUI1" s="404"/>
      <c r="PUJ1" s="404"/>
      <c r="PUK1" s="404"/>
      <c r="PUL1" s="404"/>
      <c r="PUM1" s="404"/>
      <c r="PUN1" s="405"/>
      <c r="PUO1" s="432" t="s">
        <v>41</v>
      </c>
      <c r="PUP1" s="404"/>
      <c r="PUQ1" s="404"/>
      <c r="PUR1" s="404"/>
      <c r="PUS1" s="404"/>
      <c r="PUT1" s="404"/>
      <c r="PUU1" s="404"/>
      <c r="PUV1" s="405"/>
      <c r="PUW1" s="432" t="s">
        <v>41</v>
      </c>
      <c r="PUX1" s="404"/>
      <c r="PUY1" s="404"/>
      <c r="PUZ1" s="404"/>
      <c r="PVA1" s="404"/>
      <c r="PVB1" s="404"/>
      <c r="PVC1" s="404"/>
      <c r="PVD1" s="405"/>
      <c r="PVE1" s="432" t="s">
        <v>41</v>
      </c>
      <c r="PVF1" s="404"/>
      <c r="PVG1" s="404"/>
      <c r="PVH1" s="404"/>
      <c r="PVI1" s="404"/>
      <c r="PVJ1" s="404"/>
      <c r="PVK1" s="404"/>
      <c r="PVL1" s="405"/>
      <c r="PVM1" s="432" t="s">
        <v>41</v>
      </c>
      <c r="PVN1" s="404"/>
      <c r="PVO1" s="404"/>
      <c r="PVP1" s="404"/>
      <c r="PVQ1" s="404"/>
      <c r="PVR1" s="404"/>
      <c r="PVS1" s="404"/>
      <c r="PVT1" s="405"/>
      <c r="PVU1" s="432" t="s">
        <v>41</v>
      </c>
      <c r="PVV1" s="404"/>
      <c r="PVW1" s="404"/>
      <c r="PVX1" s="404"/>
      <c r="PVY1" s="404"/>
      <c r="PVZ1" s="404"/>
      <c r="PWA1" s="404"/>
      <c r="PWB1" s="405"/>
      <c r="PWC1" s="432" t="s">
        <v>41</v>
      </c>
      <c r="PWD1" s="404"/>
      <c r="PWE1" s="404"/>
      <c r="PWF1" s="404"/>
      <c r="PWG1" s="404"/>
      <c r="PWH1" s="404"/>
      <c r="PWI1" s="404"/>
      <c r="PWJ1" s="405"/>
      <c r="PWK1" s="432" t="s">
        <v>41</v>
      </c>
      <c r="PWL1" s="404"/>
      <c r="PWM1" s="404"/>
      <c r="PWN1" s="404"/>
      <c r="PWO1" s="404"/>
      <c r="PWP1" s="404"/>
      <c r="PWQ1" s="404"/>
      <c r="PWR1" s="405"/>
      <c r="PWS1" s="432" t="s">
        <v>41</v>
      </c>
      <c r="PWT1" s="404"/>
      <c r="PWU1" s="404"/>
      <c r="PWV1" s="404"/>
      <c r="PWW1" s="404"/>
      <c r="PWX1" s="404"/>
      <c r="PWY1" s="404"/>
      <c r="PWZ1" s="405"/>
      <c r="PXA1" s="432" t="s">
        <v>41</v>
      </c>
      <c r="PXB1" s="404"/>
      <c r="PXC1" s="404"/>
      <c r="PXD1" s="404"/>
      <c r="PXE1" s="404"/>
      <c r="PXF1" s="404"/>
      <c r="PXG1" s="404"/>
      <c r="PXH1" s="405"/>
      <c r="PXI1" s="432" t="s">
        <v>41</v>
      </c>
      <c r="PXJ1" s="404"/>
      <c r="PXK1" s="404"/>
      <c r="PXL1" s="404"/>
      <c r="PXM1" s="404"/>
      <c r="PXN1" s="404"/>
      <c r="PXO1" s="404"/>
      <c r="PXP1" s="405"/>
      <c r="PXQ1" s="432" t="s">
        <v>41</v>
      </c>
      <c r="PXR1" s="404"/>
      <c r="PXS1" s="404"/>
      <c r="PXT1" s="404"/>
      <c r="PXU1" s="404"/>
      <c r="PXV1" s="404"/>
      <c r="PXW1" s="404"/>
      <c r="PXX1" s="405"/>
      <c r="PXY1" s="432" t="s">
        <v>41</v>
      </c>
      <c r="PXZ1" s="404"/>
      <c r="PYA1" s="404"/>
      <c r="PYB1" s="404"/>
      <c r="PYC1" s="404"/>
      <c r="PYD1" s="404"/>
      <c r="PYE1" s="404"/>
      <c r="PYF1" s="405"/>
      <c r="PYG1" s="432" t="s">
        <v>41</v>
      </c>
      <c r="PYH1" s="404"/>
      <c r="PYI1" s="404"/>
      <c r="PYJ1" s="404"/>
      <c r="PYK1" s="404"/>
      <c r="PYL1" s="404"/>
      <c r="PYM1" s="404"/>
      <c r="PYN1" s="405"/>
      <c r="PYO1" s="432" t="s">
        <v>41</v>
      </c>
      <c r="PYP1" s="404"/>
      <c r="PYQ1" s="404"/>
      <c r="PYR1" s="404"/>
      <c r="PYS1" s="404"/>
      <c r="PYT1" s="404"/>
      <c r="PYU1" s="404"/>
      <c r="PYV1" s="405"/>
      <c r="PYW1" s="432" t="s">
        <v>41</v>
      </c>
      <c r="PYX1" s="404"/>
      <c r="PYY1" s="404"/>
      <c r="PYZ1" s="404"/>
      <c r="PZA1" s="404"/>
      <c r="PZB1" s="404"/>
      <c r="PZC1" s="404"/>
      <c r="PZD1" s="405"/>
      <c r="PZE1" s="432" t="s">
        <v>41</v>
      </c>
      <c r="PZF1" s="404"/>
      <c r="PZG1" s="404"/>
      <c r="PZH1" s="404"/>
      <c r="PZI1" s="404"/>
      <c r="PZJ1" s="404"/>
      <c r="PZK1" s="404"/>
      <c r="PZL1" s="405"/>
      <c r="PZM1" s="432" t="s">
        <v>41</v>
      </c>
      <c r="PZN1" s="404"/>
      <c r="PZO1" s="404"/>
      <c r="PZP1" s="404"/>
      <c r="PZQ1" s="404"/>
      <c r="PZR1" s="404"/>
      <c r="PZS1" s="404"/>
      <c r="PZT1" s="405"/>
      <c r="PZU1" s="432" t="s">
        <v>41</v>
      </c>
      <c r="PZV1" s="404"/>
      <c r="PZW1" s="404"/>
      <c r="PZX1" s="404"/>
      <c r="PZY1" s="404"/>
      <c r="PZZ1" s="404"/>
      <c r="QAA1" s="404"/>
      <c r="QAB1" s="405"/>
      <c r="QAC1" s="432" t="s">
        <v>41</v>
      </c>
      <c r="QAD1" s="404"/>
      <c r="QAE1" s="404"/>
      <c r="QAF1" s="404"/>
      <c r="QAG1" s="404"/>
      <c r="QAH1" s="404"/>
      <c r="QAI1" s="404"/>
      <c r="QAJ1" s="405"/>
      <c r="QAK1" s="432" t="s">
        <v>41</v>
      </c>
      <c r="QAL1" s="404"/>
      <c r="QAM1" s="404"/>
      <c r="QAN1" s="404"/>
      <c r="QAO1" s="404"/>
      <c r="QAP1" s="404"/>
      <c r="QAQ1" s="404"/>
      <c r="QAR1" s="405"/>
      <c r="QAS1" s="432" t="s">
        <v>41</v>
      </c>
      <c r="QAT1" s="404"/>
      <c r="QAU1" s="404"/>
      <c r="QAV1" s="404"/>
      <c r="QAW1" s="404"/>
      <c r="QAX1" s="404"/>
      <c r="QAY1" s="404"/>
      <c r="QAZ1" s="405"/>
      <c r="QBA1" s="432" t="s">
        <v>41</v>
      </c>
      <c r="QBB1" s="404"/>
      <c r="QBC1" s="404"/>
      <c r="QBD1" s="404"/>
      <c r="QBE1" s="404"/>
      <c r="QBF1" s="404"/>
      <c r="QBG1" s="404"/>
      <c r="QBH1" s="405"/>
      <c r="QBI1" s="432" t="s">
        <v>41</v>
      </c>
      <c r="QBJ1" s="404"/>
      <c r="QBK1" s="404"/>
      <c r="QBL1" s="404"/>
      <c r="QBM1" s="404"/>
      <c r="QBN1" s="404"/>
      <c r="QBO1" s="404"/>
      <c r="QBP1" s="405"/>
      <c r="QBQ1" s="432" t="s">
        <v>41</v>
      </c>
      <c r="QBR1" s="404"/>
      <c r="QBS1" s="404"/>
      <c r="QBT1" s="404"/>
      <c r="QBU1" s="404"/>
      <c r="QBV1" s="404"/>
      <c r="QBW1" s="404"/>
      <c r="QBX1" s="405"/>
      <c r="QBY1" s="432" t="s">
        <v>41</v>
      </c>
      <c r="QBZ1" s="404"/>
      <c r="QCA1" s="404"/>
      <c r="QCB1" s="404"/>
      <c r="QCC1" s="404"/>
      <c r="QCD1" s="404"/>
      <c r="QCE1" s="404"/>
      <c r="QCF1" s="405"/>
      <c r="QCG1" s="432" t="s">
        <v>41</v>
      </c>
      <c r="QCH1" s="404"/>
      <c r="QCI1" s="404"/>
      <c r="QCJ1" s="404"/>
      <c r="QCK1" s="404"/>
      <c r="QCL1" s="404"/>
      <c r="QCM1" s="404"/>
      <c r="QCN1" s="405"/>
      <c r="QCO1" s="432" t="s">
        <v>41</v>
      </c>
      <c r="QCP1" s="404"/>
      <c r="QCQ1" s="404"/>
      <c r="QCR1" s="404"/>
      <c r="QCS1" s="404"/>
      <c r="QCT1" s="404"/>
      <c r="QCU1" s="404"/>
      <c r="QCV1" s="405"/>
      <c r="QCW1" s="432" t="s">
        <v>41</v>
      </c>
      <c r="QCX1" s="404"/>
      <c r="QCY1" s="404"/>
      <c r="QCZ1" s="404"/>
      <c r="QDA1" s="404"/>
      <c r="QDB1" s="404"/>
      <c r="QDC1" s="404"/>
      <c r="QDD1" s="405"/>
      <c r="QDE1" s="432" t="s">
        <v>41</v>
      </c>
      <c r="QDF1" s="404"/>
      <c r="QDG1" s="404"/>
      <c r="QDH1" s="404"/>
      <c r="QDI1" s="404"/>
      <c r="QDJ1" s="404"/>
      <c r="QDK1" s="404"/>
      <c r="QDL1" s="405"/>
      <c r="QDM1" s="432" t="s">
        <v>41</v>
      </c>
      <c r="QDN1" s="404"/>
      <c r="QDO1" s="404"/>
      <c r="QDP1" s="404"/>
      <c r="QDQ1" s="404"/>
      <c r="QDR1" s="404"/>
      <c r="QDS1" s="404"/>
      <c r="QDT1" s="405"/>
      <c r="QDU1" s="432" t="s">
        <v>41</v>
      </c>
      <c r="QDV1" s="404"/>
      <c r="QDW1" s="404"/>
      <c r="QDX1" s="404"/>
      <c r="QDY1" s="404"/>
      <c r="QDZ1" s="404"/>
      <c r="QEA1" s="404"/>
      <c r="QEB1" s="405"/>
      <c r="QEC1" s="432" t="s">
        <v>41</v>
      </c>
      <c r="QED1" s="404"/>
      <c r="QEE1" s="404"/>
      <c r="QEF1" s="404"/>
      <c r="QEG1" s="404"/>
      <c r="QEH1" s="404"/>
      <c r="QEI1" s="404"/>
      <c r="QEJ1" s="405"/>
      <c r="QEK1" s="432" t="s">
        <v>41</v>
      </c>
      <c r="QEL1" s="404"/>
      <c r="QEM1" s="404"/>
      <c r="QEN1" s="404"/>
      <c r="QEO1" s="404"/>
      <c r="QEP1" s="404"/>
      <c r="QEQ1" s="404"/>
      <c r="QER1" s="405"/>
      <c r="QES1" s="432" t="s">
        <v>41</v>
      </c>
      <c r="QET1" s="404"/>
      <c r="QEU1" s="404"/>
      <c r="QEV1" s="404"/>
      <c r="QEW1" s="404"/>
      <c r="QEX1" s="404"/>
      <c r="QEY1" s="404"/>
      <c r="QEZ1" s="405"/>
      <c r="QFA1" s="432" t="s">
        <v>41</v>
      </c>
      <c r="QFB1" s="404"/>
      <c r="QFC1" s="404"/>
      <c r="QFD1" s="404"/>
      <c r="QFE1" s="404"/>
      <c r="QFF1" s="404"/>
      <c r="QFG1" s="404"/>
      <c r="QFH1" s="405"/>
      <c r="QFI1" s="432" t="s">
        <v>41</v>
      </c>
      <c r="QFJ1" s="404"/>
      <c r="QFK1" s="404"/>
      <c r="QFL1" s="404"/>
      <c r="QFM1" s="404"/>
      <c r="QFN1" s="404"/>
      <c r="QFO1" s="404"/>
      <c r="QFP1" s="405"/>
      <c r="QFQ1" s="432" t="s">
        <v>41</v>
      </c>
      <c r="QFR1" s="404"/>
      <c r="QFS1" s="404"/>
      <c r="QFT1" s="404"/>
      <c r="QFU1" s="404"/>
      <c r="QFV1" s="404"/>
      <c r="QFW1" s="404"/>
      <c r="QFX1" s="405"/>
      <c r="QFY1" s="432" t="s">
        <v>41</v>
      </c>
      <c r="QFZ1" s="404"/>
      <c r="QGA1" s="404"/>
      <c r="QGB1" s="404"/>
      <c r="QGC1" s="404"/>
      <c r="QGD1" s="404"/>
      <c r="QGE1" s="404"/>
      <c r="QGF1" s="405"/>
      <c r="QGG1" s="432" t="s">
        <v>41</v>
      </c>
      <c r="QGH1" s="404"/>
      <c r="QGI1" s="404"/>
      <c r="QGJ1" s="404"/>
      <c r="QGK1" s="404"/>
      <c r="QGL1" s="404"/>
      <c r="QGM1" s="404"/>
      <c r="QGN1" s="405"/>
      <c r="QGO1" s="432" t="s">
        <v>41</v>
      </c>
      <c r="QGP1" s="404"/>
      <c r="QGQ1" s="404"/>
      <c r="QGR1" s="404"/>
      <c r="QGS1" s="404"/>
      <c r="QGT1" s="404"/>
      <c r="QGU1" s="404"/>
      <c r="QGV1" s="405"/>
      <c r="QGW1" s="432" t="s">
        <v>41</v>
      </c>
      <c r="QGX1" s="404"/>
      <c r="QGY1" s="404"/>
      <c r="QGZ1" s="404"/>
      <c r="QHA1" s="404"/>
      <c r="QHB1" s="404"/>
      <c r="QHC1" s="404"/>
      <c r="QHD1" s="405"/>
      <c r="QHE1" s="432" t="s">
        <v>41</v>
      </c>
      <c r="QHF1" s="404"/>
      <c r="QHG1" s="404"/>
      <c r="QHH1" s="404"/>
      <c r="QHI1" s="404"/>
      <c r="QHJ1" s="404"/>
      <c r="QHK1" s="404"/>
      <c r="QHL1" s="405"/>
      <c r="QHM1" s="432" t="s">
        <v>41</v>
      </c>
      <c r="QHN1" s="404"/>
      <c r="QHO1" s="404"/>
      <c r="QHP1" s="404"/>
      <c r="QHQ1" s="404"/>
      <c r="QHR1" s="404"/>
      <c r="QHS1" s="404"/>
      <c r="QHT1" s="405"/>
      <c r="QHU1" s="432" t="s">
        <v>41</v>
      </c>
      <c r="QHV1" s="404"/>
      <c r="QHW1" s="404"/>
      <c r="QHX1" s="404"/>
      <c r="QHY1" s="404"/>
      <c r="QHZ1" s="404"/>
      <c r="QIA1" s="404"/>
      <c r="QIB1" s="405"/>
      <c r="QIC1" s="432" t="s">
        <v>41</v>
      </c>
      <c r="QID1" s="404"/>
      <c r="QIE1" s="404"/>
      <c r="QIF1" s="404"/>
      <c r="QIG1" s="404"/>
      <c r="QIH1" s="404"/>
      <c r="QII1" s="404"/>
      <c r="QIJ1" s="405"/>
      <c r="QIK1" s="432" t="s">
        <v>41</v>
      </c>
      <c r="QIL1" s="404"/>
      <c r="QIM1" s="404"/>
      <c r="QIN1" s="404"/>
      <c r="QIO1" s="404"/>
      <c r="QIP1" s="404"/>
      <c r="QIQ1" s="404"/>
      <c r="QIR1" s="405"/>
      <c r="QIS1" s="432" t="s">
        <v>41</v>
      </c>
      <c r="QIT1" s="404"/>
      <c r="QIU1" s="404"/>
      <c r="QIV1" s="404"/>
      <c r="QIW1" s="404"/>
      <c r="QIX1" s="404"/>
      <c r="QIY1" s="404"/>
      <c r="QIZ1" s="405"/>
      <c r="QJA1" s="432" t="s">
        <v>41</v>
      </c>
      <c r="QJB1" s="404"/>
      <c r="QJC1" s="404"/>
      <c r="QJD1" s="404"/>
      <c r="QJE1" s="404"/>
      <c r="QJF1" s="404"/>
      <c r="QJG1" s="404"/>
      <c r="QJH1" s="405"/>
      <c r="QJI1" s="432" t="s">
        <v>41</v>
      </c>
      <c r="QJJ1" s="404"/>
      <c r="QJK1" s="404"/>
      <c r="QJL1" s="404"/>
      <c r="QJM1" s="404"/>
      <c r="QJN1" s="404"/>
      <c r="QJO1" s="404"/>
      <c r="QJP1" s="405"/>
      <c r="QJQ1" s="432" t="s">
        <v>41</v>
      </c>
      <c r="QJR1" s="404"/>
      <c r="QJS1" s="404"/>
      <c r="QJT1" s="404"/>
      <c r="QJU1" s="404"/>
      <c r="QJV1" s="404"/>
      <c r="QJW1" s="404"/>
      <c r="QJX1" s="405"/>
      <c r="QJY1" s="432" t="s">
        <v>41</v>
      </c>
      <c r="QJZ1" s="404"/>
      <c r="QKA1" s="404"/>
      <c r="QKB1" s="404"/>
      <c r="QKC1" s="404"/>
      <c r="QKD1" s="404"/>
      <c r="QKE1" s="404"/>
      <c r="QKF1" s="405"/>
      <c r="QKG1" s="432" t="s">
        <v>41</v>
      </c>
      <c r="QKH1" s="404"/>
      <c r="QKI1" s="404"/>
      <c r="QKJ1" s="404"/>
      <c r="QKK1" s="404"/>
      <c r="QKL1" s="404"/>
      <c r="QKM1" s="404"/>
      <c r="QKN1" s="405"/>
      <c r="QKO1" s="432" t="s">
        <v>41</v>
      </c>
      <c r="QKP1" s="404"/>
      <c r="QKQ1" s="404"/>
      <c r="QKR1" s="404"/>
      <c r="QKS1" s="404"/>
      <c r="QKT1" s="404"/>
      <c r="QKU1" s="404"/>
      <c r="QKV1" s="405"/>
      <c r="QKW1" s="432" t="s">
        <v>41</v>
      </c>
      <c r="QKX1" s="404"/>
      <c r="QKY1" s="404"/>
      <c r="QKZ1" s="404"/>
      <c r="QLA1" s="404"/>
      <c r="QLB1" s="404"/>
      <c r="QLC1" s="404"/>
      <c r="QLD1" s="405"/>
      <c r="QLE1" s="432" t="s">
        <v>41</v>
      </c>
      <c r="QLF1" s="404"/>
      <c r="QLG1" s="404"/>
      <c r="QLH1" s="404"/>
      <c r="QLI1" s="404"/>
      <c r="QLJ1" s="404"/>
      <c r="QLK1" s="404"/>
      <c r="QLL1" s="405"/>
      <c r="QLM1" s="432" t="s">
        <v>41</v>
      </c>
      <c r="QLN1" s="404"/>
      <c r="QLO1" s="404"/>
      <c r="QLP1" s="404"/>
      <c r="QLQ1" s="404"/>
      <c r="QLR1" s="404"/>
      <c r="QLS1" s="404"/>
      <c r="QLT1" s="405"/>
      <c r="QLU1" s="432" t="s">
        <v>41</v>
      </c>
      <c r="QLV1" s="404"/>
      <c r="QLW1" s="404"/>
      <c r="QLX1" s="404"/>
      <c r="QLY1" s="404"/>
      <c r="QLZ1" s="404"/>
      <c r="QMA1" s="404"/>
      <c r="QMB1" s="405"/>
      <c r="QMC1" s="432" t="s">
        <v>41</v>
      </c>
      <c r="QMD1" s="404"/>
      <c r="QME1" s="404"/>
      <c r="QMF1" s="404"/>
      <c r="QMG1" s="404"/>
      <c r="QMH1" s="404"/>
      <c r="QMI1" s="404"/>
      <c r="QMJ1" s="405"/>
      <c r="QMK1" s="432" t="s">
        <v>41</v>
      </c>
      <c r="QML1" s="404"/>
      <c r="QMM1" s="404"/>
      <c r="QMN1" s="404"/>
      <c r="QMO1" s="404"/>
      <c r="QMP1" s="404"/>
      <c r="QMQ1" s="404"/>
      <c r="QMR1" s="405"/>
      <c r="QMS1" s="432" t="s">
        <v>41</v>
      </c>
      <c r="QMT1" s="404"/>
      <c r="QMU1" s="404"/>
      <c r="QMV1" s="404"/>
      <c r="QMW1" s="404"/>
      <c r="QMX1" s="404"/>
      <c r="QMY1" s="404"/>
      <c r="QMZ1" s="405"/>
      <c r="QNA1" s="432" t="s">
        <v>41</v>
      </c>
      <c r="QNB1" s="404"/>
      <c r="QNC1" s="404"/>
      <c r="QND1" s="404"/>
      <c r="QNE1" s="404"/>
      <c r="QNF1" s="404"/>
      <c r="QNG1" s="404"/>
      <c r="QNH1" s="405"/>
      <c r="QNI1" s="432" t="s">
        <v>41</v>
      </c>
      <c r="QNJ1" s="404"/>
      <c r="QNK1" s="404"/>
      <c r="QNL1" s="404"/>
      <c r="QNM1" s="404"/>
      <c r="QNN1" s="404"/>
      <c r="QNO1" s="404"/>
      <c r="QNP1" s="405"/>
      <c r="QNQ1" s="432" t="s">
        <v>41</v>
      </c>
      <c r="QNR1" s="404"/>
      <c r="QNS1" s="404"/>
      <c r="QNT1" s="404"/>
      <c r="QNU1" s="404"/>
      <c r="QNV1" s="404"/>
      <c r="QNW1" s="404"/>
      <c r="QNX1" s="405"/>
      <c r="QNY1" s="432" t="s">
        <v>41</v>
      </c>
      <c r="QNZ1" s="404"/>
      <c r="QOA1" s="404"/>
      <c r="QOB1" s="404"/>
      <c r="QOC1" s="404"/>
      <c r="QOD1" s="404"/>
      <c r="QOE1" s="404"/>
      <c r="QOF1" s="405"/>
      <c r="QOG1" s="432" t="s">
        <v>41</v>
      </c>
      <c r="QOH1" s="404"/>
      <c r="QOI1" s="404"/>
      <c r="QOJ1" s="404"/>
      <c r="QOK1" s="404"/>
      <c r="QOL1" s="404"/>
      <c r="QOM1" s="404"/>
      <c r="QON1" s="405"/>
      <c r="QOO1" s="432" t="s">
        <v>41</v>
      </c>
      <c r="QOP1" s="404"/>
      <c r="QOQ1" s="404"/>
      <c r="QOR1" s="404"/>
      <c r="QOS1" s="404"/>
      <c r="QOT1" s="404"/>
      <c r="QOU1" s="404"/>
      <c r="QOV1" s="405"/>
      <c r="QOW1" s="432" t="s">
        <v>41</v>
      </c>
      <c r="QOX1" s="404"/>
      <c r="QOY1" s="404"/>
      <c r="QOZ1" s="404"/>
      <c r="QPA1" s="404"/>
      <c r="QPB1" s="404"/>
      <c r="QPC1" s="404"/>
      <c r="QPD1" s="405"/>
      <c r="QPE1" s="432" t="s">
        <v>41</v>
      </c>
      <c r="QPF1" s="404"/>
      <c r="QPG1" s="404"/>
      <c r="QPH1" s="404"/>
      <c r="QPI1" s="404"/>
      <c r="QPJ1" s="404"/>
      <c r="QPK1" s="404"/>
      <c r="QPL1" s="405"/>
      <c r="QPM1" s="432" t="s">
        <v>41</v>
      </c>
      <c r="QPN1" s="404"/>
      <c r="QPO1" s="404"/>
      <c r="QPP1" s="404"/>
      <c r="QPQ1" s="404"/>
      <c r="QPR1" s="404"/>
      <c r="QPS1" s="404"/>
      <c r="QPT1" s="405"/>
      <c r="QPU1" s="432" t="s">
        <v>41</v>
      </c>
      <c r="QPV1" s="404"/>
      <c r="QPW1" s="404"/>
      <c r="QPX1" s="404"/>
      <c r="QPY1" s="404"/>
      <c r="QPZ1" s="404"/>
      <c r="QQA1" s="404"/>
      <c r="QQB1" s="405"/>
      <c r="QQC1" s="432" t="s">
        <v>41</v>
      </c>
      <c r="QQD1" s="404"/>
      <c r="QQE1" s="404"/>
      <c r="QQF1" s="404"/>
      <c r="QQG1" s="404"/>
      <c r="QQH1" s="404"/>
      <c r="QQI1" s="404"/>
      <c r="QQJ1" s="405"/>
      <c r="QQK1" s="432" t="s">
        <v>41</v>
      </c>
      <c r="QQL1" s="404"/>
      <c r="QQM1" s="404"/>
      <c r="QQN1" s="404"/>
      <c r="QQO1" s="404"/>
      <c r="QQP1" s="404"/>
      <c r="QQQ1" s="404"/>
      <c r="QQR1" s="405"/>
      <c r="QQS1" s="432" t="s">
        <v>41</v>
      </c>
      <c r="QQT1" s="404"/>
      <c r="QQU1" s="404"/>
      <c r="QQV1" s="404"/>
      <c r="QQW1" s="404"/>
      <c r="QQX1" s="404"/>
      <c r="QQY1" s="404"/>
      <c r="QQZ1" s="405"/>
      <c r="QRA1" s="432" t="s">
        <v>41</v>
      </c>
      <c r="QRB1" s="404"/>
      <c r="QRC1" s="404"/>
      <c r="QRD1" s="404"/>
      <c r="QRE1" s="404"/>
      <c r="QRF1" s="404"/>
      <c r="QRG1" s="404"/>
      <c r="QRH1" s="405"/>
      <c r="QRI1" s="432" t="s">
        <v>41</v>
      </c>
      <c r="QRJ1" s="404"/>
      <c r="QRK1" s="404"/>
      <c r="QRL1" s="404"/>
      <c r="QRM1" s="404"/>
      <c r="QRN1" s="404"/>
      <c r="QRO1" s="404"/>
      <c r="QRP1" s="405"/>
      <c r="QRQ1" s="432" t="s">
        <v>41</v>
      </c>
      <c r="QRR1" s="404"/>
      <c r="QRS1" s="404"/>
      <c r="QRT1" s="404"/>
      <c r="QRU1" s="404"/>
      <c r="QRV1" s="404"/>
      <c r="QRW1" s="404"/>
      <c r="QRX1" s="405"/>
      <c r="QRY1" s="432" t="s">
        <v>41</v>
      </c>
      <c r="QRZ1" s="404"/>
      <c r="QSA1" s="404"/>
      <c r="QSB1" s="404"/>
      <c r="QSC1" s="404"/>
      <c r="QSD1" s="404"/>
      <c r="QSE1" s="404"/>
      <c r="QSF1" s="405"/>
      <c r="QSG1" s="432" t="s">
        <v>41</v>
      </c>
      <c r="QSH1" s="404"/>
      <c r="QSI1" s="404"/>
      <c r="QSJ1" s="404"/>
      <c r="QSK1" s="404"/>
      <c r="QSL1" s="404"/>
      <c r="QSM1" s="404"/>
      <c r="QSN1" s="405"/>
      <c r="QSO1" s="432" t="s">
        <v>41</v>
      </c>
      <c r="QSP1" s="404"/>
      <c r="QSQ1" s="404"/>
      <c r="QSR1" s="404"/>
      <c r="QSS1" s="404"/>
      <c r="QST1" s="404"/>
      <c r="QSU1" s="404"/>
      <c r="QSV1" s="405"/>
      <c r="QSW1" s="432" t="s">
        <v>41</v>
      </c>
      <c r="QSX1" s="404"/>
      <c r="QSY1" s="404"/>
      <c r="QSZ1" s="404"/>
      <c r="QTA1" s="404"/>
      <c r="QTB1" s="404"/>
      <c r="QTC1" s="404"/>
      <c r="QTD1" s="405"/>
      <c r="QTE1" s="432" t="s">
        <v>41</v>
      </c>
      <c r="QTF1" s="404"/>
      <c r="QTG1" s="404"/>
      <c r="QTH1" s="404"/>
      <c r="QTI1" s="404"/>
      <c r="QTJ1" s="404"/>
      <c r="QTK1" s="404"/>
      <c r="QTL1" s="405"/>
      <c r="QTM1" s="432" t="s">
        <v>41</v>
      </c>
      <c r="QTN1" s="404"/>
      <c r="QTO1" s="404"/>
      <c r="QTP1" s="404"/>
      <c r="QTQ1" s="404"/>
      <c r="QTR1" s="404"/>
      <c r="QTS1" s="404"/>
      <c r="QTT1" s="405"/>
      <c r="QTU1" s="432" t="s">
        <v>41</v>
      </c>
      <c r="QTV1" s="404"/>
      <c r="QTW1" s="404"/>
      <c r="QTX1" s="404"/>
      <c r="QTY1" s="404"/>
      <c r="QTZ1" s="404"/>
      <c r="QUA1" s="404"/>
      <c r="QUB1" s="405"/>
      <c r="QUC1" s="432" t="s">
        <v>41</v>
      </c>
      <c r="QUD1" s="404"/>
      <c r="QUE1" s="404"/>
      <c r="QUF1" s="404"/>
      <c r="QUG1" s="404"/>
      <c r="QUH1" s="404"/>
      <c r="QUI1" s="404"/>
      <c r="QUJ1" s="405"/>
      <c r="QUK1" s="432" t="s">
        <v>41</v>
      </c>
      <c r="QUL1" s="404"/>
      <c r="QUM1" s="404"/>
      <c r="QUN1" s="404"/>
      <c r="QUO1" s="404"/>
      <c r="QUP1" s="404"/>
      <c r="QUQ1" s="404"/>
      <c r="QUR1" s="405"/>
      <c r="QUS1" s="432" t="s">
        <v>41</v>
      </c>
      <c r="QUT1" s="404"/>
      <c r="QUU1" s="404"/>
      <c r="QUV1" s="404"/>
      <c r="QUW1" s="404"/>
      <c r="QUX1" s="404"/>
      <c r="QUY1" s="404"/>
      <c r="QUZ1" s="405"/>
      <c r="QVA1" s="432" t="s">
        <v>41</v>
      </c>
      <c r="QVB1" s="404"/>
      <c r="QVC1" s="404"/>
      <c r="QVD1" s="404"/>
      <c r="QVE1" s="404"/>
      <c r="QVF1" s="404"/>
      <c r="QVG1" s="404"/>
      <c r="QVH1" s="405"/>
      <c r="QVI1" s="432" t="s">
        <v>41</v>
      </c>
      <c r="QVJ1" s="404"/>
      <c r="QVK1" s="404"/>
      <c r="QVL1" s="404"/>
      <c r="QVM1" s="404"/>
      <c r="QVN1" s="404"/>
      <c r="QVO1" s="404"/>
      <c r="QVP1" s="405"/>
      <c r="QVQ1" s="432" t="s">
        <v>41</v>
      </c>
      <c r="QVR1" s="404"/>
      <c r="QVS1" s="404"/>
      <c r="QVT1" s="404"/>
      <c r="QVU1" s="404"/>
      <c r="QVV1" s="404"/>
      <c r="QVW1" s="404"/>
      <c r="QVX1" s="405"/>
      <c r="QVY1" s="432" t="s">
        <v>41</v>
      </c>
      <c r="QVZ1" s="404"/>
      <c r="QWA1" s="404"/>
      <c r="QWB1" s="404"/>
      <c r="QWC1" s="404"/>
      <c r="QWD1" s="404"/>
      <c r="QWE1" s="404"/>
      <c r="QWF1" s="405"/>
      <c r="QWG1" s="432" t="s">
        <v>41</v>
      </c>
      <c r="QWH1" s="404"/>
      <c r="QWI1" s="404"/>
      <c r="QWJ1" s="404"/>
      <c r="QWK1" s="404"/>
      <c r="QWL1" s="404"/>
      <c r="QWM1" s="404"/>
      <c r="QWN1" s="405"/>
      <c r="QWO1" s="432" t="s">
        <v>41</v>
      </c>
      <c r="QWP1" s="404"/>
      <c r="QWQ1" s="404"/>
      <c r="QWR1" s="404"/>
      <c r="QWS1" s="404"/>
      <c r="QWT1" s="404"/>
      <c r="QWU1" s="404"/>
      <c r="QWV1" s="405"/>
      <c r="QWW1" s="432" t="s">
        <v>41</v>
      </c>
      <c r="QWX1" s="404"/>
      <c r="QWY1" s="404"/>
      <c r="QWZ1" s="404"/>
      <c r="QXA1" s="404"/>
      <c r="QXB1" s="404"/>
      <c r="QXC1" s="404"/>
      <c r="QXD1" s="405"/>
      <c r="QXE1" s="432" t="s">
        <v>41</v>
      </c>
      <c r="QXF1" s="404"/>
      <c r="QXG1" s="404"/>
      <c r="QXH1" s="404"/>
      <c r="QXI1" s="404"/>
      <c r="QXJ1" s="404"/>
      <c r="QXK1" s="404"/>
      <c r="QXL1" s="405"/>
      <c r="QXM1" s="432" t="s">
        <v>41</v>
      </c>
      <c r="QXN1" s="404"/>
      <c r="QXO1" s="404"/>
      <c r="QXP1" s="404"/>
      <c r="QXQ1" s="404"/>
      <c r="QXR1" s="404"/>
      <c r="QXS1" s="404"/>
      <c r="QXT1" s="405"/>
      <c r="QXU1" s="432" t="s">
        <v>41</v>
      </c>
      <c r="QXV1" s="404"/>
      <c r="QXW1" s="404"/>
      <c r="QXX1" s="404"/>
      <c r="QXY1" s="404"/>
      <c r="QXZ1" s="404"/>
      <c r="QYA1" s="404"/>
      <c r="QYB1" s="405"/>
      <c r="QYC1" s="432" t="s">
        <v>41</v>
      </c>
      <c r="QYD1" s="404"/>
      <c r="QYE1" s="404"/>
      <c r="QYF1" s="404"/>
      <c r="QYG1" s="404"/>
      <c r="QYH1" s="404"/>
      <c r="QYI1" s="404"/>
      <c r="QYJ1" s="405"/>
      <c r="QYK1" s="432" t="s">
        <v>41</v>
      </c>
      <c r="QYL1" s="404"/>
      <c r="QYM1" s="404"/>
      <c r="QYN1" s="404"/>
      <c r="QYO1" s="404"/>
      <c r="QYP1" s="404"/>
      <c r="QYQ1" s="404"/>
      <c r="QYR1" s="405"/>
      <c r="QYS1" s="432" t="s">
        <v>41</v>
      </c>
      <c r="QYT1" s="404"/>
      <c r="QYU1" s="404"/>
      <c r="QYV1" s="404"/>
      <c r="QYW1" s="404"/>
      <c r="QYX1" s="404"/>
      <c r="QYY1" s="404"/>
      <c r="QYZ1" s="405"/>
      <c r="QZA1" s="432" t="s">
        <v>41</v>
      </c>
      <c r="QZB1" s="404"/>
      <c r="QZC1" s="404"/>
      <c r="QZD1" s="404"/>
      <c r="QZE1" s="404"/>
      <c r="QZF1" s="404"/>
      <c r="QZG1" s="404"/>
      <c r="QZH1" s="405"/>
      <c r="QZI1" s="432" t="s">
        <v>41</v>
      </c>
      <c r="QZJ1" s="404"/>
      <c r="QZK1" s="404"/>
      <c r="QZL1" s="404"/>
      <c r="QZM1" s="404"/>
      <c r="QZN1" s="404"/>
      <c r="QZO1" s="404"/>
      <c r="QZP1" s="405"/>
      <c r="QZQ1" s="432" t="s">
        <v>41</v>
      </c>
      <c r="QZR1" s="404"/>
      <c r="QZS1" s="404"/>
      <c r="QZT1" s="404"/>
      <c r="QZU1" s="404"/>
      <c r="QZV1" s="404"/>
      <c r="QZW1" s="404"/>
      <c r="QZX1" s="405"/>
      <c r="QZY1" s="432" t="s">
        <v>41</v>
      </c>
      <c r="QZZ1" s="404"/>
      <c r="RAA1" s="404"/>
      <c r="RAB1" s="404"/>
      <c r="RAC1" s="404"/>
      <c r="RAD1" s="404"/>
      <c r="RAE1" s="404"/>
      <c r="RAF1" s="405"/>
      <c r="RAG1" s="432" t="s">
        <v>41</v>
      </c>
      <c r="RAH1" s="404"/>
      <c r="RAI1" s="404"/>
      <c r="RAJ1" s="404"/>
      <c r="RAK1" s="404"/>
      <c r="RAL1" s="404"/>
      <c r="RAM1" s="404"/>
      <c r="RAN1" s="405"/>
      <c r="RAO1" s="432" t="s">
        <v>41</v>
      </c>
      <c r="RAP1" s="404"/>
      <c r="RAQ1" s="404"/>
      <c r="RAR1" s="404"/>
      <c r="RAS1" s="404"/>
      <c r="RAT1" s="404"/>
      <c r="RAU1" s="404"/>
      <c r="RAV1" s="405"/>
      <c r="RAW1" s="432" t="s">
        <v>41</v>
      </c>
      <c r="RAX1" s="404"/>
      <c r="RAY1" s="404"/>
      <c r="RAZ1" s="404"/>
      <c r="RBA1" s="404"/>
      <c r="RBB1" s="404"/>
      <c r="RBC1" s="404"/>
      <c r="RBD1" s="405"/>
      <c r="RBE1" s="432" t="s">
        <v>41</v>
      </c>
      <c r="RBF1" s="404"/>
      <c r="RBG1" s="404"/>
      <c r="RBH1" s="404"/>
      <c r="RBI1" s="404"/>
      <c r="RBJ1" s="404"/>
      <c r="RBK1" s="404"/>
      <c r="RBL1" s="405"/>
      <c r="RBM1" s="432" t="s">
        <v>41</v>
      </c>
      <c r="RBN1" s="404"/>
      <c r="RBO1" s="404"/>
      <c r="RBP1" s="404"/>
      <c r="RBQ1" s="404"/>
      <c r="RBR1" s="404"/>
      <c r="RBS1" s="404"/>
      <c r="RBT1" s="405"/>
      <c r="RBU1" s="432" t="s">
        <v>41</v>
      </c>
      <c r="RBV1" s="404"/>
      <c r="RBW1" s="404"/>
      <c r="RBX1" s="404"/>
      <c r="RBY1" s="404"/>
      <c r="RBZ1" s="404"/>
      <c r="RCA1" s="404"/>
      <c r="RCB1" s="405"/>
      <c r="RCC1" s="432" t="s">
        <v>41</v>
      </c>
      <c r="RCD1" s="404"/>
      <c r="RCE1" s="404"/>
      <c r="RCF1" s="404"/>
      <c r="RCG1" s="404"/>
      <c r="RCH1" s="404"/>
      <c r="RCI1" s="404"/>
      <c r="RCJ1" s="405"/>
      <c r="RCK1" s="432" t="s">
        <v>41</v>
      </c>
      <c r="RCL1" s="404"/>
      <c r="RCM1" s="404"/>
      <c r="RCN1" s="404"/>
      <c r="RCO1" s="404"/>
      <c r="RCP1" s="404"/>
      <c r="RCQ1" s="404"/>
      <c r="RCR1" s="405"/>
      <c r="RCS1" s="432" t="s">
        <v>41</v>
      </c>
      <c r="RCT1" s="404"/>
      <c r="RCU1" s="404"/>
      <c r="RCV1" s="404"/>
      <c r="RCW1" s="404"/>
      <c r="RCX1" s="404"/>
      <c r="RCY1" s="404"/>
      <c r="RCZ1" s="405"/>
      <c r="RDA1" s="432" t="s">
        <v>41</v>
      </c>
      <c r="RDB1" s="404"/>
      <c r="RDC1" s="404"/>
      <c r="RDD1" s="404"/>
      <c r="RDE1" s="404"/>
      <c r="RDF1" s="404"/>
      <c r="RDG1" s="404"/>
      <c r="RDH1" s="405"/>
      <c r="RDI1" s="432" t="s">
        <v>41</v>
      </c>
      <c r="RDJ1" s="404"/>
      <c r="RDK1" s="404"/>
      <c r="RDL1" s="404"/>
      <c r="RDM1" s="404"/>
      <c r="RDN1" s="404"/>
      <c r="RDO1" s="404"/>
      <c r="RDP1" s="405"/>
      <c r="RDQ1" s="432" t="s">
        <v>41</v>
      </c>
      <c r="RDR1" s="404"/>
      <c r="RDS1" s="404"/>
      <c r="RDT1" s="404"/>
      <c r="RDU1" s="404"/>
      <c r="RDV1" s="404"/>
      <c r="RDW1" s="404"/>
      <c r="RDX1" s="405"/>
      <c r="RDY1" s="432" t="s">
        <v>41</v>
      </c>
      <c r="RDZ1" s="404"/>
      <c r="REA1" s="404"/>
      <c r="REB1" s="404"/>
      <c r="REC1" s="404"/>
      <c r="RED1" s="404"/>
      <c r="REE1" s="404"/>
      <c r="REF1" s="405"/>
      <c r="REG1" s="432" t="s">
        <v>41</v>
      </c>
      <c r="REH1" s="404"/>
      <c r="REI1" s="404"/>
      <c r="REJ1" s="404"/>
      <c r="REK1" s="404"/>
      <c r="REL1" s="404"/>
      <c r="REM1" s="404"/>
      <c r="REN1" s="405"/>
      <c r="REO1" s="432" t="s">
        <v>41</v>
      </c>
      <c r="REP1" s="404"/>
      <c r="REQ1" s="404"/>
      <c r="RER1" s="404"/>
      <c r="RES1" s="404"/>
      <c r="RET1" s="404"/>
      <c r="REU1" s="404"/>
      <c r="REV1" s="405"/>
      <c r="REW1" s="432" t="s">
        <v>41</v>
      </c>
      <c r="REX1" s="404"/>
      <c r="REY1" s="404"/>
      <c r="REZ1" s="404"/>
      <c r="RFA1" s="404"/>
      <c r="RFB1" s="404"/>
      <c r="RFC1" s="404"/>
      <c r="RFD1" s="405"/>
      <c r="RFE1" s="432" t="s">
        <v>41</v>
      </c>
      <c r="RFF1" s="404"/>
      <c r="RFG1" s="404"/>
      <c r="RFH1" s="404"/>
      <c r="RFI1" s="404"/>
      <c r="RFJ1" s="404"/>
      <c r="RFK1" s="404"/>
      <c r="RFL1" s="405"/>
      <c r="RFM1" s="432" t="s">
        <v>41</v>
      </c>
      <c r="RFN1" s="404"/>
      <c r="RFO1" s="404"/>
      <c r="RFP1" s="404"/>
      <c r="RFQ1" s="404"/>
      <c r="RFR1" s="404"/>
      <c r="RFS1" s="404"/>
      <c r="RFT1" s="405"/>
      <c r="RFU1" s="432" t="s">
        <v>41</v>
      </c>
      <c r="RFV1" s="404"/>
      <c r="RFW1" s="404"/>
      <c r="RFX1" s="404"/>
      <c r="RFY1" s="404"/>
      <c r="RFZ1" s="404"/>
      <c r="RGA1" s="404"/>
      <c r="RGB1" s="405"/>
      <c r="RGC1" s="432" t="s">
        <v>41</v>
      </c>
      <c r="RGD1" s="404"/>
      <c r="RGE1" s="404"/>
      <c r="RGF1" s="404"/>
      <c r="RGG1" s="404"/>
      <c r="RGH1" s="404"/>
      <c r="RGI1" s="404"/>
      <c r="RGJ1" s="405"/>
      <c r="RGK1" s="432" t="s">
        <v>41</v>
      </c>
      <c r="RGL1" s="404"/>
      <c r="RGM1" s="404"/>
      <c r="RGN1" s="404"/>
      <c r="RGO1" s="404"/>
      <c r="RGP1" s="404"/>
      <c r="RGQ1" s="404"/>
      <c r="RGR1" s="405"/>
      <c r="RGS1" s="432" t="s">
        <v>41</v>
      </c>
      <c r="RGT1" s="404"/>
      <c r="RGU1" s="404"/>
      <c r="RGV1" s="404"/>
      <c r="RGW1" s="404"/>
      <c r="RGX1" s="404"/>
      <c r="RGY1" s="404"/>
      <c r="RGZ1" s="405"/>
      <c r="RHA1" s="432" t="s">
        <v>41</v>
      </c>
      <c r="RHB1" s="404"/>
      <c r="RHC1" s="404"/>
      <c r="RHD1" s="404"/>
      <c r="RHE1" s="404"/>
      <c r="RHF1" s="404"/>
      <c r="RHG1" s="404"/>
      <c r="RHH1" s="405"/>
      <c r="RHI1" s="432" t="s">
        <v>41</v>
      </c>
      <c r="RHJ1" s="404"/>
      <c r="RHK1" s="404"/>
      <c r="RHL1" s="404"/>
      <c r="RHM1" s="404"/>
      <c r="RHN1" s="404"/>
      <c r="RHO1" s="404"/>
      <c r="RHP1" s="405"/>
      <c r="RHQ1" s="432" t="s">
        <v>41</v>
      </c>
      <c r="RHR1" s="404"/>
      <c r="RHS1" s="404"/>
      <c r="RHT1" s="404"/>
      <c r="RHU1" s="404"/>
      <c r="RHV1" s="404"/>
      <c r="RHW1" s="404"/>
      <c r="RHX1" s="405"/>
      <c r="RHY1" s="432" t="s">
        <v>41</v>
      </c>
      <c r="RHZ1" s="404"/>
      <c r="RIA1" s="404"/>
      <c r="RIB1" s="404"/>
      <c r="RIC1" s="404"/>
      <c r="RID1" s="404"/>
      <c r="RIE1" s="404"/>
      <c r="RIF1" s="405"/>
      <c r="RIG1" s="432" t="s">
        <v>41</v>
      </c>
      <c r="RIH1" s="404"/>
      <c r="RII1" s="404"/>
      <c r="RIJ1" s="404"/>
      <c r="RIK1" s="404"/>
      <c r="RIL1" s="404"/>
      <c r="RIM1" s="404"/>
      <c r="RIN1" s="405"/>
      <c r="RIO1" s="432" t="s">
        <v>41</v>
      </c>
      <c r="RIP1" s="404"/>
      <c r="RIQ1" s="404"/>
      <c r="RIR1" s="404"/>
      <c r="RIS1" s="404"/>
      <c r="RIT1" s="404"/>
      <c r="RIU1" s="404"/>
      <c r="RIV1" s="405"/>
      <c r="RIW1" s="432" t="s">
        <v>41</v>
      </c>
      <c r="RIX1" s="404"/>
      <c r="RIY1" s="404"/>
      <c r="RIZ1" s="404"/>
      <c r="RJA1" s="404"/>
      <c r="RJB1" s="404"/>
      <c r="RJC1" s="404"/>
      <c r="RJD1" s="405"/>
      <c r="RJE1" s="432" t="s">
        <v>41</v>
      </c>
      <c r="RJF1" s="404"/>
      <c r="RJG1" s="404"/>
      <c r="RJH1" s="404"/>
      <c r="RJI1" s="404"/>
      <c r="RJJ1" s="404"/>
      <c r="RJK1" s="404"/>
      <c r="RJL1" s="405"/>
      <c r="RJM1" s="432" t="s">
        <v>41</v>
      </c>
      <c r="RJN1" s="404"/>
      <c r="RJO1" s="404"/>
      <c r="RJP1" s="404"/>
      <c r="RJQ1" s="404"/>
      <c r="RJR1" s="404"/>
      <c r="RJS1" s="404"/>
      <c r="RJT1" s="405"/>
      <c r="RJU1" s="432" t="s">
        <v>41</v>
      </c>
      <c r="RJV1" s="404"/>
      <c r="RJW1" s="404"/>
      <c r="RJX1" s="404"/>
      <c r="RJY1" s="404"/>
      <c r="RJZ1" s="404"/>
      <c r="RKA1" s="404"/>
      <c r="RKB1" s="405"/>
      <c r="RKC1" s="432" t="s">
        <v>41</v>
      </c>
      <c r="RKD1" s="404"/>
      <c r="RKE1" s="404"/>
      <c r="RKF1" s="404"/>
      <c r="RKG1" s="404"/>
      <c r="RKH1" s="404"/>
      <c r="RKI1" s="404"/>
      <c r="RKJ1" s="405"/>
      <c r="RKK1" s="432" t="s">
        <v>41</v>
      </c>
      <c r="RKL1" s="404"/>
      <c r="RKM1" s="404"/>
      <c r="RKN1" s="404"/>
      <c r="RKO1" s="404"/>
      <c r="RKP1" s="404"/>
      <c r="RKQ1" s="404"/>
      <c r="RKR1" s="405"/>
      <c r="RKS1" s="432" t="s">
        <v>41</v>
      </c>
      <c r="RKT1" s="404"/>
      <c r="RKU1" s="404"/>
      <c r="RKV1" s="404"/>
      <c r="RKW1" s="404"/>
      <c r="RKX1" s="404"/>
      <c r="RKY1" s="404"/>
      <c r="RKZ1" s="405"/>
      <c r="RLA1" s="432" t="s">
        <v>41</v>
      </c>
      <c r="RLB1" s="404"/>
      <c r="RLC1" s="404"/>
      <c r="RLD1" s="404"/>
      <c r="RLE1" s="404"/>
      <c r="RLF1" s="404"/>
      <c r="RLG1" s="404"/>
      <c r="RLH1" s="405"/>
      <c r="RLI1" s="432" t="s">
        <v>41</v>
      </c>
      <c r="RLJ1" s="404"/>
      <c r="RLK1" s="404"/>
      <c r="RLL1" s="404"/>
      <c r="RLM1" s="404"/>
      <c r="RLN1" s="404"/>
      <c r="RLO1" s="404"/>
      <c r="RLP1" s="405"/>
      <c r="RLQ1" s="432" t="s">
        <v>41</v>
      </c>
      <c r="RLR1" s="404"/>
      <c r="RLS1" s="404"/>
      <c r="RLT1" s="404"/>
      <c r="RLU1" s="404"/>
      <c r="RLV1" s="404"/>
      <c r="RLW1" s="404"/>
      <c r="RLX1" s="405"/>
      <c r="RLY1" s="432" t="s">
        <v>41</v>
      </c>
      <c r="RLZ1" s="404"/>
      <c r="RMA1" s="404"/>
      <c r="RMB1" s="404"/>
      <c r="RMC1" s="404"/>
      <c r="RMD1" s="404"/>
      <c r="RME1" s="404"/>
      <c r="RMF1" s="405"/>
      <c r="RMG1" s="432" t="s">
        <v>41</v>
      </c>
      <c r="RMH1" s="404"/>
      <c r="RMI1" s="404"/>
      <c r="RMJ1" s="404"/>
      <c r="RMK1" s="404"/>
      <c r="RML1" s="404"/>
      <c r="RMM1" s="404"/>
      <c r="RMN1" s="405"/>
      <c r="RMO1" s="432" t="s">
        <v>41</v>
      </c>
      <c r="RMP1" s="404"/>
      <c r="RMQ1" s="404"/>
      <c r="RMR1" s="404"/>
      <c r="RMS1" s="404"/>
      <c r="RMT1" s="404"/>
      <c r="RMU1" s="404"/>
      <c r="RMV1" s="405"/>
      <c r="RMW1" s="432" t="s">
        <v>41</v>
      </c>
      <c r="RMX1" s="404"/>
      <c r="RMY1" s="404"/>
      <c r="RMZ1" s="404"/>
      <c r="RNA1" s="404"/>
      <c r="RNB1" s="404"/>
      <c r="RNC1" s="404"/>
      <c r="RND1" s="405"/>
      <c r="RNE1" s="432" t="s">
        <v>41</v>
      </c>
      <c r="RNF1" s="404"/>
      <c r="RNG1" s="404"/>
      <c r="RNH1" s="404"/>
      <c r="RNI1" s="404"/>
      <c r="RNJ1" s="404"/>
      <c r="RNK1" s="404"/>
      <c r="RNL1" s="405"/>
      <c r="RNM1" s="432" t="s">
        <v>41</v>
      </c>
      <c r="RNN1" s="404"/>
      <c r="RNO1" s="404"/>
      <c r="RNP1" s="404"/>
      <c r="RNQ1" s="404"/>
      <c r="RNR1" s="404"/>
      <c r="RNS1" s="404"/>
      <c r="RNT1" s="405"/>
      <c r="RNU1" s="432" t="s">
        <v>41</v>
      </c>
      <c r="RNV1" s="404"/>
      <c r="RNW1" s="404"/>
      <c r="RNX1" s="404"/>
      <c r="RNY1" s="404"/>
      <c r="RNZ1" s="404"/>
      <c r="ROA1" s="404"/>
      <c r="ROB1" s="405"/>
      <c r="ROC1" s="432" t="s">
        <v>41</v>
      </c>
      <c r="ROD1" s="404"/>
      <c r="ROE1" s="404"/>
      <c r="ROF1" s="404"/>
      <c r="ROG1" s="404"/>
      <c r="ROH1" s="404"/>
      <c r="ROI1" s="404"/>
      <c r="ROJ1" s="405"/>
      <c r="ROK1" s="432" t="s">
        <v>41</v>
      </c>
      <c r="ROL1" s="404"/>
      <c r="ROM1" s="404"/>
      <c r="RON1" s="404"/>
      <c r="ROO1" s="404"/>
      <c r="ROP1" s="404"/>
      <c r="ROQ1" s="404"/>
      <c r="ROR1" s="405"/>
      <c r="ROS1" s="432" t="s">
        <v>41</v>
      </c>
      <c r="ROT1" s="404"/>
      <c r="ROU1" s="404"/>
      <c r="ROV1" s="404"/>
      <c r="ROW1" s="404"/>
      <c r="ROX1" s="404"/>
      <c r="ROY1" s="404"/>
      <c r="ROZ1" s="405"/>
      <c r="RPA1" s="432" t="s">
        <v>41</v>
      </c>
      <c r="RPB1" s="404"/>
      <c r="RPC1" s="404"/>
      <c r="RPD1" s="404"/>
      <c r="RPE1" s="404"/>
      <c r="RPF1" s="404"/>
      <c r="RPG1" s="404"/>
      <c r="RPH1" s="405"/>
      <c r="RPI1" s="432" t="s">
        <v>41</v>
      </c>
      <c r="RPJ1" s="404"/>
      <c r="RPK1" s="404"/>
      <c r="RPL1" s="404"/>
      <c r="RPM1" s="404"/>
      <c r="RPN1" s="404"/>
      <c r="RPO1" s="404"/>
      <c r="RPP1" s="405"/>
      <c r="RPQ1" s="432" t="s">
        <v>41</v>
      </c>
      <c r="RPR1" s="404"/>
      <c r="RPS1" s="404"/>
      <c r="RPT1" s="404"/>
      <c r="RPU1" s="404"/>
      <c r="RPV1" s="404"/>
      <c r="RPW1" s="404"/>
      <c r="RPX1" s="405"/>
      <c r="RPY1" s="432" t="s">
        <v>41</v>
      </c>
      <c r="RPZ1" s="404"/>
      <c r="RQA1" s="404"/>
      <c r="RQB1" s="404"/>
      <c r="RQC1" s="404"/>
      <c r="RQD1" s="404"/>
      <c r="RQE1" s="404"/>
      <c r="RQF1" s="405"/>
      <c r="RQG1" s="432" t="s">
        <v>41</v>
      </c>
      <c r="RQH1" s="404"/>
      <c r="RQI1" s="404"/>
      <c r="RQJ1" s="404"/>
      <c r="RQK1" s="404"/>
      <c r="RQL1" s="404"/>
      <c r="RQM1" s="404"/>
      <c r="RQN1" s="405"/>
      <c r="RQO1" s="432" t="s">
        <v>41</v>
      </c>
      <c r="RQP1" s="404"/>
      <c r="RQQ1" s="404"/>
      <c r="RQR1" s="404"/>
      <c r="RQS1" s="404"/>
      <c r="RQT1" s="404"/>
      <c r="RQU1" s="404"/>
      <c r="RQV1" s="405"/>
      <c r="RQW1" s="432" t="s">
        <v>41</v>
      </c>
      <c r="RQX1" s="404"/>
      <c r="RQY1" s="404"/>
      <c r="RQZ1" s="404"/>
      <c r="RRA1" s="404"/>
      <c r="RRB1" s="404"/>
      <c r="RRC1" s="404"/>
      <c r="RRD1" s="405"/>
      <c r="RRE1" s="432" t="s">
        <v>41</v>
      </c>
      <c r="RRF1" s="404"/>
      <c r="RRG1" s="404"/>
      <c r="RRH1" s="404"/>
      <c r="RRI1" s="404"/>
      <c r="RRJ1" s="404"/>
      <c r="RRK1" s="404"/>
      <c r="RRL1" s="405"/>
      <c r="RRM1" s="432" t="s">
        <v>41</v>
      </c>
      <c r="RRN1" s="404"/>
      <c r="RRO1" s="404"/>
      <c r="RRP1" s="404"/>
      <c r="RRQ1" s="404"/>
      <c r="RRR1" s="404"/>
      <c r="RRS1" s="404"/>
      <c r="RRT1" s="405"/>
      <c r="RRU1" s="432" t="s">
        <v>41</v>
      </c>
      <c r="RRV1" s="404"/>
      <c r="RRW1" s="404"/>
      <c r="RRX1" s="404"/>
      <c r="RRY1" s="404"/>
      <c r="RRZ1" s="404"/>
      <c r="RSA1" s="404"/>
      <c r="RSB1" s="405"/>
      <c r="RSC1" s="432" t="s">
        <v>41</v>
      </c>
      <c r="RSD1" s="404"/>
      <c r="RSE1" s="404"/>
      <c r="RSF1" s="404"/>
      <c r="RSG1" s="404"/>
      <c r="RSH1" s="404"/>
      <c r="RSI1" s="404"/>
      <c r="RSJ1" s="405"/>
      <c r="RSK1" s="432" t="s">
        <v>41</v>
      </c>
      <c r="RSL1" s="404"/>
      <c r="RSM1" s="404"/>
      <c r="RSN1" s="404"/>
      <c r="RSO1" s="404"/>
      <c r="RSP1" s="404"/>
      <c r="RSQ1" s="404"/>
      <c r="RSR1" s="405"/>
      <c r="RSS1" s="432" t="s">
        <v>41</v>
      </c>
      <c r="RST1" s="404"/>
      <c r="RSU1" s="404"/>
      <c r="RSV1" s="404"/>
      <c r="RSW1" s="404"/>
      <c r="RSX1" s="404"/>
      <c r="RSY1" s="404"/>
      <c r="RSZ1" s="405"/>
      <c r="RTA1" s="432" t="s">
        <v>41</v>
      </c>
      <c r="RTB1" s="404"/>
      <c r="RTC1" s="404"/>
      <c r="RTD1" s="404"/>
      <c r="RTE1" s="404"/>
      <c r="RTF1" s="404"/>
      <c r="RTG1" s="404"/>
      <c r="RTH1" s="405"/>
      <c r="RTI1" s="432" t="s">
        <v>41</v>
      </c>
      <c r="RTJ1" s="404"/>
      <c r="RTK1" s="404"/>
      <c r="RTL1" s="404"/>
      <c r="RTM1" s="404"/>
      <c r="RTN1" s="404"/>
      <c r="RTO1" s="404"/>
      <c r="RTP1" s="405"/>
      <c r="RTQ1" s="432" t="s">
        <v>41</v>
      </c>
      <c r="RTR1" s="404"/>
      <c r="RTS1" s="404"/>
      <c r="RTT1" s="404"/>
      <c r="RTU1" s="404"/>
      <c r="RTV1" s="404"/>
      <c r="RTW1" s="404"/>
      <c r="RTX1" s="405"/>
      <c r="RTY1" s="432" t="s">
        <v>41</v>
      </c>
      <c r="RTZ1" s="404"/>
      <c r="RUA1" s="404"/>
      <c r="RUB1" s="404"/>
      <c r="RUC1" s="404"/>
      <c r="RUD1" s="404"/>
      <c r="RUE1" s="404"/>
      <c r="RUF1" s="405"/>
      <c r="RUG1" s="432" t="s">
        <v>41</v>
      </c>
      <c r="RUH1" s="404"/>
      <c r="RUI1" s="404"/>
      <c r="RUJ1" s="404"/>
      <c r="RUK1" s="404"/>
      <c r="RUL1" s="404"/>
      <c r="RUM1" s="404"/>
      <c r="RUN1" s="405"/>
      <c r="RUO1" s="432" t="s">
        <v>41</v>
      </c>
      <c r="RUP1" s="404"/>
      <c r="RUQ1" s="404"/>
      <c r="RUR1" s="404"/>
      <c r="RUS1" s="404"/>
      <c r="RUT1" s="404"/>
      <c r="RUU1" s="404"/>
      <c r="RUV1" s="405"/>
      <c r="RUW1" s="432" t="s">
        <v>41</v>
      </c>
      <c r="RUX1" s="404"/>
      <c r="RUY1" s="404"/>
      <c r="RUZ1" s="404"/>
      <c r="RVA1" s="404"/>
      <c r="RVB1" s="404"/>
      <c r="RVC1" s="404"/>
      <c r="RVD1" s="405"/>
      <c r="RVE1" s="432" t="s">
        <v>41</v>
      </c>
      <c r="RVF1" s="404"/>
      <c r="RVG1" s="404"/>
      <c r="RVH1" s="404"/>
      <c r="RVI1" s="404"/>
      <c r="RVJ1" s="404"/>
      <c r="RVK1" s="404"/>
      <c r="RVL1" s="405"/>
      <c r="RVM1" s="432" t="s">
        <v>41</v>
      </c>
      <c r="RVN1" s="404"/>
      <c r="RVO1" s="404"/>
      <c r="RVP1" s="404"/>
      <c r="RVQ1" s="404"/>
      <c r="RVR1" s="404"/>
      <c r="RVS1" s="404"/>
      <c r="RVT1" s="405"/>
      <c r="RVU1" s="432" t="s">
        <v>41</v>
      </c>
      <c r="RVV1" s="404"/>
      <c r="RVW1" s="404"/>
      <c r="RVX1" s="404"/>
      <c r="RVY1" s="404"/>
      <c r="RVZ1" s="404"/>
      <c r="RWA1" s="404"/>
      <c r="RWB1" s="405"/>
      <c r="RWC1" s="432" t="s">
        <v>41</v>
      </c>
      <c r="RWD1" s="404"/>
      <c r="RWE1" s="404"/>
      <c r="RWF1" s="404"/>
      <c r="RWG1" s="404"/>
      <c r="RWH1" s="404"/>
      <c r="RWI1" s="404"/>
      <c r="RWJ1" s="405"/>
      <c r="RWK1" s="432" t="s">
        <v>41</v>
      </c>
      <c r="RWL1" s="404"/>
      <c r="RWM1" s="404"/>
      <c r="RWN1" s="404"/>
      <c r="RWO1" s="404"/>
      <c r="RWP1" s="404"/>
      <c r="RWQ1" s="404"/>
      <c r="RWR1" s="405"/>
      <c r="RWS1" s="432" t="s">
        <v>41</v>
      </c>
      <c r="RWT1" s="404"/>
      <c r="RWU1" s="404"/>
      <c r="RWV1" s="404"/>
      <c r="RWW1" s="404"/>
      <c r="RWX1" s="404"/>
      <c r="RWY1" s="404"/>
      <c r="RWZ1" s="405"/>
      <c r="RXA1" s="432" t="s">
        <v>41</v>
      </c>
      <c r="RXB1" s="404"/>
      <c r="RXC1" s="404"/>
      <c r="RXD1" s="404"/>
      <c r="RXE1" s="404"/>
      <c r="RXF1" s="404"/>
      <c r="RXG1" s="404"/>
      <c r="RXH1" s="405"/>
      <c r="RXI1" s="432" t="s">
        <v>41</v>
      </c>
      <c r="RXJ1" s="404"/>
      <c r="RXK1" s="404"/>
      <c r="RXL1" s="404"/>
      <c r="RXM1" s="404"/>
      <c r="RXN1" s="404"/>
      <c r="RXO1" s="404"/>
      <c r="RXP1" s="405"/>
      <c r="RXQ1" s="432" t="s">
        <v>41</v>
      </c>
      <c r="RXR1" s="404"/>
      <c r="RXS1" s="404"/>
      <c r="RXT1" s="404"/>
      <c r="RXU1" s="404"/>
      <c r="RXV1" s="404"/>
      <c r="RXW1" s="404"/>
      <c r="RXX1" s="405"/>
      <c r="RXY1" s="432" t="s">
        <v>41</v>
      </c>
      <c r="RXZ1" s="404"/>
      <c r="RYA1" s="404"/>
      <c r="RYB1" s="404"/>
      <c r="RYC1" s="404"/>
      <c r="RYD1" s="404"/>
      <c r="RYE1" s="404"/>
      <c r="RYF1" s="405"/>
      <c r="RYG1" s="432" t="s">
        <v>41</v>
      </c>
      <c r="RYH1" s="404"/>
      <c r="RYI1" s="404"/>
      <c r="RYJ1" s="404"/>
      <c r="RYK1" s="404"/>
      <c r="RYL1" s="404"/>
      <c r="RYM1" s="404"/>
      <c r="RYN1" s="405"/>
      <c r="RYO1" s="432" t="s">
        <v>41</v>
      </c>
      <c r="RYP1" s="404"/>
      <c r="RYQ1" s="404"/>
      <c r="RYR1" s="404"/>
      <c r="RYS1" s="404"/>
      <c r="RYT1" s="404"/>
      <c r="RYU1" s="404"/>
      <c r="RYV1" s="405"/>
      <c r="RYW1" s="432" t="s">
        <v>41</v>
      </c>
      <c r="RYX1" s="404"/>
      <c r="RYY1" s="404"/>
      <c r="RYZ1" s="404"/>
      <c r="RZA1" s="404"/>
      <c r="RZB1" s="404"/>
      <c r="RZC1" s="404"/>
      <c r="RZD1" s="405"/>
      <c r="RZE1" s="432" t="s">
        <v>41</v>
      </c>
      <c r="RZF1" s="404"/>
      <c r="RZG1" s="404"/>
      <c r="RZH1" s="404"/>
      <c r="RZI1" s="404"/>
      <c r="RZJ1" s="404"/>
      <c r="RZK1" s="404"/>
      <c r="RZL1" s="405"/>
      <c r="RZM1" s="432" t="s">
        <v>41</v>
      </c>
      <c r="RZN1" s="404"/>
      <c r="RZO1" s="404"/>
      <c r="RZP1" s="404"/>
      <c r="RZQ1" s="404"/>
      <c r="RZR1" s="404"/>
      <c r="RZS1" s="404"/>
      <c r="RZT1" s="405"/>
      <c r="RZU1" s="432" t="s">
        <v>41</v>
      </c>
      <c r="RZV1" s="404"/>
      <c r="RZW1" s="404"/>
      <c r="RZX1" s="404"/>
      <c r="RZY1" s="404"/>
      <c r="RZZ1" s="404"/>
      <c r="SAA1" s="404"/>
      <c r="SAB1" s="405"/>
      <c r="SAC1" s="432" t="s">
        <v>41</v>
      </c>
      <c r="SAD1" s="404"/>
      <c r="SAE1" s="404"/>
      <c r="SAF1" s="404"/>
      <c r="SAG1" s="404"/>
      <c r="SAH1" s="404"/>
      <c r="SAI1" s="404"/>
      <c r="SAJ1" s="405"/>
      <c r="SAK1" s="432" t="s">
        <v>41</v>
      </c>
      <c r="SAL1" s="404"/>
      <c r="SAM1" s="404"/>
      <c r="SAN1" s="404"/>
      <c r="SAO1" s="404"/>
      <c r="SAP1" s="404"/>
      <c r="SAQ1" s="404"/>
      <c r="SAR1" s="405"/>
      <c r="SAS1" s="432" t="s">
        <v>41</v>
      </c>
      <c r="SAT1" s="404"/>
      <c r="SAU1" s="404"/>
      <c r="SAV1" s="404"/>
      <c r="SAW1" s="404"/>
      <c r="SAX1" s="404"/>
      <c r="SAY1" s="404"/>
      <c r="SAZ1" s="405"/>
      <c r="SBA1" s="432" t="s">
        <v>41</v>
      </c>
      <c r="SBB1" s="404"/>
      <c r="SBC1" s="404"/>
      <c r="SBD1" s="404"/>
      <c r="SBE1" s="404"/>
      <c r="SBF1" s="404"/>
      <c r="SBG1" s="404"/>
      <c r="SBH1" s="405"/>
      <c r="SBI1" s="432" t="s">
        <v>41</v>
      </c>
      <c r="SBJ1" s="404"/>
      <c r="SBK1" s="404"/>
      <c r="SBL1" s="404"/>
      <c r="SBM1" s="404"/>
      <c r="SBN1" s="404"/>
      <c r="SBO1" s="404"/>
      <c r="SBP1" s="405"/>
      <c r="SBQ1" s="432" t="s">
        <v>41</v>
      </c>
      <c r="SBR1" s="404"/>
      <c r="SBS1" s="404"/>
      <c r="SBT1" s="404"/>
      <c r="SBU1" s="404"/>
      <c r="SBV1" s="404"/>
      <c r="SBW1" s="404"/>
      <c r="SBX1" s="405"/>
      <c r="SBY1" s="432" t="s">
        <v>41</v>
      </c>
      <c r="SBZ1" s="404"/>
      <c r="SCA1" s="404"/>
      <c r="SCB1" s="404"/>
      <c r="SCC1" s="404"/>
      <c r="SCD1" s="404"/>
      <c r="SCE1" s="404"/>
      <c r="SCF1" s="405"/>
      <c r="SCG1" s="432" t="s">
        <v>41</v>
      </c>
      <c r="SCH1" s="404"/>
      <c r="SCI1" s="404"/>
      <c r="SCJ1" s="404"/>
      <c r="SCK1" s="404"/>
      <c r="SCL1" s="404"/>
      <c r="SCM1" s="404"/>
      <c r="SCN1" s="405"/>
      <c r="SCO1" s="432" t="s">
        <v>41</v>
      </c>
      <c r="SCP1" s="404"/>
      <c r="SCQ1" s="404"/>
      <c r="SCR1" s="404"/>
      <c r="SCS1" s="404"/>
      <c r="SCT1" s="404"/>
      <c r="SCU1" s="404"/>
      <c r="SCV1" s="405"/>
      <c r="SCW1" s="432" t="s">
        <v>41</v>
      </c>
      <c r="SCX1" s="404"/>
      <c r="SCY1" s="404"/>
      <c r="SCZ1" s="404"/>
      <c r="SDA1" s="404"/>
      <c r="SDB1" s="404"/>
      <c r="SDC1" s="404"/>
      <c r="SDD1" s="405"/>
      <c r="SDE1" s="432" t="s">
        <v>41</v>
      </c>
      <c r="SDF1" s="404"/>
      <c r="SDG1" s="404"/>
      <c r="SDH1" s="404"/>
      <c r="SDI1" s="404"/>
      <c r="SDJ1" s="404"/>
      <c r="SDK1" s="404"/>
      <c r="SDL1" s="405"/>
      <c r="SDM1" s="432" t="s">
        <v>41</v>
      </c>
      <c r="SDN1" s="404"/>
      <c r="SDO1" s="404"/>
      <c r="SDP1" s="404"/>
      <c r="SDQ1" s="404"/>
      <c r="SDR1" s="404"/>
      <c r="SDS1" s="404"/>
      <c r="SDT1" s="405"/>
      <c r="SDU1" s="432" t="s">
        <v>41</v>
      </c>
      <c r="SDV1" s="404"/>
      <c r="SDW1" s="404"/>
      <c r="SDX1" s="404"/>
      <c r="SDY1" s="404"/>
      <c r="SDZ1" s="404"/>
      <c r="SEA1" s="404"/>
      <c r="SEB1" s="405"/>
      <c r="SEC1" s="432" t="s">
        <v>41</v>
      </c>
      <c r="SED1" s="404"/>
      <c r="SEE1" s="404"/>
      <c r="SEF1" s="404"/>
      <c r="SEG1" s="404"/>
      <c r="SEH1" s="404"/>
      <c r="SEI1" s="404"/>
      <c r="SEJ1" s="405"/>
      <c r="SEK1" s="432" t="s">
        <v>41</v>
      </c>
      <c r="SEL1" s="404"/>
      <c r="SEM1" s="404"/>
      <c r="SEN1" s="404"/>
      <c r="SEO1" s="404"/>
      <c r="SEP1" s="404"/>
      <c r="SEQ1" s="404"/>
      <c r="SER1" s="405"/>
      <c r="SES1" s="432" t="s">
        <v>41</v>
      </c>
      <c r="SET1" s="404"/>
      <c r="SEU1" s="404"/>
      <c r="SEV1" s="404"/>
      <c r="SEW1" s="404"/>
      <c r="SEX1" s="404"/>
      <c r="SEY1" s="404"/>
      <c r="SEZ1" s="405"/>
      <c r="SFA1" s="432" t="s">
        <v>41</v>
      </c>
      <c r="SFB1" s="404"/>
      <c r="SFC1" s="404"/>
      <c r="SFD1" s="404"/>
      <c r="SFE1" s="404"/>
      <c r="SFF1" s="404"/>
      <c r="SFG1" s="404"/>
      <c r="SFH1" s="405"/>
      <c r="SFI1" s="432" t="s">
        <v>41</v>
      </c>
      <c r="SFJ1" s="404"/>
      <c r="SFK1" s="404"/>
      <c r="SFL1" s="404"/>
      <c r="SFM1" s="404"/>
      <c r="SFN1" s="404"/>
      <c r="SFO1" s="404"/>
      <c r="SFP1" s="405"/>
      <c r="SFQ1" s="432" t="s">
        <v>41</v>
      </c>
      <c r="SFR1" s="404"/>
      <c r="SFS1" s="404"/>
      <c r="SFT1" s="404"/>
      <c r="SFU1" s="404"/>
      <c r="SFV1" s="404"/>
      <c r="SFW1" s="404"/>
      <c r="SFX1" s="405"/>
      <c r="SFY1" s="432" t="s">
        <v>41</v>
      </c>
      <c r="SFZ1" s="404"/>
      <c r="SGA1" s="404"/>
      <c r="SGB1" s="404"/>
      <c r="SGC1" s="404"/>
      <c r="SGD1" s="404"/>
      <c r="SGE1" s="404"/>
      <c r="SGF1" s="405"/>
      <c r="SGG1" s="432" t="s">
        <v>41</v>
      </c>
      <c r="SGH1" s="404"/>
      <c r="SGI1" s="404"/>
      <c r="SGJ1" s="404"/>
      <c r="SGK1" s="404"/>
      <c r="SGL1" s="404"/>
      <c r="SGM1" s="404"/>
      <c r="SGN1" s="405"/>
      <c r="SGO1" s="432" t="s">
        <v>41</v>
      </c>
      <c r="SGP1" s="404"/>
      <c r="SGQ1" s="404"/>
      <c r="SGR1" s="404"/>
      <c r="SGS1" s="404"/>
      <c r="SGT1" s="404"/>
      <c r="SGU1" s="404"/>
      <c r="SGV1" s="405"/>
      <c r="SGW1" s="432" t="s">
        <v>41</v>
      </c>
      <c r="SGX1" s="404"/>
      <c r="SGY1" s="404"/>
      <c r="SGZ1" s="404"/>
      <c r="SHA1" s="404"/>
      <c r="SHB1" s="404"/>
      <c r="SHC1" s="404"/>
      <c r="SHD1" s="405"/>
      <c r="SHE1" s="432" t="s">
        <v>41</v>
      </c>
      <c r="SHF1" s="404"/>
      <c r="SHG1" s="404"/>
      <c r="SHH1" s="404"/>
      <c r="SHI1" s="404"/>
      <c r="SHJ1" s="404"/>
      <c r="SHK1" s="404"/>
      <c r="SHL1" s="405"/>
      <c r="SHM1" s="432" t="s">
        <v>41</v>
      </c>
      <c r="SHN1" s="404"/>
      <c r="SHO1" s="404"/>
      <c r="SHP1" s="404"/>
      <c r="SHQ1" s="404"/>
      <c r="SHR1" s="404"/>
      <c r="SHS1" s="404"/>
      <c r="SHT1" s="405"/>
      <c r="SHU1" s="432" t="s">
        <v>41</v>
      </c>
      <c r="SHV1" s="404"/>
      <c r="SHW1" s="404"/>
      <c r="SHX1" s="404"/>
      <c r="SHY1" s="404"/>
      <c r="SHZ1" s="404"/>
      <c r="SIA1" s="404"/>
      <c r="SIB1" s="405"/>
      <c r="SIC1" s="432" t="s">
        <v>41</v>
      </c>
      <c r="SID1" s="404"/>
      <c r="SIE1" s="404"/>
      <c r="SIF1" s="404"/>
      <c r="SIG1" s="404"/>
      <c r="SIH1" s="404"/>
      <c r="SII1" s="404"/>
      <c r="SIJ1" s="405"/>
      <c r="SIK1" s="432" t="s">
        <v>41</v>
      </c>
      <c r="SIL1" s="404"/>
      <c r="SIM1" s="404"/>
      <c r="SIN1" s="404"/>
      <c r="SIO1" s="404"/>
      <c r="SIP1" s="404"/>
      <c r="SIQ1" s="404"/>
      <c r="SIR1" s="405"/>
      <c r="SIS1" s="432" t="s">
        <v>41</v>
      </c>
      <c r="SIT1" s="404"/>
      <c r="SIU1" s="404"/>
      <c r="SIV1" s="404"/>
      <c r="SIW1" s="404"/>
      <c r="SIX1" s="404"/>
      <c r="SIY1" s="404"/>
      <c r="SIZ1" s="405"/>
      <c r="SJA1" s="432" t="s">
        <v>41</v>
      </c>
      <c r="SJB1" s="404"/>
      <c r="SJC1" s="404"/>
      <c r="SJD1" s="404"/>
      <c r="SJE1" s="404"/>
      <c r="SJF1" s="404"/>
      <c r="SJG1" s="404"/>
      <c r="SJH1" s="405"/>
      <c r="SJI1" s="432" t="s">
        <v>41</v>
      </c>
      <c r="SJJ1" s="404"/>
      <c r="SJK1" s="404"/>
      <c r="SJL1" s="404"/>
      <c r="SJM1" s="404"/>
      <c r="SJN1" s="404"/>
      <c r="SJO1" s="404"/>
      <c r="SJP1" s="405"/>
      <c r="SJQ1" s="432" t="s">
        <v>41</v>
      </c>
      <c r="SJR1" s="404"/>
      <c r="SJS1" s="404"/>
      <c r="SJT1" s="404"/>
      <c r="SJU1" s="404"/>
      <c r="SJV1" s="404"/>
      <c r="SJW1" s="404"/>
      <c r="SJX1" s="405"/>
      <c r="SJY1" s="432" t="s">
        <v>41</v>
      </c>
      <c r="SJZ1" s="404"/>
      <c r="SKA1" s="404"/>
      <c r="SKB1" s="404"/>
      <c r="SKC1" s="404"/>
      <c r="SKD1" s="404"/>
      <c r="SKE1" s="404"/>
      <c r="SKF1" s="405"/>
      <c r="SKG1" s="432" t="s">
        <v>41</v>
      </c>
      <c r="SKH1" s="404"/>
      <c r="SKI1" s="404"/>
      <c r="SKJ1" s="404"/>
      <c r="SKK1" s="404"/>
      <c r="SKL1" s="404"/>
      <c r="SKM1" s="404"/>
      <c r="SKN1" s="405"/>
      <c r="SKO1" s="432" t="s">
        <v>41</v>
      </c>
      <c r="SKP1" s="404"/>
      <c r="SKQ1" s="404"/>
      <c r="SKR1" s="404"/>
      <c r="SKS1" s="404"/>
      <c r="SKT1" s="404"/>
      <c r="SKU1" s="404"/>
      <c r="SKV1" s="405"/>
      <c r="SKW1" s="432" t="s">
        <v>41</v>
      </c>
      <c r="SKX1" s="404"/>
      <c r="SKY1" s="404"/>
      <c r="SKZ1" s="404"/>
      <c r="SLA1" s="404"/>
      <c r="SLB1" s="404"/>
      <c r="SLC1" s="404"/>
      <c r="SLD1" s="405"/>
      <c r="SLE1" s="432" t="s">
        <v>41</v>
      </c>
      <c r="SLF1" s="404"/>
      <c r="SLG1" s="404"/>
      <c r="SLH1" s="404"/>
      <c r="SLI1" s="404"/>
      <c r="SLJ1" s="404"/>
      <c r="SLK1" s="404"/>
      <c r="SLL1" s="405"/>
      <c r="SLM1" s="432" t="s">
        <v>41</v>
      </c>
      <c r="SLN1" s="404"/>
      <c r="SLO1" s="404"/>
      <c r="SLP1" s="404"/>
      <c r="SLQ1" s="404"/>
      <c r="SLR1" s="404"/>
      <c r="SLS1" s="404"/>
      <c r="SLT1" s="405"/>
      <c r="SLU1" s="432" t="s">
        <v>41</v>
      </c>
      <c r="SLV1" s="404"/>
      <c r="SLW1" s="404"/>
      <c r="SLX1" s="404"/>
      <c r="SLY1" s="404"/>
      <c r="SLZ1" s="404"/>
      <c r="SMA1" s="404"/>
      <c r="SMB1" s="405"/>
      <c r="SMC1" s="432" t="s">
        <v>41</v>
      </c>
      <c r="SMD1" s="404"/>
      <c r="SME1" s="404"/>
      <c r="SMF1" s="404"/>
      <c r="SMG1" s="404"/>
      <c r="SMH1" s="404"/>
      <c r="SMI1" s="404"/>
      <c r="SMJ1" s="405"/>
      <c r="SMK1" s="432" t="s">
        <v>41</v>
      </c>
      <c r="SML1" s="404"/>
      <c r="SMM1" s="404"/>
      <c r="SMN1" s="404"/>
      <c r="SMO1" s="404"/>
      <c r="SMP1" s="404"/>
      <c r="SMQ1" s="404"/>
      <c r="SMR1" s="405"/>
      <c r="SMS1" s="432" t="s">
        <v>41</v>
      </c>
      <c r="SMT1" s="404"/>
      <c r="SMU1" s="404"/>
      <c r="SMV1" s="404"/>
      <c r="SMW1" s="404"/>
      <c r="SMX1" s="404"/>
      <c r="SMY1" s="404"/>
      <c r="SMZ1" s="405"/>
      <c r="SNA1" s="432" t="s">
        <v>41</v>
      </c>
      <c r="SNB1" s="404"/>
      <c r="SNC1" s="404"/>
      <c r="SND1" s="404"/>
      <c r="SNE1" s="404"/>
      <c r="SNF1" s="404"/>
      <c r="SNG1" s="404"/>
      <c r="SNH1" s="405"/>
      <c r="SNI1" s="432" t="s">
        <v>41</v>
      </c>
      <c r="SNJ1" s="404"/>
      <c r="SNK1" s="404"/>
      <c r="SNL1" s="404"/>
      <c r="SNM1" s="404"/>
      <c r="SNN1" s="404"/>
      <c r="SNO1" s="404"/>
      <c r="SNP1" s="405"/>
      <c r="SNQ1" s="432" t="s">
        <v>41</v>
      </c>
      <c r="SNR1" s="404"/>
      <c r="SNS1" s="404"/>
      <c r="SNT1" s="404"/>
      <c r="SNU1" s="404"/>
      <c r="SNV1" s="404"/>
      <c r="SNW1" s="404"/>
      <c r="SNX1" s="405"/>
      <c r="SNY1" s="432" t="s">
        <v>41</v>
      </c>
      <c r="SNZ1" s="404"/>
      <c r="SOA1" s="404"/>
      <c r="SOB1" s="404"/>
      <c r="SOC1" s="404"/>
      <c r="SOD1" s="404"/>
      <c r="SOE1" s="404"/>
      <c r="SOF1" s="405"/>
      <c r="SOG1" s="432" t="s">
        <v>41</v>
      </c>
      <c r="SOH1" s="404"/>
      <c r="SOI1" s="404"/>
      <c r="SOJ1" s="404"/>
      <c r="SOK1" s="404"/>
      <c r="SOL1" s="404"/>
      <c r="SOM1" s="404"/>
      <c r="SON1" s="405"/>
      <c r="SOO1" s="432" t="s">
        <v>41</v>
      </c>
      <c r="SOP1" s="404"/>
      <c r="SOQ1" s="404"/>
      <c r="SOR1" s="404"/>
      <c r="SOS1" s="404"/>
      <c r="SOT1" s="404"/>
      <c r="SOU1" s="404"/>
      <c r="SOV1" s="405"/>
      <c r="SOW1" s="432" t="s">
        <v>41</v>
      </c>
      <c r="SOX1" s="404"/>
      <c r="SOY1" s="404"/>
      <c r="SOZ1" s="404"/>
      <c r="SPA1" s="404"/>
      <c r="SPB1" s="404"/>
      <c r="SPC1" s="404"/>
      <c r="SPD1" s="405"/>
      <c r="SPE1" s="432" t="s">
        <v>41</v>
      </c>
      <c r="SPF1" s="404"/>
      <c r="SPG1" s="404"/>
      <c r="SPH1" s="404"/>
      <c r="SPI1" s="404"/>
      <c r="SPJ1" s="404"/>
      <c r="SPK1" s="404"/>
      <c r="SPL1" s="405"/>
      <c r="SPM1" s="432" t="s">
        <v>41</v>
      </c>
      <c r="SPN1" s="404"/>
      <c r="SPO1" s="404"/>
      <c r="SPP1" s="404"/>
      <c r="SPQ1" s="404"/>
      <c r="SPR1" s="404"/>
      <c r="SPS1" s="404"/>
      <c r="SPT1" s="405"/>
      <c r="SPU1" s="432" t="s">
        <v>41</v>
      </c>
      <c r="SPV1" s="404"/>
      <c r="SPW1" s="404"/>
      <c r="SPX1" s="404"/>
      <c r="SPY1" s="404"/>
      <c r="SPZ1" s="404"/>
      <c r="SQA1" s="404"/>
      <c r="SQB1" s="405"/>
      <c r="SQC1" s="432" t="s">
        <v>41</v>
      </c>
      <c r="SQD1" s="404"/>
      <c r="SQE1" s="404"/>
      <c r="SQF1" s="404"/>
      <c r="SQG1" s="404"/>
      <c r="SQH1" s="404"/>
      <c r="SQI1" s="404"/>
      <c r="SQJ1" s="405"/>
      <c r="SQK1" s="432" t="s">
        <v>41</v>
      </c>
      <c r="SQL1" s="404"/>
      <c r="SQM1" s="404"/>
      <c r="SQN1" s="404"/>
      <c r="SQO1" s="404"/>
      <c r="SQP1" s="404"/>
      <c r="SQQ1" s="404"/>
      <c r="SQR1" s="405"/>
      <c r="SQS1" s="432" t="s">
        <v>41</v>
      </c>
      <c r="SQT1" s="404"/>
      <c r="SQU1" s="404"/>
      <c r="SQV1" s="404"/>
      <c r="SQW1" s="404"/>
      <c r="SQX1" s="404"/>
      <c r="SQY1" s="404"/>
      <c r="SQZ1" s="405"/>
      <c r="SRA1" s="432" t="s">
        <v>41</v>
      </c>
      <c r="SRB1" s="404"/>
      <c r="SRC1" s="404"/>
      <c r="SRD1" s="404"/>
      <c r="SRE1" s="404"/>
      <c r="SRF1" s="404"/>
      <c r="SRG1" s="404"/>
      <c r="SRH1" s="405"/>
      <c r="SRI1" s="432" t="s">
        <v>41</v>
      </c>
      <c r="SRJ1" s="404"/>
      <c r="SRK1" s="404"/>
      <c r="SRL1" s="404"/>
      <c r="SRM1" s="404"/>
      <c r="SRN1" s="404"/>
      <c r="SRO1" s="404"/>
      <c r="SRP1" s="405"/>
      <c r="SRQ1" s="432" t="s">
        <v>41</v>
      </c>
      <c r="SRR1" s="404"/>
      <c r="SRS1" s="404"/>
      <c r="SRT1" s="404"/>
      <c r="SRU1" s="404"/>
      <c r="SRV1" s="404"/>
      <c r="SRW1" s="404"/>
      <c r="SRX1" s="405"/>
      <c r="SRY1" s="432" t="s">
        <v>41</v>
      </c>
      <c r="SRZ1" s="404"/>
      <c r="SSA1" s="404"/>
      <c r="SSB1" s="404"/>
      <c r="SSC1" s="404"/>
      <c r="SSD1" s="404"/>
      <c r="SSE1" s="404"/>
      <c r="SSF1" s="405"/>
      <c r="SSG1" s="432" t="s">
        <v>41</v>
      </c>
      <c r="SSH1" s="404"/>
      <c r="SSI1" s="404"/>
      <c r="SSJ1" s="404"/>
      <c r="SSK1" s="404"/>
      <c r="SSL1" s="404"/>
      <c r="SSM1" s="404"/>
      <c r="SSN1" s="405"/>
      <c r="SSO1" s="432" t="s">
        <v>41</v>
      </c>
      <c r="SSP1" s="404"/>
      <c r="SSQ1" s="404"/>
      <c r="SSR1" s="404"/>
      <c r="SSS1" s="404"/>
      <c r="SST1" s="404"/>
      <c r="SSU1" s="404"/>
      <c r="SSV1" s="405"/>
      <c r="SSW1" s="432" t="s">
        <v>41</v>
      </c>
      <c r="SSX1" s="404"/>
      <c r="SSY1" s="404"/>
      <c r="SSZ1" s="404"/>
      <c r="STA1" s="404"/>
      <c r="STB1" s="404"/>
      <c r="STC1" s="404"/>
      <c r="STD1" s="405"/>
      <c r="STE1" s="432" t="s">
        <v>41</v>
      </c>
      <c r="STF1" s="404"/>
      <c r="STG1" s="404"/>
      <c r="STH1" s="404"/>
      <c r="STI1" s="404"/>
      <c r="STJ1" s="404"/>
      <c r="STK1" s="404"/>
      <c r="STL1" s="405"/>
      <c r="STM1" s="432" t="s">
        <v>41</v>
      </c>
      <c r="STN1" s="404"/>
      <c r="STO1" s="404"/>
      <c r="STP1" s="404"/>
      <c r="STQ1" s="404"/>
      <c r="STR1" s="404"/>
      <c r="STS1" s="404"/>
      <c r="STT1" s="405"/>
      <c r="STU1" s="432" t="s">
        <v>41</v>
      </c>
      <c r="STV1" s="404"/>
      <c r="STW1" s="404"/>
      <c r="STX1" s="404"/>
      <c r="STY1" s="404"/>
      <c r="STZ1" s="404"/>
      <c r="SUA1" s="404"/>
      <c r="SUB1" s="405"/>
      <c r="SUC1" s="432" t="s">
        <v>41</v>
      </c>
      <c r="SUD1" s="404"/>
      <c r="SUE1" s="404"/>
      <c r="SUF1" s="404"/>
      <c r="SUG1" s="404"/>
      <c r="SUH1" s="404"/>
      <c r="SUI1" s="404"/>
      <c r="SUJ1" s="405"/>
      <c r="SUK1" s="432" t="s">
        <v>41</v>
      </c>
      <c r="SUL1" s="404"/>
      <c r="SUM1" s="404"/>
      <c r="SUN1" s="404"/>
      <c r="SUO1" s="404"/>
      <c r="SUP1" s="404"/>
      <c r="SUQ1" s="404"/>
      <c r="SUR1" s="405"/>
      <c r="SUS1" s="432" t="s">
        <v>41</v>
      </c>
      <c r="SUT1" s="404"/>
      <c r="SUU1" s="404"/>
      <c r="SUV1" s="404"/>
      <c r="SUW1" s="404"/>
      <c r="SUX1" s="404"/>
      <c r="SUY1" s="404"/>
      <c r="SUZ1" s="405"/>
      <c r="SVA1" s="432" t="s">
        <v>41</v>
      </c>
      <c r="SVB1" s="404"/>
      <c r="SVC1" s="404"/>
      <c r="SVD1" s="404"/>
      <c r="SVE1" s="404"/>
      <c r="SVF1" s="404"/>
      <c r="SVG1" s="404"/>
      <c r="SVH1" s="405"/>
      <c r="SVI1" s="432" t="s">
        <v>41</v>
      </c>
      <c r="SVJ1" s="404"/>
      <c r="SVK1" s="404"/>
      <c r="SVL1" s="404"/>
      <c r="SVM1" s="404"/>
      <c r="SVN1" s="404"/>
      <c r="SVO1" s="404"/>
      <c r="SVP1" s="405"/>
      <c r="SVQ1" s="432" t="s">
        <v>41</v>
      </c>
      <c r="SVR1" s="404"/>
      <c r="SVS1" s="404"/>
      <c r="SVT1" s="404"/>
      <c r="SVU1" s="404"/>
      <c r="SVV1" s="404"/>
      <c r="SVW1" s="404"/>
      <c r="SVX1" s="405"/>
      <c r="SVY1" s="432" t="s">
        <v>41</v>
      </c>
      <c r="SVZ1" s="404"/>
      <c r="SWA1" s="404"/>
      <c r="SWB1" s="404"/>
      <c r="SWC1" s="404"/>
      <c r="SWD1" s="404"/>
      <c r="SWE1" s="404"/>
      <c r="SWF1" s="405"/>
      <c r="SWG1" s="432" t="s">
        <v>41</v>
      </c>
      <c r="SWH1" s="404"/>
      <c r="SWI1" s="404"/>
      <c r="SWJ1" s="404"/>
      <c r="SWK1" s="404"/>
      <c r="SWL1" s="404"/>
      <c r="SWM1" s="404"/>
      <c r="SWN1" s="405"/>
      <c r="SWO1" s="432" t="s">
        <v>41</v>
      </c>
      <c r="SWP1" s="404"/>
      <c r="SWQ1" s="404"/>
      <c r="SWR1" s="404"/>
      <c r="SWS1" s="404"/>
      <c r="SWT1" s="404"/>
      <c r="SWU1" s="404"/>
      <c r="SWV1" s="405"/>
      <c r="SWW1" s="432" t="s">
        <v>41</v>
      </c>
      <c r="SWX1" s="404"/>
      <c r="SWY1" s="404"/>
      <c r="SWZ1" s="404"/>
      <c r="SXA1" s="404"/>
      <c r="SXB1" s="404"/>
      <c r="SXC1" s="404"/>
      <c r="SXD1" s="405"/>
      <c r="SXE1" s="432" t="s">
        <v>41</v>
      </c>
      <c r="SXF1" s="404"/>
      <c r="SXG1" s="404"/>
      <c r="SXH1" s="404"/>
      <c r="SXI1" s="404"/>
      <c r="SXJ1" s="404"/>
      <c r="SXK1" s="404"/>
      <c r="SXL1" s="405"/>
      <c r="SXM1" s="432" t="s">
        <v>41</v>
      </c>
      <c r="SXN1" s="404"/>
      <c r="SXO1" s="404"/>
      <c r="SXP1" s="404"/>
      <c r="SXQ1" s="404"/>
      <c r="SXR1" s="404"/>
      <c r="SXS1" s="404"/>
      <c r="SXT1" s="405"/>
      <c r="SXU1" s="432" t="s">
        <v>41</v>
      </c>
      <c r="SXV1" s="404"/>
      <c r="SXW1" s="404"/>
      <c r="SXX1" s="404"/>
      <c r="SXY1" s="404"/>
      <c r="SXZ1" s="404"/>
      <c r="SYA1" s="404"/>
      <c r="SYB1" s="405"/>
      <c r="SYC1" s="432" t="s">
        <v>41</v>
      </c>
      <c r="SYD1" s="404"/>
      <c r="SYE1" s="404"/>
      <c r="SYF1" s="404"/>
      <c r="SYG1" s="404"/>
      <c r="SYH1" s="404"/>
      <c r="SYI1" s="404"/>
      <c r="SYJ1" s="405"/>
      <c r="SYK1" s="432" t="s">
        <v>41</v>
      </c>
      <c r="SYL1" s="404"/>
      <c r="SYM1" s="404"/>
      <c r="SYN1" s="404"/>
      <c r="SYO1" s="404"/>
      <c r="SYP1" s="404"/>
      <c r="SYQ1" s="404"/>
      <c r="SYR1" s="405"/>
      <c r="SYS1" s="432" t="s">
        <v>41</v>
      </c>
      <c r="SYT1" s="404"/>
      <c r="SYU1" s="404"/>
      <c r="SYV1" s="404"/>
      <c r="SYW1" s="404"/>
      <c r="SYX1" s="404"/>
      <c r="SYY1" s="404"/>
      <c r="SYZ1" s="405"/>
      <c r="SZA1" s="432" t="s">
        <v>41</v>
      </c>
      <c r="SZB1" s="404"/>
      <c r="SZC1" s="404"/>
      <c r="SZD1" s="404"/>
      <c r="SZE1" s="404"/>
      <c r="SZF1" s="404"/>
      <c r="SZG1" s="404"/>
      <c r="SZH1" s="405"/>
      <c r="SZI1" s="432" t="s">
        <v>41</v>
      </c>
      <c r="SZJ1" s="404"/>
      <c r="SZK1" s="404"/>
      <c r="SZL1" s="404"/>
      <c r="SZM1" s="404"/>
      <c r="SZN1" s="404"/>
      <c r="SZO1" s="404"/>
      <c r="SZP1" s="405"/>
      <c r="SZQ1" s="432" t="s">
        <v>41</v>
      </c>
      <c r="SZR1" s="404"/>
      <c r="SZS1" s="404"/>
      <c r="SZT1" s="404"/>
      <c r="SZU1" s="404"/>
      <c r="SZV1" s="404"/>
      <c r="SZW1" s="404"/>
      <c r="SZX1" s="405"/>
      <c r="SZY1" s="432" t="s">
        <v>41</v>
      </c>
      <c r="SZZ1" s="404"/>
      <c r="TAA1" s="404"/>
      <c r="TAB1" s="404"/>
      <c r="TAC1" s="404"/>
      <c r="TAD1" s="404"/>
      <c r="TAE1" s="404"/>
      <c r="TAF1" s="405"/>
      <c r="TAG1" s="432" t="s">
        <v>41</v>
      </c>
      <c r="TAH1" s="404"/>
      <c r="TAI1" s="404"/>
      <c r="TAJ1" s="404"/>
      <c r="TAK1" s="404"/>
      <c r="TAL1" s="404"/>
      <c r="TAM1" s="404"/>
      <c r="TAN1" s="405"/>
      <c r="TAO1" s="432" t="s">
        <v>41</v>
      </c>
      <c r="TAP1" s="404"/>
      <c r="TAQ1" s="404"/>
      <c r="TAR1" s="404"/>
      <c r="TAS1" s="404"/>
      <c r="TAT1" s="404"/>
      <c r="TAU1" s="404"/>
      <c r="TAV1" s="405"/>
      <c r="TAW1" s="432" t="s">
        <v>41</v>
      </c>
      <c r="TAX1" s="404"/>
      <c r="TAY1" s="404"/>
      <c r="TAZ1" s="404"/>
      <c r="TBA1" s="404"/>
      <c r="TBB1" s="404"/>
      <c r="TBC1" s="404"/>
      <c r="TBD1" s="405"/>
      <c r="TBE1" s="432" t="s">
        <v>41</v>
      </c>
      <c r="TBF1" s="404"/>
      <c r="TBG1" s="404"/>
      <c r="TBH1" s="404"/>
      <c r="TBI1" s="404"/>
      <c r="TBJ1" s="404"/>
      <c r="TBK1" s="404"/>
      <c r="TBL1" s="405"/>
      <c r="TBM1" s="432" t="s">
        <v>41</v>
      </c>
      <c r="TBN1" s="404"/>
      <c r="TBO1" s="404"/>
      <c r="TBP1" s="404"/>
      <c r="TBQ1" s="404"/>
      <c r="TBR1" s="404"/>
      <c r="TBS1" s="404"/>
      <c r="TBT1" s="405"/>
      <c r="TBU1" s="432" t="s">
        <v>41</v>
      </c>
      <c r="TBV1" s="404"/>
      <c r="TBW1" s="404"/>
      <c r="TBX1" s="404"/>
      <c r="TBY1" s="404"/>
      <c r="TBZ1" s="404"/>
      <c r="TCA1" s="404"/>
      <c r="TCB1" s="405"/>
      <c r="TCC1" s="432" t="s">
        <v>41</v>
      </c>
      <c r="TCD1" s="404"/>
      <c r="TCE1" s="404"/>
      <c r="TCF1" s="404"/>
      <c r="TCG1" s="404"/>
      <c r="TCH1" s="404"/>
      <c r="TCI1" s="404"/>
      <c r="TCJ1" s="405"/>
      <c r="TCK1" s="432" t="s">
        <v>41</v>
      </c>
      <c r="TCL1" s="404"/>
      <c r="TCM1" s="404"/>
      <c r="TCN1" s="404"/>
      <c r="TCO1" s="404"/>
      <c r="TCP1" s="404"/>
      <c r="TCQ1" s="404"/>
      <c r="TCR1" s="405"/>
      <c r="TCS1" s="432" t="s">
        <v>41</v>
      </c>
      <c r="TCT1" s="404"/>
      <c r="TCU1" s="404"/>
      <c r="TCV1" s="404"/>
      <c r="TCW1" s="404"/>
      <c r="TCX1" s="404"/>
      <c r="TCY1" s="404"/>
      <c r="TCZ1" s="405"/>
      <c r="TDA1" s="432" t="s">
        <v>41</v>
      </c>
      <c r="TDB1" s="404"/>
      <c r="TDC1" s="404"/>
      <c r="TDD1" s="404"/>
      <c r="TDE1" s="404"/>
      <c r="TDF1" s="404"/>
      <c r="TDG1" s="404"/>
      <c r="TDH1" s="405"/>
      <c r="TDI1" s="432" t="s">
        <v>41</v>
      </c>
      <c r="TDJ1" s="404"/>
      <c r="TDK1" s="404"/>
      <c r="TDL1" s="404"/>
      <c r="TDM1" s="404"/>
      <c r="TDN1" s="404"/>
      <c r="TDO1" s="404"/>
      <c r="TDP1" s="405"/>
      <c r="TDQ1" s="432" t="s">
        <v>41</v>
      </c>
      <c r="TDR1" s="404"/>
      <c r="TDS1" s="404"/>
      <c r="TDT1" s="404"/>
      <c r="TDU1" s="404"/>
      <c r="TDV1" s="404"/>
      <c r="TDW1" s="404"/>
      <c r="TDX1" s="405"/>
      <c r="TDY1" s="432" t="s">
        <v>41</v>
      </c>
      <c r="TDZ1" s="404"/>
      <c r="TEA1" s="404"/>
      <c r="TEB1" s="404"/>
      <c r="TEC1" s="404"/>
      <c r="TED1" s="404"/>
      <c r="TEE1" s="404"/>
      <c r="TEF1" s="405"/>
      <c r="TEG1" s="432" t="s">
        <v>41</v>
      </c>
      <c r="TEH1" s="404"/>
      <c r="TEI1" s="404"/>
      <c r="TEJ1" s="404"/>
      <c r="TEK1" s="404"/>
      <c r="TEL1" s="404"/>
      <c r="TEM1" s="404"/>
      <c r="TEN1" s="405"/>
      <c r="TEO1" s="432" t="s">
        <v>41</v>
      </c>
      <c r="TEP1" s="404"/>
      <c r="TEQ1" s="404"/>
      <c r="TER1" s="404"/>
      <c r="TES1" s="404"/>
      <c r="TET1" s="404"/>
      <c r="TEU1" s="404"/>
      <c r="TEV1" s="405"/>
      <c r="TEW1" s="432" t="s">
        <v>41</v>
      </c>
      <c r="TEX1" s="404"/>
      <c r="TEY1" s="404"/>
      <c r="TEZ1" s="404"/>
      <c r="TFA1" s="404"/>
      <c r="TFB1" s="404"/>
      <c r="TFC1" s="404"/>
      <c r="TFD1" s="405"/>
      <c r="TFE1" s="432" t="s">
        <v>41</v>
      </c>
      <c r="TFF1" s="404"/>
      <c r="TFG1" s="404"/>
      <c r="TFH1" s="404"/>
      <c r="TFI1" s="404"/>
      <c r="TFJ1" s="404"/>
      <c r="TFK1" s="404"/>
      <c r="TFL1" s="405"/>
      <c r="TFM1" s="432" t="s">
        <v>41</v>
      </c>
      <c r="TFN1" s="404"/>
      <c r="TFO1" s="404"/>
      <c r="TFP1" s="404"/>
      <c r="TFQ1" s="404"/>
      <c r="TFR1" s="404"/>
      <c r="TFS1" s="404"/>
      <c r="TFT1" s="405"/>
      <c r="TFU1" s="432" t="s">
        <v>41</v>
      </c>
      <c r="TFV1" s="404"/>
      <c r="TFW1" s="404"/>
      <c r="TFX1" s="404"/>
      <c r="TFY1" s="404"/>
      <c r="TFZ1" s="404"/>
      <c r="TGA1" s="404"/>
      <c r="TGB1" s="405"/>
      <c r="TGC1" s="432" t="s">
        <v>41</v>
      </c>
      <c r="TGD1" s="404"/>
      <c r="TGE1" s="404"/>
      <c r="TGF1" s="404"/>
      <c r="TGG1" s="404"/>
      <c r="TGH1" s="404"/>
      <c r="TGI1" s="404"/>
      <c r="TGJ1" s="405"/>
      <c r="TGK1" s="432" t="s">
        <v>41</v>
      </c>
      <c r="TGL1" s="404"/>
      <c r="TGM1" s="404"/>
      <c r="TGN1" s="404"/>
      <c r="TGO1" s="404"/>
      <c r="TGP1" s="404"/>
      <c r="TGQ1" s="404"/>
      <c r="TGR1" s="405"/>
      <c r="TGS1" s="432" t="s">
        <v>41</v>
      </c>
      <c r="TGT1" s="404"/>
      <c r="TGU1" s="404"/>
      <c r="TGV1" s="404"/>
      <c r="TGW1" s="404"/>
      <c r="TGX1" s="404"/>
      <c r="TGY1" s="404"/>
      <c r="TGZ1" s="405"/>
      <c r="THA1" s="432" t="s">
        <v>41</v>
      </c>
      <c r="THB1" s="404"/>
      <c r="THC1" s="404"/>
      <c r="THD1" s="404"/>
      <c r="THE1" s="404"/>
      <c r="THF1" s="404"/>
      <c r="THG1" s="404"/>
      <c r="THH1" s="405"/>
      <c r="THI1" s="432" t="s">
        <v>41</v>
      </c>
      <c r="THJ1" s="404"/>
      <c r="THK1" s="404"/>
      <c r="THL1" s="404"/>
      <c r="THM1" s="404"/>
      <c r="THN1" s="404"/>
      <c r="THO1" s="404"/>
      <c r="THP1" s="405"/>
      <c r="THQ1" s="432" t="s">
        <v>41</v>
      </c>
      <c r="THR1" s="404"/>
      <c r="THS1" s="404"/>
      <c r="THT1" s="404"/>
      <c r="THU1" s="404"/>
      <c r="THV1" s="404"/>
      <c r="THW1" s="404"/>
      <c r="THX1" s="405"/>
      <c r="THY1" s="432" t="s">
        <v>41</v>
      </c>
      <c r="THZ1" s="404"/>
      <c r="TIA1" s="404"/>
      <c r="TIB1" s="404"/>
      <c r="TIC1" s="404"/>
      <c r="TID1" s="404"/>
      <c r="TIE1" s="404"/>
      <c r="TIF1" s="405"/>
      <c r="TIG1" s="432" t="s">
        <v>41</v>
      </c>
      <c r="TIH1" s="404"/>
      <c r="TII1" s="404"/>
      <c r="TIJ1" s="404"/>
      <c r="TIK1" s="404"/>
      <c r="TIL1" s="404"/>
      <c r="TIM1" s="404"/>
      <c r="TIN1" s="405"/>
      <c r="TIO1" s="432" t="s">
        <v>41</v>
      </c>
      <c r="TIP1" s="404"/>
      <c r="TIQ1" s="404"/>
      <c r="TIR1" s="404"/>
      <c r="TIS1" s="404"/>
      <c r="TIT1" s="404"/>
      <c r="TIU1" s="404"/>
      <c r="TIV1" s="405"/>
      <c r="TIW1" s="432" t="s">
        <v>41</v>
      </c>
      <c r="TIX1" s="404"/>
      <c r="TIY1" s="404"/>
      <c r="TIZ1" s="404"/>
      <c r="TJA1" s="404"/>
      <c r="TJB1" s="404"/>
      <c r="TJC1" s="404"/>
      <c r="TJD1" s="405"/>
      <c r="TJE1" s="432" t="s">
        <v>41</v>
      </c>
      <c r="TJF1" s="404"/>
      <c r="TJG1" s="404"/>
      <c r="TJH1" s="404"/>
      <c r="TJI1" s="404"/>
      <c r="TJJ1" s="404"/>
      <c r="TJK1" s="404"/>
      <c r="TJL1" s="405"/>
      <c r="TJM1" s="432" t="s">
        <v>41</v>
      </c>
      <c r="TJN1" s="404"/>
      <c r="TJO1" s="404"/>
      <c r="TJP1" s="404"/>
      <c r="TJQ1" s="404"/>
      <c r="TJR1" s="404"/>
      <c r="TJS1" s="404"/>
      <c r="TJT1" s="405"/>
      <c r="TJU1" s="432" t="s">
        <v>41</v>
      </c>
      <c r="TJV1" s="404"/>
      <c r="TJW1" s="404"/>
      <c r="TJX1" s="404"/>
      <c r="TJY1" s="404"/>
      <c r="TJZ1" s="404"/>
      <c r="TKA1" s="404"/>
      <c r="TKB1" s="405"/>
      <c r="TKC1" s="432" t="s">
        <v>41</v>
      </c>
      <c r="TKD1" s="404"/>
      <c r="TKE1" s="404"/>
      <c r="TKF1" s="404"/>
      <c r="TKG1" s="404"/>
      <c r="TKH1" s="404"/>
      <c r="TKI1" s="404"/>
      <c r="TKJ1" s="405"/>
      <c r="TKK1" s="432" t="s">
        <v>41</v>
      </c>
      <c r="TKL1" s="404"/>
      <c r="TKM1" s="404"/>
      <c r="TKN1" s="404"/>
      <c r="TKO1" s="404"/>
      <c r="TKP1" s="404"/>
      <c r="TKQ1" s="404"/>
      <c r="TKR1" s="405"/>
      <c r="TKS1" s="432" t="s">
        <v>41</v>
      </c>
      <c r="TKT1" s="404"/>
      <c r="TKU1" s="404"/>
      <c r="TKV1" s="404"/>
      <c r="TKW1" s="404"/>
      <c r="TKX1" s="404"/>
      <c r="TKY1" s="404"/>
      <c r="TKZ1" s="405"/>
      <c r="TLA1" s="432" t="s">
        <v>41</v>
      </c>
      <c r="TLB1" s="404"/>
      <c r="TLC1" s="404"/>
      <c r="TLD1" s="404"/>
      <c r="TLE1" s="404"/>
      <c r="TLF1" s="404"/>
      <c r="TLG1" s="404"/>
      <c r="TLH1" s="405"/>
      <c r="TLI1" s="432" t="s">
        <v>41</v>
      </c>
      <c r="TLJ1" s="404"/>
      <c r="TLK1" s="404"/>
      <c r="TLL1" s="404"/>
      <c r="TLM1" s="404"/>
      <c r="TLN1" s="404"/>
      <c r="TLO1" s="404"/>
      <c r="TLP1" s="405"/>
      <c r="TLQ1" s="432" t="s">
        <v>41</v>
      </c>
      <c r="TLR1" s="404"/>
      <c r="TLS1" s="404"/>
      <c r="TLT1" s="404"/>
      <c r="TLU1" s="404"/>
      <c r="TLV1" s="404"/>
      <c r="TLW1" s="404"/>
      <c r="TLX1" s="405"/>
      <c r="TLY1" s="432" t="s">
        <v>41</v>
      </c>
      <c r="TLZ1" s="404"/>
      <c r="TMA1" s="404"/>
      <c r="TMB1" s="404"/>
      <c r="TMC1" s="404"/>
      <c r="TMD1" s="404"/>
      <c r="TME1" s="404"/>
      <c r="TMF1" s="405"/>
      <c r="TMG1" s="432" t="s">
        <v>41</v>
      </c>
      <c r="TMH1" s="404"/>
      <c r="TMI1" s="404"/>
      <c r="TMJ1" s="404"/>
      <c r="TMK1" s="404"/>
      <c r="TML1" s="404"/>
      <c r="TMM1" s="404"/>
      <c r="TMN1" s="405"/>
      <c r="TMO1" s="432" t="s">
        <v>41</v>
      </c>
      <c r="TMP1" s="404"/>
      <c r="TMQ1" s="404"/>
      <c r="TMR1" s="404"/>
      <c r="TMS1" s="404"/>
      <c r="TMT1" s="404"/>
      <c r="TMU1" s="404"/>
      <c r="TMV1" s="405"/>
      <c r="TMW1" s="432" t="s">
        <v>41</v>
      </c>
      <c r="TMX1" s="404"/>
      <c r="TMY1" s="404"/>
      <c r="TMZ1" s="404"/>
      <c r="TNA1" s="404"/>
      <c r="TNB1" s="404"/>
      <c r="TNC1" s="404"/>
      <c r="TND1" s="405"/>
      <c r="TNE1" s="432" t="s">
        <v>41</v>
      </c>
      <c r="TNF1" s="404"/>
      <c r="TNG1" s="404"/>
      <c r="TNH1" s="404"/>
      <c r="TNI1" s="404"/>
      <c r="TNJ1" s="404"/>
      <c r="TNK1" s="404"/>
      <c r="TNL1" s="405"/>
      <c r="TNM1" s="432" t="s">
        <v>41</v>
      </c>
      <c r="TNN1" s="404"/>
      <c r="TNO1" s="404"/>
      <c r="TNP1" s="404"/>
      <c r="TNQ1" s="404"/>
      <c r="TNR1" s="404"/>
      <c r="TNS1" s="404"/>
      <c r="TNT1" s="405"/>
      <c r="TNU1" s="432" t="s">
        <v>41</v>
      </c>
      <c r="TNV1" s="404"/>
      <c r="TNW1" s="404"/>
      <c r="TNX1" s="404"/>
      <c r="TNY1" s="404"/>
      <c r="TNZ1" s="404"/>
      <c r="TOA1" s="404"/>
      <c r="TOB1" s="405"/>
      <c r="TOC1" s="432" t="s">
        <v>41</v>
      </c>
      <c r="TOD1" s="404"/>
      <c r="TOE1" s="404"/>
      <c r="TOF1" s="404"/>
      <c r="TOG1" s="404"/>
      <c r="TOH1" s="404"/>
      <c r="TOI1" s="404"/>
      <c r="TOJ1" s="405"/>
      <c r="TOK1" s="432" t="s">
        <v>41</v>
      </c>
      <c r="TOL1" s="404"/>
      <c r="TOM1" s="404"/>
      <c r="TON1" s="404"/>
      <c r="TOO1" s="404"/>
      <c r="TOP1" s="404"/>
      <c r="TOQ1" s="404"/>
      <c r="TOR1" s="405"/>
      <c r="TOS1" s="432" t="s">
        <v>41</v>
      </c>
      <c r="TOT1" s="404"/>
      <c r="TOU1" s="404"/>
      <c r="TOV1" s="404"/>
      <c r="TOW1" s="404"/>
      <c r="TOX1" s="404"/>
      <c r="TOY1" s="404"/>
      <c r="TOZ1" s="405"/>
      <c r="TPA1" s="432" t="s">
        <v>41</v>
      </c>
      <c r="TPB1" s="404"/>
      <c r="TPC1" s="404"/>
      <c r="TPD1" s="404"/>
      <c r="TPE1" s="404"/>
      <c r="TPF1" s="404"/>
      <c r="TPG1" s="404"/>
      <c r="TPH1" s="405"/>
      <c r="TPI1" s="432" t="s">
        <v>41</v>
      </c>
      <c r="TPJ1" s="404"/>
      <c r="TPK1" s="404"/>
      <c r="TPL1" s="404"/>
      <c r="TPM1" s="404"/>
      <c r="TPN1" s="404"/>
      <c r="TPO1" s="404"/>
      <c r="TPP1" s="405"/>
      <c r="TPQ1" s="432" t="s">
        <v>41</v>
      </c>
      <c r="TPR1" s="404"/>
      <c r="TPS1" s="404"/>
      <c r="TPT1" s="404"/>
      <c r="TPU1" s="404"/>
      <c r="TPV1" s="404"/>
      <c r="TPW1" s="404"/>
      <c r="TPX1" s="405"/>
      <c r="TPY1" s="432" t="s">
        <v>41</v>
      </c>
      <c r="TPZ1" s="404"/>
      <c r="TQA1" s="404"/>
      <c r="TQB1" s="404"/>
      <c r="TQC1" s="404"/>
      <c r="TQD1" s="404"/>
      <c r="TQE1" s="404"/>
      <c r="TQF1" s="405"/>
      <c r="TQG1" s="432" t="s">
        <v>41</v>
      </c>
      <c r="TQH1" s="404"/>
      <c r="TQI1" s="404"/>
      <c r="TQJ1" s="404"/>
      <c r="TQK1" s="404"/>
      <c r="TQL1" s="404"/>
      <c r="TQM1" s="404"/>
      <c r="TQN1" s="405"/>
      <c r="TQO1" s="432" t="s">
        <v>41</v>
      </c>
      <c r="TQP1" s="404"/>
      <c r="TQQ1" s="404"/>
      <c r="TQR1" s="404"/>
      <c r="TQS1" s="404"/>
      <c r="TQT1" s="404"/>
      <c r="TQU1" s="404"/>
      <c r="TQV1" s="405"/>
      <c r="TQW1" s="432" t="s">
        <v>41</v>
      </c>
      <c r="TQX1" s="404"/>
      <c r="TQY1" s="404"/>
      <c r="TQZ1" s="404"/>
      <c r="TRA1" s="404"/>
      <c r="TRB1" s="404"/>
      <c r="TRC1" s="404"/>
      <c r="TRD1" s="405"/>
      <c r="TRE1" s="432" t="s">
        <v>41</v>
      </c>
      <c r="TRF1" s="404"/>
      <c r="TRG1" s="404"/>
      <c r="TRH1" s="404"/>
      <c r="TRI1" s="404"/>
      <c r="TRJ1" s="404"/>
      <c r="TRK1" s="404"/>
      <c r="TRL1" s="405"/>
      <c r="TRM1" s="432" t="s">
        <v>41</v>
      </c>
      <c r="TRN1" s="404"/>
      <c r="TRO1" s="404"/>
      <c r="TRP1" s="404"/>
      <c r="TRQ1" s="404"/>
      <c r="TRR1" s="404"/>
      <c r="TRS1" s="404"/>
      <c r="TRT1" s="405"/>
      <c r="TRU1" s="432" t="s">
        <v>41</v>
      </c>
      <c r="TRV1" s="404"/>
      <c r="TRW1" s="404"/>
      <c r="TRX1" s="404"/>
      <c r="TRY1" s="404"/>
      <c r="TRZ1" s="404"/>
      <c r="TSA1" s="404"/>
      <c r="TSB1" s="405"/>
      <c r="TSC1" s="432" t="s">
        <v>41</v>
      </c>
      <c r="TSD1" s="404"/>
      <c r="TSE1" s="404"/>
      <c r="TSF1" s="404"/>
      <c r="TSG1" s="404"/>
      <c r="TSH1" s="404"/>
      <c r="TSI1" s="404"/>
      <c r="TSJ1" s="405"/>
      <c r="TSK1" s="432" t="s">
        <v>41</v>
      </c>
      <c r="TSL1" s="404"/>
      <c r="TSM1" s="404"/>
      <c r="TSN1" s="404"/>
      <c r="TSO1" s="404"/>
      <c r="TSP1" s="404"/>
      <c r="TSQ1" s="404"/>
      <c r="TSR1" s="405"/>
      <c r="TSS1" s="432" t="s">
        <v>41</v>
      </c>
      <c r="TST1" s="404"/>
      <c r="TSU1" s="404"/>
      <c r="TSV1" s="404"/>
      <c r="TSW1" s="404"/>
      <c r="TSX1" s="404"/>
      <c r="TSY1" s="404"/>
      <c r="TSZ1" s="405"/>
      <c r="TTA1" s="432" t="s">
        <v>41</v>
      </c>
      <c r="TTB1" s="404"/>
      <c r="TTC1" s="404"/>
      <c r="TTD1" s="404"/>
      <c r="TTE1" s="404"/>
      <c r="TTF1" s="404"/>
      <c r="TTG1" s="404"/>
      <c r="TTH1" s="405"/>
      <c r="TTI1" s="432" t="s">
        <v>41</v>
      </c>
      <c r="TTJ1" s="404"/>
      <c r="TTK1" s="404"/>
      <c r="TTL1" s="404"/>
      <c r="TTM1" s="404"/>
      <c r="TTN1" s="404"/>
      <c r="TTO1" s="404"/>
      <c r="TTP1" s="405"/>
      <c r="TTQ1" s="432" t="s">
        <v>41</v>
      </c>
      <c r="TTR1" s="404"/>
      <c r="TTS1" s="404"/>
      <c r="TTT1" s="404"/>
      <c r="TTU1" s="404"/>
      <c r="TTV1" s="404"/>
      <c r="TTW1" s="404"/>
      <c r="TTX1" s="405"/>
      <c r="TTY1" s="432" t="s">
        <v>41</v>
      </c>
      <c r="TTZ1" s="404"/>
      <c r="TUA1" s="404"/>
      <c r="TUB1" s="404"/>
      <c r="TUC1" s="404"/>
      <c r="TUD1" s="404"/>
      <c r="TUE1" s="404"/>
      <c r="TUF1" s="405"/>
      <c r="TUG1" s="432" t="s">
        <v>41</v>
      </c>
      <c r="TUH1" s="404"/>
      <c r="TUI1" s="404"/>
      <c r="TUJ1" s="404"/>
      <c r="TUK1" s="404"/>
      <c r="TUL1" s="404"/>
      <c r="TUM1" s="404"/>
      <c r="TUN1" s="405"/>
      <c r="TUO1" s="432" t="s">
        <v>41</v>
      </c>
      <c r="TUP1" s="404"/>
      <c r="TUQ1" s="404"/>
      <c r="TUR1" s="404"/>
      <c r="TUS1" s="404"/>
      <c r="TUT1" s="404"/>
      <c r="TUU1" s="404"/>
      <c r="TUV1" s="405"/>
      <c r="TUW1" s="432" t="s">
        <v>41</v>
      </c>
      <c r="TUX1" s="404"/>
      <c r="TUY1" s="404"/>
      <c r="TUZ1" s="404"/>
      <c r="TVA1" s="404"/>
      <c r="TVB1" s="404"/>
      <c r="TVC1" s="404"/>
      <c r="TVD1" s="405"/>
      <c r="TVE1" s="432" t="s">
        <v>41</v>
      </c>
      <c r="TVF1" s="404"/>
      <c r="TVG1" s="404"/>
      <c r="TVH1" s="404"/>
      <c r="TVI1" s="404"/>
      <c r="TVJ1" s="404"/>
      <c r="TVK1" s="404"/>
      <c r="TVL1" s="405"/>
      <c r="TVM1" s="432" t="s">
        <v>41</v>
      </c>
      <c r="TVN1" s="404"/>
      <c r="TVO1" s="404"/>
      <c r="TVP1" s="404"/>
      <c r="TVQ1" s="404"/>
      <c r="TVR1" s="404"/>
      <c r="TVS1" s="404"/>
      <c r="TVT1" s="405"/>
      <c r="TVU1" s="432" t="s">
        <v>41</v>
      </c>
      <c r="TVV1" s="404"/>
      <c r="TVW1" s="404"/>
      <c r="TVX1" s="404"/>
      <c r="TVY1" s="404"/>
      <c r="TVZ1" s="404"/>
      <c r="TWA1" s="404"/>
      <c r="TWB1" s="405"/>
      <c r="TWC1" s="432" t="s">
        <v>41</v>
      </c>
      <c r="TWD1" s="404"/>
      <c r="TWE1" s="404"/>
      <c r="TWF1" s="404"/>
      <c r="TWG1" s="404"/>
      <c r="TWH1" s="404"/>
      <c r="TWI1" s="404"/>
      <c r="TWJ1" s="405"/>
      <c r="TWK1" s="432" t="s">
        <v>41</v>
      </c>
      <c r="TWL1" s="404"/>
      <c r="TWM1" s="404"/>
      <c r="TWN1" s="404"/>
      <c r="TWO1" s="404"/>
      <c r="TWP1" s="404"/>
      <c r="TWQ1" s="404"/>
      <c r="TWR1" s="405"/>
      <c r="TWS1" s="432" t="s">
        <v>41</v>
      </c>
      <c r="TWT1" s="404"/>
      <c r="TWU1" s="404"/>
      <c r="TWV1" s="404"/>
      <c r="TWW1" s="404"/>
      <c r="TWX1" s="404"/>
      <c r="TWY1" s="404"/>
      <c r="TWZ1" s="405"/>
      <c r="TXA1" s="432" t="s">
        <v>41</v>
      </c>
      <c r="TXB1" s="404"/>
      <c r="TXC1" s="404"/>
      <c r="TXD1" s="404"/>
      <c r="TXE1" s="404"/>
      <c r="TXF1" s="404"/>
      <c r="TXG1" s="404"/>
      <c r="TXH1" s="405"/>
      <c r="TXI1" s="432" t="s">
        <v>41</v>
      </c>
      <c r="TXJ1" s="404"/>
      <c r="TXK1" s="404"/>
      <c r="TXL1" s="404"/>
      <c r="TXM1" s="404"/>
      <c r="TXN1" s="404"/>
      <c r="TXO1" s="404"/>
      <c r="TXP1" s="405"/>
      <c r="TXQ1" s="432" t="s">
        <v>41</v>
      </c>
      <c r="TXR1" s="404"/>
      <c r="TXS1" s="404"/>
      <c r="TXT1" s="404"/>
      <c r="TXU1" s="404"/>
      <c r="TXV1" s="404"/>
      <c r="TXW1" s="404"/>
      <c r="TXX1" s="405"/>
      <c r="TXY1" s="432" t="s">
        <v>41</v>
      </c>
      <c r="TXZ1" s="404"/>
      <c r="TYA1" s="404"/>
      <c r="TYB1" s="404"/>
      <c r="TYC1" s="404"/>
      <c r="TYD1" s="404"/>
      <c r="TYE1" s="404"/>
      <c r="TYF1" s="405"/>
      <c r="TYG1" s="432" t="s">
        <v>41</v>
      </c>
      <c r="TYH1" s="404"/>
      <c r="TYI1" s="404"/>
      <c r="TYJ1" s="404"/>
      <c r="TYK1" s="404"/>
      <c r="TYL1" s="404"/>
      <c r="TYM1" s="404"/>
      <c r="TYN1" s="405"/>
      <c r="TYO1" s="432" t="s">
        <v>41</v>
      </c>
      <c r="TYP1" s="404"/>
      <c r="TYQ1" s="404"/>
      <c r="TYR1" s="404"/>
      <c r="TYS1" s="404"/>
      <c r="TYT1" s="404"/>
      <c r="TYU1" s="404"/>
      <c r="TYV1" s="405"/>
      <c r="TYW1" s="432" t="s">
        <v>41</v>
      </c>
      <c r="TYX1" s="404"/>
      <c r="TYY1" s="404"/>
      <c r="TYZ1" s="404"/>
      <c r="TZA1" s="404"/>
      <c r="TZB1" s="404"/>
      <c r="TZC1" s="404"/>
      <c r="TZD1" s="405"/>
      <c r="TZE1" s="432" t="s">
        <v>41</v>
      </c>
      <c r="TZF1" s="404"/>
      <c r="TZG1" s="404"/>
      <c r="TZH1" s="404"/>
      <c r="TZI1" s="404"/>
      <c r="TZJ1" s="404"/>
      <c r="TZK1" s="404"/>
      <c r="TZL1" s="405"/>
      <c r="TZM1" s="432" t="s">
        <v>41</v>
      </c>
      <c r="TZN1" s="404"/>
      <c r="TZO1" s="404"/>
      <c r="TZP1" s="404"/>
      <c r="TZQ1" s="404"/>
      <c r="TZR1" s="404"/>
      <c r="TZS1" s="404"/>
      <c r="TZT1" s="405"/>
      <c r="TZU1" s="432" t="s">
        <v>41</v>
      </c>
      <c r="TZV1" s="404"/>
      <c r="TZW1" s="404"/>
      <c r="TZX1" s="404"/>
      <c r="TZY1" s="404"/>
      <c r="TZZ1" s="404"/>
      <c r="UAA1" s="404"/>
      <c r="UAB1" s="405"/>
      <c r="UAC1" s="432" t="s">
        <v>41</v>
      </c>
      <c r="UAD1" s="404"/>
      <c r="UAE1" s="404"/>
      <c r="UAF1" s="404"/>
      <c r="UAG1" s="404"/>
      <c r="UAH1" s="404"/>
      <c r="UAI1" s="404"/>
      <c r="UAJ1" s="405"/>
      <c r="UAK1" s="432" t="s">
        <v>41</v>
      </c>
      <c r="UAL1" s="404"/>
      <c r="UAM1" s="404"/>
      <c r="UAN1" s="404"/>
      <c r="UAO1" s="404"/>
      <c r="UAP1" s="404"/>
      <c r="UAQ1" s="404"/>
      <c r="UAR1" s="405"/>
      <c r="UAS1" s="432" t="s">
        <v>41</v>
      </c>
      <c r="UAT1" s="404"/>
      <c r="UAU1" s="404"/>
      <c r="UAV1" s="404"/>
      <c r="UAW1" s="404"/>
      <c r="UAX1" s="404"/>
      <c r="UAY1" s="404"/>
      <c r="UAZ1" s="405"/>
      <c r="UBA1" s="432" t="s">
        <v>41</v>
      </c>
      <c r="UBB1" s="404"/>
      <c r="UBC1" s="404"/>
      <c r="UBD1" s="404"/>
      <c r="UBE1" s="404"/>
      <c r="UBF1" s="404"/>
      <c r="UBG1" s="404"/>
      <c r="UBH1" s="405"/>
      <c r="UBI1" s="432" t="s">
        <v>41</v>
      </c>
      <c r="UBJ1" s="404"/>
      <c r="UBK1" s="404"/>
      <c r="UBL1" s="404"/>
      <c r="UBM1" s="404"/>
      <c r="UBN1" s="404"/>
      <c r="UBO1" s="404"/>
      <c r="UBP1" s="405"/>
      <c r="UBQ1" s="432" t="s">
        <v>41</v>
      </c>
      <c r="UBR1" s="404"/>
      <c r="UBS1" s="404"/>
      <c r="UBT1" s="404"/>
      <c r="UBU1" s="404"/>
      <c r="UBV1" s="404"/>
      <c r="UBW1" s="404"/>
      <c r="UBX1" s="405"/>
      <c r="UBY1" s="432" t="s">
        <v>41</v>
      </c>
      <c r="UBZ1" s="404"/>
      <c r="UCA1" s="404"/>
      <c r="UCB1" s="404"/>
      <c r="UCC1" s="404"/>
      <c r="UCD1" s="404"/>
      <c r="UCE1" s="404"/>
      <c r="UCF1" s="405"/>
      <c r="UCG1" s="432" t="s">
        <v>41</v>
      </c>
      <c r="UCH1" s="404"/>
      <c r="UCI1" s="404"/>
      <c r="UCJ1" s="404"/>
      <c r="UCK1" s="404"/>
      <c r="UCL1" s="404"/>
      <c r="UCM1" s="404"/>
      <c r="UCN1" s="405"/>
      <c r="UCO1" s="432" t="s">
        <v>41</v>
      </c>
      <c r="UCP1" s="404"/>
      <c r="UCQ1" s="404"/>
      <c r="UCR1" s="404"/>
      <c r="UCS1" s="404"/>
      <c r="UCT1" s="404"/>
      <c r="UCU1" s="404"/>
      <c r="UCV1" s="405"/>
      <c r="UCW1" s="432" t="s">
        <v>41</v>
      </c>
      <c r="UCX1" s="404"/>
      <c r="UCY1" s="404"/>
      <c r="UCZ1" s="404"/>
      <c r="UDA1" s="404"/>
      <c r="UDB1" s="404"/>
      <c r="UDC1" s="404"/>
      <c r="UDD1" s="405"/>
      <c r="UDE1" s="432" t="s">
        <v>41</v>
      </c>
      <c r="UDF1" s="404"/>
      <c r="UDG1" s="404"/>
      <c r="UDH1" s="404"/>
      <c r="UDI1" s="404"/>
      <c r="UDJ1" s="404"/>
      <c r="UDK1" s="404"/>
      <c r="UDL1" s="405"/>
      <c r="UDM1" s="432" t="s">
        <v>41</v>
      </c>
      <c r="UDN1" s="404"/>
      <c r="UDO1" s="404"/>
      <c r="UDP1" s="404"/>
      <c r="UDQ1" s="404"/>
      <c r="UDR1" s="404"/>
      <c r="UDS1" s="404"/>
      <c r="UDT1" s="405"/>
      <c r="UDU1" s="432" t="s">
        <v>41</v>
      </c>
      <c r="UDV1" s="404"/>
      <c r="UDW1" s="404"/>
      <c r="UDX1" s="404"/>
      <c r="UDY1" s="404"/>
      <c r="UDZ1" s="404"/>
      <c r="UEA1" s="404"/>
      <c r="UEB1" s="405"/>
      <c r="UEC1" s="432" t="s">
        <v>41</v>
      </c>
      <c r="UED1" s="404"/>
      <c r="UEE1" s="404"/>
      <c r="UEF1" s="404"/>
      <c r="UEG1" s="404"/>
      <c r="UEH1" s="404"/>
      <c r="UEI1" s="404"/>
      <c r="UEJ1" s="405"/>
      <c r="UEK1" s="432" t="s">
        <v>41</v>
      </c>
      <c r="UEL1" s="404"/>
      <c r="UEM1" s="404"/>
      <c r="UEN1" s="404"/>
      <c r="UEO1" s="404"/>
      <c r="UEP1" s="404"/>
      <c r="UEQ1" s="404"/>
      <c r="UER1" s="405"/>
      <c r="UES1" s="432" t="s">
        <v>41</v>
      </c>
      <c r="UET1" s="404"/>
      <c r="UEU1" s="404"/>
      <c r="UEV1" s="404"/>
      <c r="UEW1" s="404"/>
      <c r="UEX1" s="404"/>
      <c r="UEY1" s="404"/>
      <c r="UEZ1" s="405"/>
      <c r="UFA1" s="432" t="s">
        <v>41</v>
      </c>
      <c r="UFB1" s="404"/>
      <c r="UFC1" s="404"/>
      <c r="UFD1" s="404"/>
      <c r="UFE1" s="404"/>
      <c r="UFF1" s="404"/>
      <c r="UFG1" s="404"/>
      <c r="UFH1" s="405"/>
      <c r="UFI1" s="432" t="s">
        <v>41</v>
      </c>
      <c r="UFJ1" s="404"/>
      <c r="UFK1" s="404"/>
      <c r="UFL1" s="404"/>
      <c r="UFM1" s="404"/>
      <c r="UFN1" s="404"/>
      <c r="UFO1" s="404"/>
      <c r="UFP1" s="405"/>
      <c r="UFQ1" s="432" t="s">
        <v>41</v>
      </c>
      <c r="UFR1" s="404"/>
      <c r="UFS1" s="404"/>
      <c r="UFT1" s="404"/>
      <c r="UFU1" s="404"/>
      <c r="UFV1" s="404"/>
      <c r="UFW1" s="404"/>
      <c r="UFX1" s="405"/>
      <c r="UFY1" s="432" t="s">
        <v>41</v>
      </c>
      <c r="UFZ1" s="404"/>
      <c r="UGA1" s="404"/>
      <c r="UGB1" s="404"/>
      <c r="UGC1" s="404"/>
      <c r="UGD1" s="404"/>
      <c r="UGE1" s="404"/>
      <c r="UGF1" s="405"/>
      <c r="UGG1" s="432" t="s">
        <v>41</v>
      </c>
      <c r="UGH1" s="404"/>
      <c r="UGI1" s="404"/>
      <c r="UGJ1" s="404"/>
      <c r="UGK1" s="404"/>
      <c r="UGL1" s="404"/>
      <c r="UGM1" s="404"/>
      <c r="UGN1" s="405"/>
      <c r="UGO1" s="432" t="s">
        <v>41</v>
      </c>
      <c r="UGP1" s="404"/>
      <c r="UGQ1" s="404"/>
      <c r="UGR1" s="404"/>
      <c r="UGS1" s="404"/>
      <c r="UGT1" s="404"/>
      <c r="UGU1" s="404"/>
      <c r="UGV1" s="405"/>
      <c r="UGW1" s="432" t="s">
        <v>41</v>
      </c>
      <c r="UGX1" s="404"/>
      <c r="UGY1" s="404"/>
      <c r="UGZ1" s="404"/>
      <c r="UHA1" s="404"/>
      <c r="UHB1" s="404"/>
      <c r="UHC1" s="404"/>
      <c r="UHD1" s="405"/>
      <c r="UHE1" s="432" t="s">
        <v>41</v>
      </c>
      <c r="UHF1" s="404"/>
      <c r="UHG1" s="404"/>
      <c r="UHH1" s="404"/>
      <c r="UHI1" s="404"/>
      <c r="UHJ1" s="404"/>
      <c r="UHK1" s="404"/>
      <c r="UHL1" s="405"/>
      <c r="UHM1" s="432" t="s">
        <v>41</v>
      </c>
      <c r="UHN1" s="404"/>
      <c r="UHO1" s="404"/>
      <c r="UHP1" s="404"/>
      <c r="UHQ1" s="404"/>
      <c r="UHR1" s="404"/>
      <c r="UHS1" s="404"/>
      <c r="UHT1" s="405"/>
      <c r="UHU1" s="432" t="s">
        <v>41</v>
      </c>
      <c r="UHV1" s="404"/>
      <c r="UHW1" s="404"/>
      <c r="UHX1" s="404"/>
      <c r="UHY1" s="404"/>
      <c r="UHZ1" s="404"/>
      <c r="UIA1" s="404"/>
      <c r="UIB1" s="405"/>
      <c r="UIC1" s="432" t="s">
        <v>41</v>
      </c>
      <c r="UID1" s="404"/>
      <c r="UIE1" s="404"/>
      <c r="UIF1" s="404"/>
      <c r="UIG1" s="404"/>
      <c r="UIH1" s="404"/>
      <c r="UII1" s="404"/>
      <c r="UIJ1" s="405"/>
      <c r="UIK1" s="432" t="s">
        <v>41</v>
      </c>
      <c r="UIL1" s="404"/>
      <c r="UIM1" s="404"/>
      <c r="UIN1" s="404"/>
      <c r="UIO1" s="404"/>
      <c r="UIP1" s="404"/>
      <c r="UIQ1" s="404"/>
      <c r="UIR1" s="405"/>
      <c r="UIS1" s="432" t="s">
        <v>41</v>
      </c>
      <c r="UIT1" s="404"/>
      <c r="UIU1" s="404"/>
      <c r="UIV1" s="404"/>
      <c r="UIW1" s="404"/>
      <c r="UIX1" s="404"/>
      <c r="UIY1" s="404"/>
      <c r="UIZ1" s="405"/>
      <c r="UJA1" s="432" t="s">
        <v>41</v>
      </c>
      <c r="UJB1" s="404"/>
      <c r="UJC1" s="404"/>
      <c r="UJD1" s="404"/>
      <c r="UJE1" s="404"/>
      <c r="UJF1" s="404"/>
      <c r="UJG1" s="404"/>
      <c r="UJH1" s="405"/>
      <c r="UJI1" s="432" t="s">
        <v>41</v>
      </c>
      <c r="UJJ1" s="404"/>
      <c r="UJK1" s="404"/>
      <c r="UJL1" s="404"/>
      <c r="UJM1" s="404"/>
      <c r="UJN1" s="404"/>
      <c r="UJO1" s="404"/>
      <c r="UJP1" s="405"/>
      <c r="UJQ1" s="432" t="s">
        <v>41</v>
      </c>
      <c r="UJR1" s="404"/>
      <c r="UJS1" s="404"/>
      <c r="UJT1" s="404"/>
      <c r="UJU1" s="404"/>
      <c r="UJV1" s="404"/>
      <c r="UJW1" s="404"/>
      <c r="UJX1" s="405"/>
      <c r="UJY1" s="432" t="s">
        <v>41</v>
      </c>
      <c r="UJZ1" s="404"/>
      <c r="UKA1" s="404"/>
      <c r="UKB1" s="404"/>
      <c r="UKC1" s="404"/>
      <c r="UKD1" s="404"/>
      <c r="UKE1" s="404"/>
      <c r="UKF1" s="405"/>
      <c r="UKG1" s="432" t="s">
        <v>41</v>
      </c>
      <c r="UKH1" s="404"/>
      <c r="UKI1" s="404"/>
      <c r="UKJ1" s="404"/>
      <c r="UKK1" s="404"/>
      <c r="UKL1" s="404"/>
      <c r="UKM1" s="404"/>
      <c r="UKN1" s="405"/>
      <c r="UKO1" s="432" t="s">
        <v>41</v>
      </c>
      <c r="UKP1" s="404"/>
      <c r="UKQ1" s="404"/>
      <c r="UKR1" s="404"/>
      <c r="UKS1" s="404"/>
      <c r="UKT1" s="404"/>
      <c r="UKU1" s="404"/>
      <c r="UKV1" s="405"/>
      <c r="UKW1" s="432" t="s">
        <v>41</v>
      </c>
      <c r="UKX1" s="404"/>
      <c r="UKY1" s="404"/>
      <c r="UKZ1" s="404"/>
      <c r="ULA1" s="404"/>
      <c r="ULB1" s="404"/>
      <c r="ULC1" s="404"/>
      <c r="ULD1" s="405"/>
      <c r="ULE1" s="432" t="s">
        <v>41</v>
      </c>
      <c r="ULF1" s="404"/>
      <c r="ULG1" s="404"/>
      <c r="ULH1" s="404"/>
      <c r="ULI1" s="404"/>
      <c r="ULJ1" s="404"/>
      <c r="ULK1" s="404"/>
      <c r="ULL1" s="405"/>
      <c r="ULM1" s="432" t="s">
        <v>41</v>
      </c>
      <c r="ULN1" s="404"/>
      <c r="ULO1" s="404"/>
      <c r="ULP1" s="404"/>
      <c r="ULQ1" s="404"/>
      <c r="ULR1" s="404"/>
      <c r="ULS1" s="404"/>
      <c r="ULT1" s="405"/>
      <c r="ULU1" s="432" t="s">
        <v>41</v>
      </c>
      <c r="ULV1" s="404"/>
      <c r="ULW1" s="404"/>
      <c r="ULX1" s="404"/>
      <c r="ULY1" s="404"/>
      <c r="ULZ1" s="404"/>
      <c r="UMA1" s="404"/>
      <c r="UMB1" s="405"/>
      <c r="UMC1" s="432" t="s">
        <v>41</v>
      </c>
      <c r="UMD1" s="404"/>
      <c r="UME1" s="404"/>
      <c r="UMF1" s="404"/>
      <c r="UMG1" s="404"/>
      <c r="UMH1" s="404"/>
      <c r="UMI1" s="404"/>
      <c r="UMJ1" s="405"/>
      <c r="UMK1" s="432" t="s">
        <v>41</v>
      </c>
      <c r="UML1" s="404"/>
      <c r="UMM1" s="404"/>
      <c r="UMN1" s="404"/>
      <c r="UMO1" s="404"/>
      <c r="UMP1" s="404"/>
      <c r="UMQ1" s="404"/>
      <c r="UMR1" s="405"/>
      <c r="UMS1" s="432" t="s">
        <v>41</v>
      </c>
      <c r="UMT1" s="404"/>
      <c r="UMU1" s="404"/>
      <c r="UMV1" s="404"/>
      <c r="UMW1" s="404"/>
      <c r="UMX1" s="404"/>
      <c r="UMY1" s="404"/>
      <c r="UMZ1" s="405"/>
      <c r="UNA1" s="432" t="s">
        <v>41</v>
      </c>
      <c r="UNB1" s="404"/>
      <c r="UNC1" s="404"/>
      <c r="UND1" s="404"/>
      <c r="UNE1" s="404"/>
      <c r="UNF1" s="404"/>
      <c r="UNG1" s="404"/>
      <c r="UNH1" s="405"/>
      <c r="UNI1" s="432" t="s">
        <v>41</v>
      </c>
      <c r="UNJ1" s="404"/>
      <c r="UNK1" s="404"/>
      <c r="UNL1" s="404"/>
      <c r="UNM1" s="404"/>
      <c r="UNN1" s="404"/>
      <c r="UNO1" s="404"/>
      <c r="UNP1" s="405"/>
      <c r="UNQ1" s="432" t="s">
        <v>41</v>
      </c>
      <c r="UNR1" s="404"/>
      <c r="UNS1" s="404"/>
      <c r="UNT1" s="404"/>
      <c r="UNU1" s="404"/>
      <c r="UNV1" s="404"/>
      <c r="UNW1" s="404"/>
      <c r="UNX1" s="405"/>
      <c r="UNY1" s="432" t="s">
        <v>41</v>
      </c>
      <c r="UNZ1" s="404"/>
      <c r="UOA1" s="404"/>
      <c r="UOB1" s="404"/>
      <c r="UOC1" s="404"/>
      <c r="UOD1" s="404"/>
      <c r="UOE1" s="404"/>
      <c r="UOF1" s="405"/>
      <c r="UOG1" s="432" t="s">
        <v>41</v>
      </c>
      <c r="UOH1" s="404"/>
      <c r="UOI1" s="404"/>
      <c r="UOJ1" s="404"/>
      <c r="UOK1" s="404"/>
      <c r="UOL1" s="404"/>
      <c r="UOM1" s="404"/>
      <c r="UON1" s="405"/>
      <c r="UOO1" s="432" t="s">
        <v>41</v>
      </c>
      <c r="UOP1" s="404"/>
      <c r="UOQ1" s="404"/>
      <c r="UOR1" s="404"/>
      <c r="UOS1" s="404"/>
      <c r="UOT1" s="404"/>
      <c r="UOU1" s="404"/>
      <c r="UOV1" s="405"/>
      <c r="UOW1" s="432" t="s">
        <v>41</v>
      </c>
      <c r="UOX1" s="404"/>
      <c r="UOY1" s="404"/>
      <c r="UOZ1" s="404"/>
      <c r="UPA1" s="404"/>
      <c r="UPB1" s="404"/>
      <c r="UPC1" s="404"/>
      <c r="UPD1" s="405"/>
      <c r="UPE1" s="432" t="s">
        <v>41</v>
      </c>
      <c r="UPF1" s="404"/>
      <c r="UPG1" s="404"/>
      <c r="UPH1" s="404"/>
      <c r="UPI1" s="404"/>
      <c r="UPJ1" s="404"/>
      <c r="UPK1" s="404"/>
      <c r="UPL1" s="405"/>
      <c r="UPM1" s="432" t="s">
        <v>41</v>
      </c>
      <c r="UPN1" s="404"/>
      <c r="UPO1" s="404"/>
      <c r="UPP1" s="404"/>
      <c r="UPQ1" s="404"/>
      <c r="UPR1" s="404"/>
      <c r="UPS1" s="404"/>
      <c r="UPT1" s="405"/>
      <c r="UPU1" s="432" t="s">
        <v>41</v>
      </c>
      <c r="UPV1" s="404"/>
      <c r="UPW1" s="404"/>
      <c r="UPX1" s="404"/>
      <c r="UPY1" s="404"/>
      <c r="UPZ1" s="404"/>
      <c r="UQA1" s="404"/>
      <c r="UQB1" s="405"/>
      <c r="UQC1" s="432" t="s">
        <v>41</v>
      </c>
      <c r="UQD1" s="404"/>
      <c r="UQE1" s="404"/>
      <c r="UQF1" s="404"/>
      <c r="UQG1" s="404"/>
      <c r="UQH1" s="404"/>
      <c r="UQI1" s="404"/>
      <c r="UQJ1" s="405"/>
      <c r="UQK1" s="432" t="s">
        <v>41</v>
      </c>
      <c r="UQL1" s="404"/>
      <c r="UQM1" s="404"/>
      <c r="UQN1" s="404"/>
      <c r="UQO1" s="404"/>
      <c r="UQP1" s="404"/>
      <c r="UQQ1" s="404"/>
      <c r="UQR1" s="405"/>
      <c r="UQS1" s="432" t="s">
        <v>41</v>
      </c>
      <c r="UQT1" s="404"/>
      <c r="UQU1" s="404"/>
      <c r="UQV1" s="404"/>
      <c r="UQW1" s="404"/>
      <c r="UQX1" s="404"/>
      <c r="UQY1" s="404"/>
      <c r="UQZ1" s="405"/>
      <c r="URA1" s="432" t="s">
        <v>41</v>
      </c>
      <c r="URB1" s="404"/>
      <c r="URC1" s="404"/>
      <c r="URD1" s="404"/>
      <c r="URE1" s="404"/>
      <c r="URF1" s="404"/>
      <c r="URG1" s="404"/>
      <c r="URH1" s="405"/>
      <c r="URI1" s="432" t="s">
        <v>41</v>
      </c>
      <c r="URJ1" s="404"/>
      <c r="URK1" s="404"/>
      <c r="URL1" s="404"/>
      <c r="URM1" s="404"/>
      <c r="URN1" s="404"/>
      <c r="URO1" s="404"/>
      <c r="URP1" s="405"/>
      <c r="URQ1" s="432" t="s">
        <v>41</v>
      </c>
      <c r="URR1" s="404"/>
      <c r="URS1" s="404"/>
      <c r="URT1" s="404"/>
      <c r="URU1" s="404"/>
      <c r="URV1" s="404"/>
      <c r="URW1" s="404"/>
      <c r="URX1" s="405"/>
      <c r="URY1" s="432" t="s">
        <v>41</v>
      </c>
      <c r="URZ1" s="404"/>
      <c r="USA1" s="404"/>
      <c r="USB1" s="404"/>
      <c r="USC1" s="404"/>
      <c r="USD1" s="404"/>
      <c r="USE1" s="404"/>
      <c r="USF1" s="405"/>
      <c r="USG1" s="432" t="s">
        <v>41</v>
      </c>
      <c r="USH1" s="404"/>
      <c r="USI1" s="404"/>
      <c r="USJ1" s="404"/>
      <c r="USK1" s="404"/>
      <c r="USL1" s="404"/>
      <c r="USM1" s="404"/>
      <c r="USN1" s="405"/>
      <c r="USO1" s="432" t="s">
        <v>41</v>
      </c>
      <c r="USP1" s="404"/>
      <c r="USQ1" s="404"/>
      <c r="USR1" s="404"/>
      <c r="USS1" s="404"/>
      <c r="UST1" s="404"/>
      <c r="USU1" s="404"/>
      <c r="USV1" s="405"/>
      <c r="USW1" s="432" t="s">
        <v>41</v>
      </c>
      <c r="USX1" s="404"/>
      <c r="USY1" s="404"/>
      <c r="USZ1" s="404"/>
      <c r="UTA1" s="404"/>
      <c r="UTB1" s="404"/>
      <c r="UTC1" s="404"/>
      <c r="UTD1" s="405"/>
      <c r="UTE1" s="432" t="s">
        <v>41</v>
      </c>
      <c r="UTF1" s="404"/>
      <c r="UTG1" s="404"/>
      <c r="UTH1" s="404"/>
      <c r="UTI1" s="404"/>
      <c r="UTJ1" s="404"/>
      <c r="UTK1" s="404"/>
      <c r="UTL1" s="405"/>
      <c r="UTM1" s="432" t="s">
        <v>41</v>
      </c>
      <c r="UTN1" s="404"/>
      <c r="UTO1" s="404"/>
      <c r="UTP1" s="404"/>
      <c r="UTQ1" s="404"/>
      <c r="UTR1" s="404"/>
      <c r="UTS1" s="404"/>
      <c r="UTT1" s="405"/>
      <c r="UTU1" s="432" t="s">
        <v>41</v>
      </c>
      <c r="UTV1" s="404"/>
      <c r="UTW1" s="404"/>
      <c r="UTX1" s="404"/>
      <c r="UTY1" s="404"/>
      <c r="UTZ1" s="404"/>
      <c r="UUA1" s="404"/>
      <c r="UUB1" s="405"/>
      <c r="UUC1" s="432" t="s">
        <v>41</v>
      </c>
      <c r="UUD1" s="404"/>
      <c r="UUE1" s="404"/>
      <c r="UUF1" s="404"/>
      <c r="UUG1" s="404"/>
      <c r="UUH1" s="404"/>
      <c r="UUI1" s="404"/>
      <c r="UUJ1" s="405"/>
      <c r="UUK1" s="432" t="s">
        <v>41</v>
      </c>
      <c r="UUL1" s="404"/>
      <c r="UUM1" s="404"/>
      <c r="UUN1" s="404"/>
      <c r="UUO1" s="404"/>
      <c r="UUP1" s="404"/>
      <c r="UUQ1" s="404"/>
      <c r="UUR1" s="405"/>
      <c r="UUS1" s="432" t="s">
        <v>41</v>
      </c>
      <c r="UUT1" s="404"/>
      <c r="UUU1" s="404"/>
      <c r="UUV1" s="404"/>
      <c r="UUW1" s="404"/>
      <c r="UUX1" s="404"/>
      <c r="UUY1" s="404"/>
      <c r="UUZ1" s="405"/>
      <c r="UVA1" s="432" t="s">
        <v>41</v>
      </c>
      <c r="UVB1" s="404"/>
      <c r="UVC1" s="404"/>
      <c r="UVD1" s="404"/>
      <c r="UVE1" s="404"/>
      <c r="UVF1" s="404"/>
      <c r="UVG1" s="404"/>
      <c r="UVH1" s="405"/>
      <c r="UVI1" s="432" t="s">
        <v>41</v>
      </c>
      <c r="UVJ1" s="404"/>
      <c r="UVK1" s="404"/>
      <c r="UVL1" s="404"/>
      <c r="UVM1" s="404"/>
      <c r="UVN1" s="404"/>
      <c r="UVO1" s="404"/>
      <c r="UVP1" s="405"/>
      <c r="UVQ1" s="432" t="s">
        <v>41</v>
      </c>
      <c r="UVR1" s="404"/>
      <c r="UVS1" s="404"/>
      <c r="UVT1" s="404"/>
      <c r="UVU1" s="404"/>
      <c r="UVV1" s="404"/>
      <c r="UVW1" s="404"/>
      <c r="UVX1" s="405"/>
      <c r="UVY1" s="432" t="s">
        <v>41</v>
      </c>
      <c r="UVZ1" s="404"/>
      <c r="UWA1" s="404"/>
      <c r="UWB1" s="404"/>
      <c r="UWC1" s="404"/>
      <c r="UWD1" s="404"/>
      <c r="UWE1" s="404"/>
      <c r="UWF1" s="405"/>
      <c r="UWG1" s="432" t="s">
        <v>41</v>
      </c>
      <c r="UWH1" s="404"/>
      <c r="UWI1" s="404"/>
      <c r="UWJ1" s="404"/>
      <c r="UWK1" s="404"/>
      <c r="UWL1" s="404"/>
      <c r="UWM1" s="404"/>
      <c r="UWN1" s="405"/>
      <c r="UWO1" s="432" t="s">
        <v>41</v>
      </c>
      <c r="UWP1" s="404"/>
      <c r="UWQ1" s="404"/>
      <c r="UWR1" s="404"/>
      <c r="UWS1" s="404"/>
      <c r="UWT1" s="404"/>
      <c r="UWU1" s="404"/>
      <c r="UWV1" s="405"/>
      <c r="UWW1" s="432" t="s">
        <v>41</v>
      </c>
      <c r="UWX1" s="404"/>
      <c r="UWY1" s="404"/>
      <c r="UWZ1" s="404"/>
      <c r="UXA1" s="404"/>
      <c r="UXB1" s="404"/>
      <c r="UXC1" s="404"/>
      <c r="UXD1" s="405"/>
      <c r="UXE1" s="432" t="s">
        <v>41</v>
      </c>
      <c r="UXF1" s="404"/>
      <c r="UXG1" s="404"/>
      <c r="UXH1" s="404"/>
      <c r="UXI1" s="404"/>
      <c r="UXJ1" s="404"/>
      <c r="UXK1" s="404"/>
      <c r="UXL1" s="405"/>
      <c r="UXM1" s="432" t="s">
        <v>41</v>
      </c>
      <c r="UXN1" s="404"/>
      <c r="UXO1" s="404"/>
      <c r="UXP1" s="404"/>
      <c r="UXQ1" s="404"/>
      <c r="UXR1" s="404"/>
      <c r="UXS1" s="404"/>
      <c r="UXT1" s="405"/>
      <c r="UXU1" s="432" t="s">
        <v>41</v>
      </c>
      <c r="UXV1" s="404"/>
      <c r="UXW1" s="404"/>
      <c r="UXX1" s="404"/>
      <c r="UXY1" s="404"/>
      <c r="UXZ1" s="404"/>
      <c r="UYA1" s="404"/>
      <c r="UYB1" s="405"/>
      <c r="UYC1" s="432" t="s">
        <v>41</v>
      </c>
      <c r="UYD1" s="404"/>
      <c r="UYE1" s="404"/>
      <c r="UYF1" s="404"/>
      <c r="UYG1" s="404"/>
      <c r="UYH1" s="404"/>
      <c r="UYI1" s="404"/>
      <c r="UYJ1" s="405"/>
      <c r="UYK1" s="432" t="s">
        <v>41</v>
      </c>
      <c r="UYL1" s="404"/>
      <c r="UYM1" s="404"/>
      <c r="UYN1" s="404"/>
      <c r="UYO1" s="404"/>
      <c r="UYP1" s="404"/>
      <c r="UYQ1" s="404"/>
      <c r="UYR1" s="405"/>
      <c r="UYS1" s="432" t="s">
        <v>41</v>
      </c>
      <c r="UYT1" s="404"/>
      <c r="UYU1" s="404"/>
      <c r="UYV1" s="404"/>
      <c r="UYW1" s="404"/>
      <c r="UYX1" s="404"/>
      <c r="UYY1" s="404"/>
      <c r="UYZ1" s="405"/>
      <c r="UZA1" s="432" t="s">
        <v>41</v>
      </c>
      <c r="UZB1" s="404"/>
      <c r="UZC1" s="404"/>
      <c r="UZD1" s="404"/>
      <c r="UZE1" s="404"/>
      <c r="UZF1" s="404"/>
      <c r="UZG1" s="404"/>
      <c r="UZH1" s="405"/>
      <c r="UZI1" s="432" t="s">
        <v>41</v>
      </c>
      <c r="UZJ1" s="404"/>
      <c r="UZK1" s="404"/>
      <c r="UZL1" s="404"/>
      <c r="UZM1" s="404"/>
      <c r="UZN1" s="404"/>
      <c r="UZO1" s="404"/>
      <c r="UZP1" s="405"/>
      <c r="UZQ1" s="432" t="s">
        <v>41</v>
      </c>
      <c r="UZR1" s="404"/>
      <c r="UZS1" s="404"/>
      <c r="UZT1" s="404"/>
      <c r="UZU1" s="404"/>
      <c r="UZV1" s="404"/>
      <c r="UZW1" s="404"/>
      <c r="UZX1" s="405"/>
      <c r="UZY1" s="432" t="s">
        <v>41</v>
      </c>
      <c r="UZZ1" s="404"/>
      <c r="VAA1" s="404"/>
      <c r="VAB1" s="404"/>
      <c r="VAC1" s="404"/>
      <c r="VAD1" s="404"/>
      <c r="VAE1" s="404"/>
      <c r="VAF1" s="405"/>
      <c r="VAG1" s="432" t="s">
        <v>41</v>
      </c>
      <c r="VAH1" s="404"/>
      <c r="VAI1" s="404"/>
      <c r="VAJ1" s="404"/>
      <c r="VAK1" s="404"/>
      <c r="VAL1" s="404"/>
      <c r="VAM1" s="404"/>
      <c r="VAN1" s="405"/>
      <c r="VAO1" s="432" t="s">
        <v>41</v>
      </c>
      <c r="VAP1" s="404"/>
      <c r="VAQ1" s="404"/>
      <c r="VAR1" s="404"/>
      <c r="VAS1" s="404"/>
      <c r="VAT1" s="404"/>
      <c r="VAU1" s="404"/>
      <c r="VAV1" s="405"/>
      <c r="VAW1" s="432" t="s">
        <v>41</v>
      </c>
      <c r="VAX1" s="404"/>
      <c r="VAY1" s="404"/>
      <c r="VAZ1" s="404"/>
      <c r="VBA1" s="404"/>
      <c r="VBB1" s="404"/>
      <c r="VBC1" s="404"/>
      <c r="VBD1" s="405"/>
      <c r="VBE1" s="432" t="s">
        <v>41</v>
      </c>
      <c r="VBF1" s="404"/>
      <c r="VBG1" s="404"/>
      <c r="VBH1" s="404"/>
      <c r="VBI1" s="404"/>
      <c r="VBJ1" s="404"/>
      <c r="VBK1" s="404"/>
      <c r="VBL1" s="405"/>
      <c r="VBM1" s="432" t="s">
        <v>41</v>
      </c>
      <c r="VBN1" s="404"/>
      <c r="VBO1" s="404"/>
      <c r="VBP1" s="404"/>
      <c r="VBQ1" s="404"/>
      <c r="VBR1" s="404"/>
      <c r="VBS1" s="404"/>
      <c r="VBT1" s="405"/>
      <c r="VBU1" s="432" t="s">
        <v>41</v>
      </c>
      <c r="VBV1" s="404"/>
      <c r="VBW1" s="404"/>
      <c r="VBX1" s="404"/>
      <c r="VBY1" s="404"/>
      <c r="VBZ1" s="404"/>
      <c r="VCA1" s="404"/>
      <c r="VCB1" s="405"/>
      <c r="VCC1" s="432" t="s">
        <v>41</v>
      </c>
      <c r="VCD1" s="404"/>
      <c r="VCE1" s="404"/>
      <c r="VCF1" s="404"/>
      <c r="VCG1" s="404"/>
      <c r="VCH1" s="404"/>
      <c r="VCI1" s="404"/>
      <c r="VCJ1" s="405"/>
      <c r="VCK1" s="432" t="s">
        <v>41</v>
      </c>
      <c r="VCL1" s="404"/>
      <c r="VCM1" s="404"/>
      <c r="VCN1" s="404"/>
      <c r="VCO1" s="404"/>
      <c r="VCP1" s="404"/>
      <c r="VCQ1" s="404"/>
      <c r="VCR1" s="405"/>
      <c r="VCS1" s="432" t="s">
        <v>41</v>
      </c>
      <c r="VCT1" s="404"/>
      <c r="VCU1" s="404"/>
      <c r="VCV1" s="404"/>
      <c r="VCW1" s="404"/>
      <c r="VCX1" s="404"/>
      <c r="VCY1" s="404"/>
      <c r="VCZ1" s="405"/>
      <c r="VDA1" s="432" t="s">
        <v>41</v>
      </c>
      <c r="VDB1" s="404"/>
      <c r="VDC1" s="404"/>
      <c r="VDD1" s="404"/>
      <c r="VDE1" s="404"/>
      <c r="VDF1" s="404"/>
      <c r="VDG1" s="404"/>
      <c r="VDH1" s="405"/>
      <c r="VDI1" s="432" t="s">
        <v>41</v>
      </c>
      <c r="VDJ1" s="404"/>
      <c r="VDK1" s="404"/>
      <c r="VDL1" s="404"/>
      <c r="VDM1" s="404"/>
      <c r="VDN1" s="404"/>
      <c r="VDO1" s="404"/>
      <c r="VDP1" s="405"/>
      <c r="VDQ1" s="432" t="s">
        <v>41</v>
      </c>
      <c r="VDR1" s="404"/>
      <c r="VDS1" s="404"/>
      <c r="VDT1" s="404"/>
      <c r="VDU1" s="404"/>
      <c r="VDV1" s="404"/>
      <c r="VDW1" s="404"/>
      <c r="VDX1" s="405"/>
      <c r="VDY1" s="432" t="s">
        <v>41</v>
      </c>
      <c r="VDZ1" s="404"/>
      <c r="VEA1" s="404"/>
      <c r="VEB1" s="404"/>
      <c r="VEC1" s="404"/>
      <c r="VED1" s="404"/>
      <c r="VEE1" s="404"/>
      <c r="VEF1" s="405"/>
      <c r="VEG1" s="432" t="s">
        <v>41</v>
      </c>
      <c r="VEH1" s="404"/>
      <c r="VEI1" s="404"/>
      <c r="VEJ1" s="404"/>
      <c r="VEK1" s="404"/>
      <c r="VEL1" s="404"/>
      <c r="VEM1" s="404"/>
      <c r="VEN1" s="405"/>
      <c r="VEO1" s="432" t="s">
        <v>41</v>
      </c>
      <c r="VEP1" s="404"/>
      <c r="VEQ1" s="404"/>
      <c r="VER1" s="404"/>
      <c r="VES1" s="404"/>
      <c r="VET1" s="404"/>
      <c r="VEU1" s="404"/>
      <c r="VEV1" s="405"/>
      <c r="VEW1" s="432" t="s">
        <v>41</v>
      </c>
      <c r="VEX1" s="404"/>
      <c r="VEY1" s="404"/>
      <c r="VEZ1" s="404"/>
      <c r="VFA1" s="404"/>
      <c r="VFB1" s="404"/>
      <c r="VFC1" s="404"/>
      <c r="VFD1" s="405"/>
      <c r="VFE1" s="432" t="s">
        <v>41</v>
      </c>
      <c r="VFF1" s="404"/>
      <c r="VFG1" s="404"/>
      <c r="VFH1" s="404"/>
      <c r="VFI1" s="404"/>
      <c r="VFJ1" s="404"/>
      <c r="VFK1" s="404"/>
      <c r="VFL1" s="405"/>
      <c r="VFM1" s="432" t="s">
        <v>41</v>
      </c>
      <c r="VFN1" s="404"/>
      <c r="VFO1" s="404"/>
      <c r="VFP1" s="404"/>
      <c r="VFQ1" s="404"/>
      <c r="VFR1" s="404"/>
      <c r="VFS1" s="404"/>
      <c r="VFT1" s="405"/>
      <c r="VFU1" s="432" t="s">
        <v>41</v>
      </c>
      <c r="VFV1" s="404"/>
      <c r="VFW1" s="404"/>
      <c r="VFX1" s="404"/>
      <c r="VFY1" s="404"/>
      <c r="VFZ1" s="404"/>
      <c r="VGA1" s="404"/>
      <c r="VGB1" s="405"/>
      <c r="VGC1" s="432" t="s">
        <v>41</v>
      </c>
      <c r="VGD1" s="404"/>
      <c r="VGE1" s="404"/>
      <c r="VGF1" s="404"/>
      <c r="VGG1" s="404"/>
      <c r="VGH1" s="404"/>
      <c r="VGI1" s="404"/>
      <c r="VGJ1" s="405"/>
      <c r="VGK1" s="432" t="s">
        <v>41</v>
      </c>
      <c r="VGL1" s="404"/>
      <c r="VGM1" s="404"/>
      <c r="VGN1" s="404"/>
      <c r="VGO1" s="404"/>
      <c r="VGP1" s="404"/>
      <c r="VGQ1" s="404"/>
      <c r="VGR1" s="405"/>
      <c r="VGS1" s="432" t="s">
        <v>41</v>
      </c>
      <c r="VGT1" s="404"/>
      <c r="VGU1" s="404"/>
      <c r="VGV1" s="404"/>
      <c r="VGW1" s="404"/>
      <c r="VGX1" s="404"/>
      <c r="VGY1" s="404"/>
      <c r="VGZ1" s="405"/>
      <c r="VHA1" s="432" t="s">
        <v>41</v>
      </c>
      <c r="VHB1" s="404"/>
      <c r="VHC1" s="404"/>
      <c r="VHD1" s="404"/>
      <c r="VHE1" s="404"/>
      <c r="VHF1" s="404"/>
      <c r="VHG1" s="404"/>
      <c r="VHH1" s="405"/>
      <c r="VHI1" s="432" t="s">
        <v>41</v>
      </c>
      <c r="VHJ1" s="404"/>
      <c r="VHK1" s="404"/>
      <c r="VHL1" s="404"/>
      <c r="VHM1" s="404"/>
      <c r="VHN1" s="404"/>
      <c r="VHO1" s="404"/>
      <c r="VHP1" s="405"/>
      <c r="VHQ1" s="432" t="s">
        <v>41</v>
      </c>
      <c r="VHR1" s="404"/>
      <c r="VHS1" s="404"/>
      <c r="VHT1" s="404"/>
      <c r="VHU1" s="404"/>
      <c r="VHV1" s="404"/>
      <c r="VHW1" s="404"/>
      <c r="VHX1" s="405"/>
      <c r="VHY1" s="432" t="s">
        <v>41</v>
      </c>
      <c r="VHZ1" s="404"/>
      <c r="VIA1" s="404"/>
      <c r="VIB1" s="404"/>
      <c r="VIC1" s="404"/>
      <c r="VID1" s="404"/>
      <c r="VIE1" s="404"/>
      <c r="VIF1" s="405"/>
      <c r="VIG1" s="432" t="s">
        <v>41</v>
      </c>
      <c r="VIH1" s="404"/>
      <c r="VII1" s="404"/>
      <c r="VIJ1" s="404"/>
      <c r="VIK1" s="404"/>
      <c r="VIL1" s="404"/>
      <c r="VIM1" s="404"/>
      <c r="VIN1" s="405"/>
      <c r="VIO1" s="432" t="s">
        <v>41</v>
      </c>
      <c r="VIP1" s="404"/>
      <c r="VIQ1" s="404"/>
      <c r="VIR1" s="404"/>
      <c r="VIS1" s="404"/>
      <c r="VIT1" s="404"/>
      <c r="VIU1" s="404"/>
      <c r="VIV1" s="405"/>
      <c r="VIW1" s="432" t="s">
        <v>41</v>
      </c>
      <c r="VIX1" s="404"/>
      <c r="VIY1" s="404"/>
      <c r="VIZ1" s="404"/>
      <c r="VJA1" s="404"/>
      <c r="VJB1" s="404"/>
      <c r="VJC1" s="404"/>
      <c r="VJD1" s="405"/>
      <c r="VJE1" s="432" t="s">
        <v>41</v>
      </c>
      <c r="VJF1" s="404"/>
      <c r="VJG1" s="404"/>
      <c r="VJH1" s="404"/>
      <c r="VJI1" s="404"/>
      <c r="VJJ1" s="404"/>
      <c r="VJK1" s="404"/>
      <c r="VJL1" s="405"/>
      <c r="VJM1" s="432" t="s">
        <v>41</v>
      </c>
      <c r="VJN1" s="404"/>
      <c r="VJO1" s="404"/>
      <c r="VJP1" s="404"/>
      <c r="VJQ1" s="404"/>
      <c r="VJR1" s="404"/>
      <c r="VJS1" s="404"/>
      <c r="VJT1" s="405"/>
      <c r="VJU1" s="432" t="s">
        <v>41</v>
      </c>
      <c r="VJV1" s="404"/>
      <c r="VJW1" s="404"/>
      <c r="VJX1" s="404"/>
      <c r="VJY1" s="404"/>
      <c r="VJZ1" s="404"/>
      <c r="VKA1" s="404"/>
      <c r="VKB1" s="405"/>
      <c r="VKC1" s="432" t="s">
        <v>41</v>
      </c>
      <c r="VKD1" s="404"/>
      <c r="VKE1" s="404"/>
      <c r="VKF1" s="404"/>
      <c r="VKG1" s="404"/>
      <c r="VKH1" s="404"/>
      <c r="VKI1" s="404"/>
      <c r="VKJ1" s="405"/>
      <c r="VKK1" s="432" t="s">
        <v>41</v>
      </c>
      <c r="VKL1" s="404"/>
      <c r="VKM1" s="404"/>
      <c r="VKN1" s="404"/>
      <c r="VKO1" s="404"/>
      <c r="VKP1" s="404"/>
      <c r="VKQ1" s="404"/>
      <c r="VKR1" s="405"/>
      <c r="VKS1" s="432" t="s">
        <v>41</v>
      </c>
      <c r="VKT1" s="404"/>
      <c r="VKU1" s="404"/>
      <c r="VKV1" s="404"/>
      <c r="VKW1" s="404"/>
      <c r="VKX1" s="404"/>
      <c r="VKY1" s="404"/>
      <c r="VKZ1" s="405"/>
      <c r="VLA1" s="432" t="s">
        <v>41</v>
      </c>
      <c r="VLB1" s="404"/>
      <c r="VLC1" s="404"/>
      <c r="VLD1" s="404"/>
      <c r="VLE1" s="404"/>
      <c r="VLF1" s="404"/>
      <c r="VLG1" s="404"/>
      <c r="VLH1" s="405"/>
      <c r="VLI1" s="432" t="s">
        <v>41</v>
      </c>
      <c r="VLJ1" s="404"/>
      <c r="VLK1" s="404"/>
      <c r="VLL1" s="404"/>
      <c r="VLM1" s="404"/>
      <c r="VLN1" s="404"/>
      <c r="VLO1" s="404"/>
      <c r="VLP1" s="405"/>
      <c r="VLQ1" s="432" t="s">
        <v>41</v>
      </c>
      <c r="VLR1" s="404"/>
      <c r="VLS1" s="404"/>
      <c r="VLT1" s="404"/>
      <c r="VLU1" s="404"/>
      <c r="VLV1" s="404"/>
      <c r="VLW1" s="404"/>
      <c r="VLX1" s="405"/>
      <c r="VLY1" s="432" t="s">
        <v>41</v>
      </c>
      <c r="VLZ1" s="404"/>
      <c r="VMA1" s="404"/>
      <c r="VMB1" s="404"/>
      <c r="VMC1" s="404"/>
      <c r="VMD1" s="404"/>
      <c r="VME1" s="404"/>
      <c r="VMF1" s="405"/>
      <c r="VMG1" s="432" t="s">
        <v>41</v>
      </c>
      <c r="VMH1" s="404"/>
      <c r="VMI1" s="404"/>
      <c r="VMJ1" s="404"/>
      <c r="VMK1" s="404"/>
      <c r="VML1" s="404"/>
      <c r="VMM1" s="404"/>
      <c r="VMN1" s="405"/>
      <c r="VMO1" s="432" t="s">
        <v>41</v>
      </c>
      <c r="VMP1" s="404"/>
      <c r="VMQ1" s="404"/>
      <c r="VMR1" s="404"/>
      <c r="VMS1" s="404"/>
      <c r="VMT1" s="404"/>
      <c r="VMU1" s="404"/>
      <c r="VMV1" s="405"/>
      <c r="VMW1" s="432" t="s">
        <v>41</v>
      </c>
      <c r="VMX1" s="404"/>
      <c r="VMY1" s="404"/>
      <c r="VMZ1" s="404"/>
      <c r="VNA1" s="404"/>
      <c r="VNB1" s="404"/>
      <c r="VNC1" s="404"/>
      <c r="VND1" s="405"/>
      <c r="VNE1" s="432" t="s">
        <v>41</v>
      </c>
      <c r="VNF1" s="404"/>
      <c r="VNG1" s="404"/>
      <c r="VNH1" s="404"/>
      <c r="VNI1" s="404"/>
      <c r="VNJ1" s="404"/>
      <c r="VNK1" s="404"/>
      <c r="VNL1" s="405"/>
      <c r="VNM1" s="432" t="s">
        <v>41</v>
      </c>
      <c r="VNN1" s="404"/>
      <c r="VNO1" s="404"/>
      <c r="VNP1" s="404"/>
      <c r="VNQ1" s="404"/>
      <c r="VNR1" s="404"/>
      <c r="VNS1" s="404"/>
      <c r="VNT1" s="405"/>
      <c r="VNU1" s="432" t="s">
        <v>41</v>
      </c>
      <c r="VNV1" s="404"/>
      <c r="VNW1" s="404"/>
      <c r="VNX1" s="404"/>
      <c r="VNY1" s="404"/>
      <c r="VNZ1" s="404"/>
      <c r="VOA1" s="404"/>
      <c r="VOB1" s="405"/>
      <c r="VOC1" s="432" t="s">
        <v>41</v>
      </c>
      <c r="VOD1" s="404"/>
      <c r="VOE1" s="404"/>
      <c r="VOF1" s="404"/>
      <c r="VOG1" s="404"/>
      <c r="VOH1" s="404"/>
      <c r="VOI1" s="404"/>
      <c r="VOJ1" s="405"/>
      <c r="VOK1" s="432" t="s">
        <v>41</v>
      </c>
      <c r="VOL1" s="404"/>
      <c r="VOM1" s="404"/>
      <c r="VON1" s="404"/>
      <c r="VOO1" s="404"/>
      <c r="VOP1" s="404"/>
      <c r="VOQ1" s="404"/>
      <c r="VOR1" s="405"/>
      <c r="VOS1" s="432" t="s">
        <v>41</v>
      </c>
      <c r="VOT1" s="404"/>
      <c r="VOU1" s="404"/>
      <c r="VOV1" s="404"/>
      <c r="VOW1" s="404"/>
      <c r="VOX1" s="404"/>
      <c r="VOY1" s="404"/>
      <c r="VOZ1" s="405"/>
      <c r="VPA1" s="432" t="s">
        <v>41</v>
      </c>
      <c r="VPB1" s="404"/>
      <c r="VPC1" s="404"/>
      <c r="VPD1" s="404"/>
      <c r="VPE1" s="404"/>
      <c r="VPF1" s="404"/>
      <c r="VPG1" s="404"/>
      <c r="VPH1" s="405"/>
      <c r="VPI1" s="432" t="s">
        <v>41</v>
      </c>
      <c r="VPJ1" s="404"/>
      <c r="VPK1" s="404"/>
      <c r="VPL1" s="404"/>
      <c r="VPM1" s="404"/>
      <c r="VPN1" s="404"/>
      <c r="VPO1" s="404"/>
      <c r="VPP1" s="405"/>
      <c r="VPQ1" s="432" t="s">
        <v>41</v>
      </c>
      <c r="VPR1" s="404"/>
      <c r="VPS1" s="404"/>
      <c r="VPT1" s="404"/>
      <c r="VPU1" s="404"/>
      <c r="VPV1" s="404"/>
      <c r="VPW1" s="404"/>
      <c r="VPX1" s="405"/>
      <c r="VPY1" s="432" t="s">
        <v>41</v>
      </c>
      <c r="VPZ1" s="404"/>
      <c r="VQA1" s="404"/>
      <c r="VQB1" s="404"/>
      <c r="VQC1" s="404"/>
      <c r="VQD1" s="404"/>
      <c r="VQE1" s="404"/>
      <c r="VQF1" s="405"/>
      <c r="VQG1" s="432" t="s">
        <v>41</v>
      </c>
      <c r="VQH1" s="404"/>
      <c r="VQI1" s="404"/>
      <c r="VQJ1" s="404"/>
      <c r="VQK1" s="404"/>
      <c r="VQL1" s="404"/>
      <c r="VQM1" s="404"/>
      <c r="VQN1" s="405"/>
      <c r="VQO1" s="432" t="s">
        <v>41</v>
      </c>
      <c r="VQP1" s="404"/>
      <c r="VQQ1" s="404"/>
      <c r="VQR1" s="404"/>
      <c r="VQS1" s="404"/>
      <c r="VQT1" s="404"/>
      <c r="VQU1" s="404"/>
      <c r="VQV1" s="405"/>
      <c r="VQW1" s="432" t="s">
        <v>41</v>
      </c>
      <c r="VQX1" s="404"/>
      <c r="VQY1" s="404"/>
      <c r="VQZ1" s="404"/>
      <c r="VRA1" s="404"/>
      <c r="VRB1" s="404"/>
      <c r="VRC1" s="404"/>
      <c r="VRD1" s="405"/>
      <c r="VRE1" s="432" t="s">
        <v>41</v>
      </c>
      <c r="VRF1" s="404"/>
      <c r="VRG1" s="404"/>
      <c r="VRH1" s="404"/>
      <c r="VRI1" s="404"/>
      <c r="VRJ1" s="404"/>
      <c r="VRK1" s="404"/>
      <c r="VRL1" s="405"/>
      <c r="VRM1" s="432" t="s">
        <v>41</v>
      </c>
      <c r="VRN1" s="404"/>
      <c r="VRO1" s="404"/>
      <c r="VRP1" s="404"/>
      <c r="VRQ1" s="404"/>
      <c r="VRR1" s="404"/>
      <c r="VRS1" s="404"/>
      <c r="VRT1" s="405"/>
      <c r="VRU1" s="432" t="s">
        <v>41</v>
      </c>
      <c r="VRV1" s="404"/>
      <c r="VRW1" s="404"/>
      <c r="VRX1" s="404"/>
      <c r="VRY1" s="404"/>
      <c r="VRZ1" s="404"/>
      <c r="VSA1" s="404"/>
      <c r="VSB1" s="405"/>
      <c r="VSC1" s="432" t="s">
        <v>41</v>
      </c>
      <c r="VSD1" s="404"/>
      <c r="VSE1" s="404"/>
      <c r="VSF1" s="404"/>
      <c r="VSG1" s="404"/>
      <c r="VSH1" s="404"/>
      <c r="VSI1" s="404"/>
      <c r="VSJ1" s="405"/>
      <c r="VSK1" s="432" t="s">
        <v>41</v>
      </c>
      <c r="VSL1" s="404"/>
      <c r="VSM1" s="404"/>
      <c r="VSN1" s="404"/>
      <c r="VSO1" s="404"/>
      <c r="VSP1" s="404"/>
      <c r="VSQ1" s="404"/>
      <c r="VSR1" s="405"/>
      <c r="VSS1" s="432" t="s">
        <v>41</v>
      </c>
      <c r="VST1" s="404"/>
      <c r="VSU1" s="404"/>
      <c r="VSV1" s="404"/>
      <c r="VSW1" s="404"/>
      <c r="VSX1" s="404"/>
      <c r="VSY1" s="404"/>
      <c r="VSZ1" s="405"/>
      <c r="VTA1" s="432" t="s">
        <v>41</v>
      </c>
      <c r="VTB1" s="404"/>
      <c r="VTC1" s="404"/>
      <c r="VTD1" s="404"/>
      <c r="VTE1" s="404"/>
      <c r="VTF1" s="404"/>
      <c r="VTG1" s="404"/>
      <c r="VTH1" s="405"/>
      <c r="VTI1" s="432" t="s">
        <v>41</v>
      </c>
      <c r="VTJ1" s="404"/>
      <c r="VTK1" s="404"/>
      <c r="VTL1" s="404"/>
      <c r="VTM1" s="404"/>
      <c r="VTN1" s="404"/>
      <c r="VTO1" s="404"/>
      <c r="VTP1" s="405"/>
      <c r="VTQ1" s="432" t="s">
        <v>41</v>
      </c>
      <c r="VTR1" s="404"/>
      <c r="VTS1" s="404"/>
      <c r="VTT1" s="404"/>
      <c r="VTU1" s="404"/>
      <c r="VTV1" s="404"/>
      <c r="VTW1" s="404"/>
      <c r="VTX1" s="405"/>
      <c r="VTY1" s="432" t="s">
        <v>41</v>
      </c>
      <c r="VTZ1" s="404"/>
      <c r="VUA1" s="404"/>
      <c r="VUB1" s="404"/>
      <c r="VUC1" s="404"/>
      <c r="VUD1" s="404"/>
      <c r="VUE1" s="404"/>
      <c r="VUF1" s="405"/>
      <c r="VUG1" s="432" t="s">
        <v>41</v>
      </c>
      <c r="VUH1" s="404"/>
      <c r="VUI1" s="404"/>
      <c r="VUJ1" s="404"/>
      <c r="VUK1" s="404"/>
      <c r="VUL1" s="404"/>
      <c r="VUM1" s="404"/>
      <c r="VUN1" s="405"/>
      <c r="VUO1" s="432" t="s">
        <v>41</v>
      </c>
      <c r="VUP1" s="404"/>
      <c r="VUQ1" s="404"/>
      <c r="VUR1" s="404"/>
      <c r="VUS1" s="404"/>
      <c r="VUT1" s="404"/>
      <c r="VUU1" s="404"/>
      <c r="VUV1" s="405"/>
      <c r="VUW1" s="432" t="s">
        <v>41</v>
      </c>
      <c r="VUX1" s="404"/>
      <c r="VUY1" s="404"/>
      <c r="VUZ1" s="404"/>
      <c r="VVA1" s="404"/>
      <c r="VVB1" s="404"/>
      <c r="VVC1" s="404"/>
      <c r="VVD1" s="405"/>
      <c r="VVE1" s="432" t="s">
        <v>41</v>
      </c>
      <c r="VVF1" s="404"/>
      <c r="VVG1" s="404"/>
      <c r="VVH1" s="404"/>
      <c r="VVI1" s="404"/>
      <c r="VVJ1" s="404"/>
      <c r="VVK1" s="404"/>
      <c r="VVL1" s="405"/>
      <c r="VVM1" s="432" t="s">
        <v>41</v>
      </c>
      <c r="VVN1" s="404"/>
      <c r="VVO1" s="404"/>
      <c r="VVP1" s="404"/>
      <c r="VVQ1" s="404"/>
      <c r="VVR1" s="404"/>
      <c r="VVS1" s="404"/>
      <c r="VVT1" s="405"/>
      <c r="VVU1" s="432" t="s">
        <v>41</v>
      </c>
      <c r="VVV1" s="404"/>
      <c r="VVW1" s="404"/>
      <c r="VVX1" s="404"/>
      <c r="VVY1" s="404"/>
      <c r="VVZ1" s="404"/>
      <c r="VWA1" s="404"/>
      <c r="VWB1" s="405"/>
      <c r="VWC1" s="432" t="s">
        <v>41</v>
      </c>
      <c r="VWD1" s="404"/>
      <c r="VWE1" s="404"/>
      <c r="VWF1" s="404"/>
      <c r="VWG1" s="404"/>
      <c r="VWH1" s="404"/>
      <c r="VWI1" s="404"/>
      <c r="VWJ1" s="405"/>
      <c r="VWK1" s="432" t="s">
        <v>41</v>
      </c>
      <c r="VWL1" s="404"/>
      <c r="VWM1" s="404"/>
      <c r="VWN1" s="404"/>
      <c r="VWO1" s="404"/>
      <c r="VWP1" s="404"/>
      <c r="VWQ1" s="404"/>
      <c r="VWR1" s="405"/>
      <c r="VWS1" s="432" t="s">
        <v>41</v>
      </c>
      <c r="VWT1" s="404"/>
      <c r="VWU1" s="404"/>
      <c r="VWV1" s="404"/>
      <c r="VWW1" s="404"/>
      <c r="VWX1" s="404"/>
      <c r="VWY1" s="404"/>
      <c r="VWZ1" s="405"/>
      <c r="VXA1" s="432" t="s">
        <v>41</v>
      </c>
      <c r="VXB1" s="404"/>
      <c r="VXC1" s="404"/>
      <c r="VXD1" s="404"/>
      <c r="VXE1" s="404"/>
      <c r="VXF1" s="404"/>
      <c r="VXG1" s="404"/>
      <c r="VXH1" s="405"/>
      <c r="VXI1" s="432" t="s">
        <v>41</v>
      </c>
      <c r="VXJ1" s="404"/>
      <c r="VXK1" s="404"/>
      <c r="VXL1" s="404"/>
      <c r="VXM1" s="404"/>
      <c r="VXN1" s="404"/>
      <c r="VXO1" s="404"/>
      <c r="VXP1" s="405"/>
      <c r="VXQ1" s="432" t="s">
        <v>41</v>
      </c>
      <c r="VXR1" s="404"/>
      <c r="VXS1" s="404"/>
      <c r="VXT1" s="404"/>
      <c r="VXU1" s="404"/>
      <c r="VXV1" s="404"/>
      <c r="VXW1" s="404"/>
      <c r="VXX1" s="405"/>
      <c r="VXY1" s="432" t="s">
        <v>41</v>
      </c>
      <c r="VXZ1" s="404"/>
      <c r="VYA1" s="404"/>
      <c r="VYB1" s="404"/>
      <c r="VYC1" s="404"/>
      <c r="VYD1" s="404"/>
      <c r="VYE1" s="404"/>
      <c r="VYF1" s="405"/>
      <c r="VYG1" s="432" t="s">
        <v>41</v>
      </c>
      <c r="VYH1" s="404"/>
      <c r="VYI1" s="404"/>
      <c r="VYJ1" s="404"/>
      <c r="VYK1" s="404"/>
      <c r="VYL1" s="404"/>
      <c r="VYM1" s="404"/>
      <c r="VYN1" s="405"/>
      <c r="VYO1" s="432" t="s">
        <v>41</v>
      </c>
      <c r="VYP1" s="404"/>
      <c r="VYQ1" s="404"/>
      <c r="VYR1" s="404"/>
      <c r="VYS1" s="404"/>
      <c r="VYT1" s="404"/>
      <c r="VYU1" s="404"/>
      <c r="VYV1" s="405"/>
      <c r="VYW1" s="432" t="s">
        <v>41</v>
      </c>
      <c r="VYX1" s="404"/>
      <c r="VYY1" s="404"/>
      <c r="VYZ1" s="404"/>
      <c r="VZA1" s="404"/>
      <c r="VZB1" s="404"/>
      <c r="VZC1" s="404"/>
      <c r="VZD1" s="405"/>
      <c r="VZE1" s="432" t="s">
        <v>41</v>
      </c>
      <c r="VZF1" s="404"/>
      <c r="VZG1" s="404"/>
      <c r="VZH1" s="404"/>
      <c r="VZI1" s="404"/>
      <c r="VZJ1" s="404"/>
      <c r="VZK1" s="404"/>
      <c r="VZL1" s="405"/>
      <c r="VZM1" s="432" t="s">
        <v>41</v>
      </c>
      <c r="VZN1" s="404"/>
      <c r="VZO1" s="404"/>
      <c r="VZP1" s="404"/>
      <c r="VZQ1" s="404"/>
      <c r="VZR1" s="404"/>
      <c r="VZS1" s="404"/>
      <c r="VZT1" s="405"/>
      <c r="VZU1" s="432" t="s">
        <v>41</v>
      </c>
      <c r="VZV1" s="404"/>
      <c r="VZW1" s="404"/>
      <c r="VZX1" s="404"/>
      <c r="VZY1" s="404"/>
      <c r="VZZ1" s="404"/>
      <c r="WAA1" s="404"/>
      <c r="WAB1" s="405"/>
      <c r="WAC1" s="432" t="s">
        <v>41</v>
      </c>
      <c r="WAD1" s="404"/>
      <c r="WAE1" s="404"/>
      <c r="WAF1" s="404"/>
      <c r="WAG1" s="404"/>
      <c r="WAH1" s="404"/>
      <c r="WAI1" s="404"/>
      <c r="WAJ1" s="405"/>
      <c r="WAK1" s="432" t="s">
        <v>41</v>
      </c>
      <c r="WAL1" s="404"/>
      <c r="WAM1" s="404"/>
      <c r="WAN1" s="404"/>
      <c r="WAO1" s="404"/>
      <c r="WAP1" s="404"/>
      <c r="WAQ1" s="404"/>
      <c r="WAR1" s="405"/>
      <c r="WAS1" s="432" t="s">
        <v>41</v>
      </c>
      <c r="WAT1" s="404"/>
      <c r="WAU1" s="404"/>
      <c r="WAV1" s="404"/>
      <c r="WAW1" s="404"/>
      <c r="WAX1" s="404"/>
      <c r="WAY1" s="404"/>
      <c r="WAZ1" s="405"/>
      <c r="WBA1" s="432" t="s">
        <v>41</v>
      </c>
      <c r="WBB1" s="404"/>
      <c r="WBC1" s="404"/>
      <c r="WBD1" s="404"/>
      <c r="WBE1" s="404"/>
      <c r="WBF1" s="404"/>
      <c r="WBG1" s="404"/>
      <c r="WBH1" s="405"/>
      <c r="WBI1" s="432" t="s">
        <v>41</v>
      </c>
      <c r="WBJ1" s="404"/>
      <c r="WBK1" s="404"/>
      <c r="WBL1" s="404"/>
      <c r="WBM1" s="404"/>
      <c r="WBN1" s="404"/>
      <c r="WBO1" s="404"/>
      <c r="WBP1" s="405"/>
      <c r="WBQ1" s="432" t="s">
        <v>41</v>
      </c>
      <c r="WBR1" s="404"/>
      <c r="WBS1" s="404"/>
      <c r="WBT1" s="404"/>
      <c r="WBU1" s="404"/>
      <c r="WBV1" s="404"/>
      <c r="WBW1" s="404"/>
      <c r="WBX1" s="405"/>
      <c r="WBY1" s="432" t="s">
        <v>41</v>
      </c>
      <c r="WBZ1" s="404"/>
      <c r="WCA1" s="404"/>
      <c r="WCB1" s="404"/>
      <c r="WCC1" s="404"/>
      <c r="WCD1" s="404"/>
      <c r="WCE1" s="404"/>
      <c r="WCF1" s="405"/>
      <c r="WCG1" s="432" t="s">
        <v>41</v>
      </c>
      <c r="WCH1" s="404"/>
      <c r="WCI1" s="404"/>
      <c r="WCJ1" s="404"/>
      <c r="WCK1" s="404"/>
      <c r="WCL1" s="404"/>
      <c r="WCM1" s="404"/>
      <c r="WCN1" s="405"/>
      <c r="WCO1" s="432" t="s">
        <v>41</v>
      </c>
      <c r="WCP1" s="404"/>
      <c r="WCQ1" s="404"/>
      <c r="WCR1" s="404"/>
      <c r="WCS1" s="404"/>
      <c r="WCT1" s="404"/>
      <c r="WCU1" s="404"/>
      <c r="WCV1" s="405"/>
      <c r="WCW1" s="432" t="s">
        <v>41</v>
      </c>
      <c r="WCX1" s="404"/>
      <c r="WCY1" s="404"/>
      <c r="WCZ1" s="404"/>
      <c r="WDA1" s="404"/>
      <c r="WDB1" s="404"/>
      <c r="WDC1" s="404"/>
      <c r="WDD1" s="405"/>
      <c r="WDE1" s="432" t="s">
        <v>41</v>
      </c>
      <c r="WDF1" s="404"/>
      <c r="WDG1" s="404"/>
      <c r="WDH1" s="404"/>
      <c r="WDI1" s="404"/>
      <c r="WDJ1" s="404"/>
      <c r="WDK1" s="404"/>
      <c r="WDL1" s="405"/>
      <c r="WDM1" s="432" t="s">
        <v>41</v>
      </c>
      <c r="WDN1" s="404"/>
      <c r="WDO1" s="404"/>
      <c r="WDP1" s="404"/>
      <c r="WDQ1" s="404"/>
      <c r="WDR1" s="404"/>
      <c r="WDS1" s="404"/>
      <c r="WDT1" s="405"/>
      <c r="WDU1" s="432" t="s">
        <v>41</v>
      </c>
      <c r="WDV1" s="404"/>
      <c r="WDW1" s="404"/>
      <c r="WDX1" s="404"/>
      <c r="WDY1" s="404"/>
      <c r="WDZ1" s="404"/>
      <c r="WEA1" s="404"/>
      <c r="WEB1" s="405"/>
      <c r="WEC1" s="432" t="s">
        <v>41</v>
      </c>
      <c r="WED1" s="404"/>
      <c r="WEE1" s="404"/>
      <c r="WEF1" s="404"/>
      <c r="WEG1" s="404"/>
      <c r="WEH1" s="404"/>
      <c r="WEI1" s="404"/>
      <c r="WEJ1" s="405"/>
      <c r="WEK1" s="432" t="s">
        <v>41</v>
      </c>
      <c r="WEL1" s="404"/>
      <c r="WEM1" s="404"/>
      <c r="WEN1" s="404"/>
      <c r="WEO1" s="404"/>
      <c r="WEP1" s="404"/>
      <c r="WEQ1" s="404"/>
      <c r="WER1" s="405"/>
      <c r="WES1" s="432" t="s">
        <v>41</v>
      </c>
      <c r="WET1" s="404"/>
      <c r="WEU1" s="404"/>
      <c r="WEV1" s="404"/>
      <c r="WEW1" s="404"/>
      <c r="WEX1" s="404"/>
      <c r="WEY1" s="404"/>
      <c r="WEZ1" s="405"/>
      <c r="WFA1" s="432" t="s">
        <v>41</v>
      </c>
      <c r="WFB1" s="404"/>
      <c r="WFC1" s="404"/>
      <c r="WFD1" s="404"/>
      <c r="WFE1" s="404"/>
      <c r="WFF1" s="404"/>
      <c r="WFG1" s="404"/>
      <c r="WFH1" s="405"/>
      <c r="WFI1" s="432" t="s">
        <v>41</v>
      </c>
      <c r="WFJ1" s="404"/>
      <c r="WFK1" s="404"/>
      <c r="WFL1" s="404"/>
      <c r="WFM1" s="404"/>
      <c r="WFN1" s="404"/>
      <c r="WFO1" s="404"/>
      <c r="WFP1" s="405"/>
      <c r="WFQ1" s="432" t="s">
        <v>41</v>
      </c>
      <c r="WFR1" s="404"/>
      <c r="WFS1" s="404"/>
      <c r="WFT1" s="404"/>
      <c r="WFU1" s="404"/>
      <c r="WFV1" s="404"/>
      <c r="WFW1" s="404"/>
      <c r="WFX1" s="405"/>
      <c r="WFY1" s="432" t="s">
        <v>41</v>
      </c>
      <c r="WFZ1" s="404"/>
      <c r="WGA1" s="404"/>
      <c r="WGB1" s="404"/>
      <c r="WGC1" s="404"/>
      <c r="WGD1" s="404"/>
      <c r="WGE1" s="404"/>
      <c r="WGF1" s="405"/>
      <c r="WGG1" s="432" t="s">
        <v>41</v>
      </c>
      <c r="WGH1" s="404"/>
      <c r="WGI1" s="404"/>
      <c r="WGJ1" s="404"/>
      <c r="WGK1" s="404"/>
      <c r="WGL1" s="404"/>
      <c r="WGM1" s="404"/>
      <c r="WGN1" s="405"/>
      <c r="WGO1" s="432" t="s">
        <v>41</v>
      </c>
      <c r="WGP1" s="404"/>
      <c r="WGQ1" s="404"/>
      <c r="WGR1" s="404"/>
      <c r="WGS1" s="404"/>
      <c r="WGT1" s="404"/>
      <c r="WGU1" s="404"/>
      <c r="WGV1" s="405"/>
      <c r="WGW1" s="432" t="s">
        <v>41</v>
      </c>
      <c r="WGX1" s="404"/>
      <c r="WGY1" s="404"/>
      <c r="WGZ1" s="404"/>
      <c r="WHA1" s="404"/>
      <c r="WHB1" s="404"/>
      <c r="WHC1" s="404"/>
      <c r="WHD1" s="405"/>
      <c r="WHE1" s="432" t="s">
        <v>41</v>
      </c>
      <c r="WHF1" s="404"/>
      <c r="WHG1" s="404"/>
      <c r="WHH1" s="404"/>
      <c r="WHI1" s="404"/>
      <c r="WHJ1" s="404"/>
      <c r="WHK1" s="404"/>
      <c r="WHL1" s="405"/>
      <c r="WHM1" s="432" t="s">
        <v>41</v>
      </c>
      <c r="WHN1" s="404"/>
      <c r="WHO1" s="404"/>
      <c r="WHP1" s="404"/>
      <c r="WHQ1" s="404"/>
      <c r="WHR1" s="404"/>
      <c r="WHS1" s="404"/>
      <c r="WHT1" s="405"/>
      <c r="WHU1" s="432" t="s">
        <v>41</v>
      </c>
      <c r="WHV1" s="404"/>
      <c r="WHW1" s="404"/>
      <c r="WHX1" s="404"/>
      <c r="WHY1" s="404"/>
      <c r="WHZ1" s="404"/>
      <c r="WIA1" s="404"/>
      <c r="WIB1" s="405"/>
      <c r="WIC1" s="432" t="s">
        <v>41</v>
      </c>
      <c r="WID1" s="404"/>
      <c r="WIE1" s="404"/>
      <c r="WIF1" s="404"/>
      <c r="WIG1" s="404"/>
      <c r="WIH1" s="404"/>
      <c r="WII1" s="404"/>
      <c r="WIJ1" s="405"/>
      <c r="WIK1" s="432" t="s">
        <v>41</v>
      </c>
      <c r="WIL1" s="404"/>
      <c r="WIM1" s="404"/>
      <c r="WIN1" s="404"/>
      <c r="WIO1" s="404"/>
      <c r="WIP1" s="404"/>
      <c r="WIQ1" s="404"/>
      <c r="WIR1" s="405"/>
      <c r="WIS1" s="432" t="s">
        <v>41</v>
      </c>
      <c r="WIT1" s="404"/>
      <c r="WIU1" s="404"/>
      <c r="WIV1" s="404"/>
      <c r="WIW1" s="404"/>
      <c r="WIX1" s="404"/>
      <c r="WIY1" s="404"/>
      <c r="WIZ1" s="405"/>
      <c r="WJA1" s="432" t="s">
        <v>41</v>
      </c>
      <c r="WJB1" s="404"/>
      <c r="WJC1" s="404"/>
      <c r="WJD1" s="404"/>
      <c r="WJE1" s="404"/>
      <c r="WJF1" s="404"/>
      <c r="WJG1" s="404"/>
      <c r="WJH1" s="405"/>
      <c r="WJI1" s="432" t="s">
        <v>41</v>
      </c>
      <c r="WJJ1" s="404"/>
      <c r="WJK1" s="404"/>
      <c r="WJL1" s="404"/>
      <c r="WJM1" s="404"/>
      <c r="WJN1" s="404"/>
      <c r="WJO1" s="404"/>
      <c r="WJP1" s="405"/>
      <c r="WJQ1" s="432" t="s">
        <v>41</v>
      </c>
      <c r="WJR1" s="404"/>
      <c r="WJS1" s="404"/>
      <c r="WJT1" s="404"/>
      <c r="WJU1" s="404"/>
      <c r="WJV1" s="404"/>
      <c r="WJW1" s="404"/>
      <c r="WJX1" s="405"/>
      <c r="WJY1" s="432" t="s">
        <v>41</v>
      </c>
      <c r="WJZ1" s="404"/>
      <c r="WKA1" s="404"/>
      <c r="WKB1" s="404"/>
      <c r="WKC1" s="404"/>
      <c r="WKD1" s="404"/>
      <c r="WKE1" s="404"/>
      <c r="WKF1" s="405"/>
      <c r="WKG1" s="432" t="s">
        <v>41</v>
      </c>
      <c r="WKH1" s="404"/>
      <c r="WKI1" s="404"/>
      <c r="WKJ1" s="404"/>
      <c r="WKK1" s="404"/>
      <c r="WKL1" s="404"/>
      <c r="WKM1" s="404"/>
      <c r="WKN1" s="405"/>
      <c r="WKO1" s="432" t="s">
        <v>41</v>
      </c>
      <c r="WKP1" s="404"/>
      <c r="WKQ1" s="404"/>
      <c r="WKR1" s="404"/>
      <c r="WKS1" s="404"/>
      <c r="WKT1" s="404"/>
      <c r="WKU1" s="404"/>
      <c r="WKV1" s="405"/>
      <c r="WKW1" s="432" t="s">
        <v>41</v>
      </c>
      <c r="WKX1" s="404"/>
      <c r="WKY1" s="404"/>
      <c r="WKZ1" s="404"/>
      <c r="WLA1" s="404"/>
      <c r="WLB1" s="404"/>
      <c r="WLC1" s="404"/>
      <c r="WLD1" s="405"/>
      <c r="WLE1" s="432" t="s">
        <v>41</v>
      </c>
      <c r="WLF1" s="404"/>
      <c r="WLG1" s="404"/>
      <c r="WLH1" s="404"/>
      <c r="WLI1" s="404"/>
      <c r="WLJ1" s="404"/>
      <c r="WLK1" s="404"/>
      <c r="WLL1" s="405"/>
      <c r="WLM1" s="432" t="s">
        <v>41</v>
      </c>
      <c r="WLN1" s="404"/>
      <c r="WLO1" s="404"/>
      <c r="WLP1" s="404"/>
      <c r="WLQ1" s="404"/>
      <c r="WLR1" s="404"/>
      <c r="WLS1" s="404"/>
      <c r="WLT1" s="405"/>
      <c r="WLU1" s="432" t="s">
        <v>41</v>
      </c>
      <c r="WLV1" s="404"/>
      <c r="WLW1" s="404"/>
      <c r="WLX1" s="404"/>
      <c r="WLY1" s="404"/>
      <c r="WLZ1" s="404"/>
      <c r="WMA1" s="404"/>
      <c r="WMB1" s="405"/>
      <c r="WMC1" s="432" t="s">
        <v>41</v>
      </c>
      <c r="WMD1" s="404"/>
      <c r="WME1" s="404"/>
      <c r="WMF1" s="404"/>
      <c r="WMG1" s="404"/>
      <c r="WMH1" s="404"/>
      <c r="WMI1" s="404"/>
      <c r="WMJ1" s="405"/>
      <c r="WMK1" s="432" t="s">
        <v>41</v>
      </c>
      <c r="WML1" s="404"/>
      <c r="WMM1" s="404"/>
      <c r="WMN1" s="404"/>
      <c r="WMO1" s="404"/>
      <c r="WMP1" s="404"/>
      <c r="WMQ1" s="404"/>
      <c r="WMR1" s="405"/>
      <c r="WMS1" s="432" t="s">
        <v>41</v>
      </c>
      <c r="WMT1" s="404"/>
      <c r="WMU1" s="404"/>
      <c r="WMV1" s="404"/>
      <c r="WMW1" s="404"/>
      <c r="WMX1" s="404"/>
      <c r="WMY1" s="404"/>
      <c r="WMZ1" s="405"/>
      <c r="WNA1" s="432" t="s">
        <v>41</v>
      </c>
      <c r="WNB1" s="404"/>
      <c r="WNC1" s="404"/>
      <c r="WND1" s="404"/>
      <c r="WNE1" s="404"/>
      <c r="WNF1" s="404"/>
      <c r="WNG1" s="404"/>
      <c r="WNH1" s="405"/>
      <c r="WNI1" s="432" t="s">
        <v>41</v>
      </c>
      <c r="WNJ1" s="404"/>
      <c r="WNK1" s="404"/>
      <c r="WNL1" s="404"/>
      <c r="WNM1" s="404"/>
      <c r="WNN1" s="404"/>
      <c r="WNO1" s="404"/>
      <c r="WNP1" s="405"/>
      <c r="WNQ1" s="432" t="s">
        <v>41</v>
      </c>
      <c r="WNR1" s="404"/>
      <c r="WNS1" s="404"/>
      <c r="WNT1" s="404"/>
      <c r="WNU1" s="404"/>
      <c r="WNV1" s="404"/>
      <c r="WNW1" s="404"/>
      <c r="WNX1" s="405"/>
      <c r="WNY1" s="432" t="s">
        <v>41</v>
      </c>
      <c r="WNZ1" s="404"/>
      <c r="WOA1" s="404"/>
      <c r="WOB1" s="404"/>
      <c r="WOC1" s="404"/>
      <c r="WOD1" s="404"/>
      <c r="WOE1" s="404"/>
      <c r="WOF1" s="405"/>
      <c r="WOG1" s="432" t="s">
        <v>41</v>
      </c>
      <c r="WOH1" s="404"/>
      <c r="WOI1" s="404"/>
      <c r="WOJ1" s="404"/>
      <c r="WOK1" s="404"/>
      <c r="WOL1" s="404"/>
      <c r="WOM1" s="404"/>
      <c r="WON1" s="405"/>
      <c r="WOO1" s="432" t="s">
        <v>41</v>
      </c>
      <c r="WOP1" s="404"/>
      <c r="WOQ1" s="404"/>
      <c r="WOR1" s="404"/>
      <c r="WOS1" s="404"/>
      <c r="WOT1" s="404"/>
      <c r="WOU1" s="404"/>
      <c r="WOV1" s="405"/>
      <c r="WOW1" s="432" t="s">
        <v>41</v>
      </c>
      <c r="WOX1" s="404"/>
      <c r="WOY1" s="404"/>
      <c r="WOZ1" s="404"/>
      <c r="WPA1" s="404"/>
      <c r="WPB1" s="404"/>
      <c r="WPC1" s="404"/>
      <c r="WPD1" s="405"/>
      <c r="WPE1" s="432" t="s">
        <v>41</v>
      </c>
      <c r="WPF1" s="404"/>
      <c r="WPG1" s="404"/>
      <c r="WPH1" s="404"/>
      <c r="WPI1" s="404"/>
      <c r="WPJ1" s="404"/>
      <c r="WPK1" s="404"/>
      <c r="WPL1" s="405"/>
      <c r="WPM1" s="432" t="s">
        <v>41</v>
      </c>
      <c r="WPN1" s="404"/>
      <c r="WPO1" s="404"/>
      <c r="WPP1" s="404"/>
      <c r="WPQ1" s="404"/>
      <c r="WPR1" s="404"/>
      <c r="WPS1" s="404"/>
      <c r="WPT1" s="405"/>
      <c r="WPU1" s="432" t="s">
        <v>41</v>
      </c>
      <c r="WPV1" s="404"/>
      <c r="WPW1" s="404"/>
      <c r="WPX1" s="404"/>
      <c r="WPY1" s="404"/>
      <c r="WPZ1" s="404"/>
      <c r="WQA1" s="404"/>
      <c r="WQB1" s="405"/>
      <c r="WQC1" s="432" t="s">
        <v>41</v>
      </c>
      <c r="WQD1" s="404"/>
      <c r="WQE1" s="404"/>
      <c r="WQF1" s="404"/>
      <c r="WQG1" s="404"/>
      <c r="WQH1" s="404"/>
      <c r="WQI1" s="404"/>
      <c r="WQJ1" s="405"/>
      <c r="WQK1" s="432" t="s">
        <v>41</v>
      </c>
      <c r="WQL1" s="404"/>
      <c r="WQM1" s="404"/>
      <c r="WQN1" s="404"/>
      <c r="WQO1" s="404"/>
      <c r="WQP1" s="404"/>
      <c r="WQQ1" s="404"/>
      <c r="WQR1" s="405"/>
      <c r="WQS1" s="432" t="s">
        <v>41</v>
      </c>
      <c r="WQT1" s="404"/>
      <c r="WQU1" s="404"/>
      <c r="WQV1" s="404"/>
      <c r="WQW1" s="404"/>
      <c r="WQX1" s="404"/>
      <c r="WQY1" s="404"/>
      <c r="WQZ1" s="405"/>
      <c r="WRA1" s="432" t="s">
        <v>41</v>
      </c>
      <c r="WRB1" s="404"/>
      <c r="WRC1" s="404"/>
      <c r="WRD1" s="404"/>
      <c r="WRE1" s="404"/>
      <c r="WRF1" s="404"/>
      <c r="WRG1" s="404"/>
      <c r="WRH1" s="405"/>
      <c r="WRI1" s="432" t="s">
        <v>41</v>
      </c>
      <c r="WRJ1" s="404"/>
      <c r="WRK1" s="404"/>
      <c r="WRL1" s="404"/>
      <c r="WRM1" s="404"/>
      <c r="WRN1" s="404"/>
      <c r="WRO1" s="404"/>
      <c r="WRP1" s="405"/>
      <c r="WRQ1" s="432" t="s">
        <v>41</v>
      </c>
      <c r="WRR1" s="404"/>
      <c r="WRS1" s="404"/>
      <c r="WRT1" s="404"/>
      <c r="WRU1" s="404"/>
      <c r="WRV1" s="404"/>
      <c r="WRW1" s="404"/>
      <c r="WRX1" s="405"/>
      <c r="WRY1" s="432" t="s">
        <v>41</v>
      </c>
      <c r="WRZ1" s="404"/>
      <c r="WSA1" s="404"/>
      <c r="WSB1" s="404"/>
      <c r="WSC1" s="404"/>
      <c r="WSD1" s="404"/>
      <c r="WSE1" s="404"/>
      <c r="WSF1" s="405"/>
      <c r="WSG1" s="432" t="s">
        <v>41</v>
      </c>
      <c r="WSH1" s="404"/>
      <c r="WSI1" s="404"/>
      <c r="WSJ1" s="404"/>
      <c r="WSK1" s="404"/>
      <c r="WSL1" s="404"/>
      <c r="WSM1" s="404"/>
      <c r="WSN1" s="405"/>
      <c r="WSO1" s="432" t="s">
        <v>41</v>
      </c>
      <c r="WSP1" s="404"/>
      <c r="WSQ1" s="404"/>
      <c r="WSR1" s="404"/>
      <c r="WSS1" s="404"/>
      <c r="WST1" s="404"/>
      <c r="WSU1" s="404"/>
      <c r="WSV1" s="405"/>
      <c r="WSW1" s="432" t="s">
        <v>41</v>
      </c>
      <c r="WSX1" s="404"/>
      <c r="WSY1" s="404"/>
      <c r="WSZ1" s="404"/>
      <c r="WTA1" s="404"/>
      <c r="WTB1" s="404"/>
      <c r="WTC1" s="404"/>
      <c r="WTD1" s="405"/>
      <c r="WTE1" s="432" t="s">
        <v>41</v>
      </c>
      <c r="WTF1" s="404"/>
      <c r="WTG1" s="404"/>
      <c r="WTH1" s="404"/>
      <c r="WTI1" s="404"/>
      <c r="WTJ1" s="404"/>
      <c r="WTK1" s="404"/>
      <c r="WTL1" s="405"/>
      <c r="WTM1" s="432" t="s">
        <v>41</v>
      </c>
      <c r="WTN1" s="404"/>
      <c r="WTO1" s="404"/>
      <c r="WTP1" s="404"/>
      <c r="WTQ1" s="404"/>
      <c r="WTR1" s="404"/>
      <c r="WTS1" s="404"/>
      <c r="WTT1" s="405"/>
      <c r="WTU1" s="432" t="s">
        <v>41</v>
      </c>
      <c r="WTV1" s="404"/>
      <c r="WTW1" s="404"/>
      <c r="WTX1" s="404"/>
      <c r="WTY1" s="404"/>
      <c r="WTZ1" s="404"/>
      <c r="WUA1" s="404"/>
      <c r="WUB1" s="405"/>
      <c r="WUC1" s="432" t="s">
        <v>41</v>
      </c>
      <c r="WUD1" s="404"/>
      <c r="WUE1" s="404"/>
      <c r="WUF1" s="404"/>
      <c r="WUG1" s="404"/>
      <c r="WUH1" s="404"/>
      <c r="WUI1" s="404"/>
      <c r="WUJ1" s="405"/>
      <c r="WUK1" s="432" t="s">
        <v>41</v>
      </c>
      <c r="WUL1" s="404"/>
      <c r="WUM1" s="404"/>
      <c r="WUN1" s="404"/>
      <c r="WUO1" s="404"/>
      <c r="WUP1" s="404"/>
      <c r="WUQ1" s="404"/>
      <c r="WUR1" s="405"/>
      <c r="WUS1" s="432" t="s">
        <v>41</v>
      </c>
      <c r="WUT1" s="404"/>
      <c r="WUU1" s="404"/>
      <c r="WUV1" s="404"/>
      <c r="WUW1" s="404"/>
      <c r="WUX1" s="404"/>
      <c r="WUY1" s="404"/>
      <c r="WUZ1" s="405"/>
      <c r="WVA1" s="432" t="s">
        <v>41</v>
      </c>
      <c r="WVB1" s="404"/>
      <c r="WVC1" s="404"/>
      <c r="WVD1" s="404"/>
      <c r="WVE1" s="404"/>
      <c r="WVF1" s="404"/>
      <c r="WVG1" s="404"/>
      <c r="WVH1" s="405"/>
      <c r="WVI1" s="432" t="s">
        <v>41</v>
      </c>
      <c r="WVJ1" s="404"/>
      <c r="WVK1" s="404"/>
      <c r="WVL1" s="404"/>
      <c r="WVM1" s="404"/>
      <c r="WVN1" s="404"/>
      <c r="WVO1" s="404"/>
      <c r="WVP1" s="405"/>
      <c r="WVQ1" s="432" t="s">
        <v>41</v>
      </c>
      <c r="WVR1" s="404"/>
      <c r="WVS1" s="404"/>
      <c r="WVT1" s="404"/>
      <c r="WVU1" s="404"/>
      <c r="WVV1" s="404"/>
      <c r="WVW1" s="404"/>
      <c r="WVX1" s="405"/>
      <c r="WVY1" s="432" t="s">
        <v>41</v>
      </c>
      <c r="WVZ1" s="404"/>
      <c r="WWA1" s="404"/>
      <c r="WWB1" s="404"/>
      <c r="WWC1" s="404"/>
      <c r="WWD1" s="404"/>
      <c r="WWE1" s="404"/>
      <c r="WWF1" s="405"/>
      <c r="WWG1" s="432" t="s">
        <v>41</v>
      </c>
      <c r="WWH1" s="404"/>
      <c r="WWI1" s="404"/>
      <c r="WWJ1" s="404"/>
      <c r="WWK1" s="404"/>
      <c r="WWL1" s="404"/>
      <c r="WWM1" s="404"/>
      <c r="WWN1" s="405"/>
      <c r="WWO1" s="432" t="s">
        <v>41</v>
      </c>
      <c r="WWP1" s="404"/>
      <c r="WWQ1" s="404"/>
      <c r="WWR1" s="404"/>
      <c r="WWS1" s="404"/>
      <c r="WWT1" s="404"/>
      <c r="WWU1" s="404"/>
      <c r="WWV1" s="405"/>
      <c r="WWW1" s="432" t="s">
        <v>41</v>
      </c>
      <c r="WWX1" s="404"/>
      <c r="WWY1" s="404"/>
      <c r="WWZ1" s="404"/>
      <c r="WXA1" s="404"/>
      <c r="WXB1" s="404"/>
      <c r="WXC1" s="404"/>
      <c r="WXD1" s="405"/>
      <c r="WXE1" s="432" t="s">
        <v>41</v>
      </c>
      <c r="WXF1" s="404"/>
      <c r="WXG1" s="404"/>
      <c r="WXH1" s="404"/>
      <c r="WXI1" s="404"/>
      <c r="WXJ1" s="404"/>
      <c r="WXK1" s="404"/>
      <c r="WXL1" s="405"/>
      <c r="WXM1" s="432" t="s">
        <v>41</v>
      </c>
      <c r="WXN1" s="404"/>
      <c r="WXO1" s="404"/>
      <c r="WXP1" s="404"/>
      <c r="WXQ1" s="404"/>
      <c r="WXR1" s="404"/>
      <c r="WXS1" s="404"/>
      <c r="WXT1" s="405"/>
      <c r="WXU1" s="432" t="s">
        <v>41</v>
      </c>
      <c r="WXV1" s="404"/>
      <c r="WXW1" s="404"/>
      <c r="WXX1" s="404"/>
      <c r="WXY1" s="404"/>
      <c r="WXZ1" s="404"/>
      <c r="WYA1" s="404"/>
      <c r="WYB1" s="405"/>
      <c r="WYC1" s="432" t="s">
        <v>41</v>
      </c>
      <c r="WYD1" s="404"/>
      <c r="WYE1" s="404"/>
      <c r="WYF1" s="404"/>
      <c r="WYG1" s="404"/>
      <c r="WYH1" s="404"/>
      <c r="WYI1" s="404"/>
      <c r="WYJ1" s="405"/>
      <c r="WYK1" s="432" t="s">
        <v>41</v>
      </c>
      <c r="WYL1" s="404"/>
      <c r="WYM1" s="404"/>
      <c r="WYN1" s="404"/>
      <c r="WYO1" s="404"/>
      <c r="WYP1" s="404"/>
      <c r="WYQ1" s="404"/>
      <c r="WYR1" s="405"/>
      <c r="WYS1" s="432" t="s">
        <v>41</v>
      </c>
      <c r="WYT1" s="404"/>
      <c r="WYU1" s="404"/>
      <c r="WYV1" s="404"/>
      <c r="WYW1" s="404"/>
      <c r="WYX1" s="404"/>
      <c r="WYY1" s="404"/>
      <c r="WYZ1" s="405"/>
      <c r="WZA1" s="432" t="s">
        <v>41</v>
      </c>
      <c r="WZB1" s="404"/>
      <c r="WZC1" s="404"/>
      <c r="WZD1" s="404"/>
      <c r="WZE1" s="404"/>
      <c r="WZF1" s="404"/>
      <c r="WZG1" s="404"/>
      <c r="WZH1" s="405"/>
      <c r="WZI1" s="432" t="s">
        <v>41</v>
      </c>
      <c r="WZJ1" s="404"/>
      <c r="WZK1" s="404"/>
      <c r="WZL1" s="404"/>
      <c r="WZM1" s="404"/>
      <c r="WZN1" s="404"/>
      <c r="WZO1" s="404"/>
      <c r="WZP1" s="405"/>
      <c r="WZQ1" s="432" t="s">
        <v>41</v>
      </c>
      <c r="WZR1" s="404"/>
      <c r="WZS1" s="404"/>
      <c r="WZT1" s="404"/>
      <c r="WZU1" s="404"/>
      <c r="WZV1" s="404"/>
      <c r="WZW1" s="404"/>
      <c r="WZX1" s="405"/>
      <c r="WZY1" s="432" t="s">
        <v>41</v>
      </c>
      <c r="WZZ1" s="404"/>
      <c r="XAA1" s="404"/>
      <c r="XAB1" s="404"/>
      <c r="XAC1" s="404"/>
      <c r="XAD1" s="404"/>
      <c r="XAE1" s="404"/>
      <c r="XAF1" s="405"/>
      <c r="XAG1" s="432" t="s">
        <v>41</v>
      </c>
      <c r="XAH1" s="404"/>
      <c r="XAI1" s="404"/>
      <c r="XAJ1" s="404"/>
      <c r="XAK1" s="404"/>
      <c r="XAL1" s="404"/>
      <c r="XAM1" s="404"/>
      <c r="XAN1" s="405"/>
      <c r="XAO1" s="432" t="s">
        <v>41</v>
      </c>
      <c r="XAP1" s="404"/>
      <c r="XAQ1" s="404"/>
      <c r="XAR1" s="404"/>
      <c r="XAS1" s="404"/>
      <c r="XAT1" s="404"/>
      <c r="XAU1" s="404"/>
      <c r="XAV1" s="405"/>
      <c r="XAW1" s="432" t="s">
        <v>41</v>
      </c>
      <c r="XAX1" s="404"/>
      <c r="XAY1" s="404"/>
      <c r="XAZ1" s="404"/>
      <c r="XBA1" s="404"/>
      <c r="XBB1" s="404"/>
      <c r="XBC1" s="404"/>
      <c r="XBD1" s="405"/>
      <c r="XBE1" s="432" t="s">
        <v>41</v>
      </c>
      <c r="XBF1" s="404"/>
      <c r="XBG1" s="404"/>
      <c r="XBH1" s="404"/>
      <c r="XBI1" s="404"/>
      <c r="XBJ1" s="404"/>
      <c r="XBK1" s="404"/>
      <c r="XBL1" s="405"/>
      <c r="XBM1" s="432" t="s">
        <v>41</v>
      </c>
      <c r="XBN1" s="404"/>
      <c r="XBO1" s="404"/>
      <c r="XBP1" s="404"/>
      <c r="XBQ1" s="404"/>
      <c r="XBR1" s="404"/>
      <c r="XBS1" s="404"/>
      <c r="XBT1" s="405"/>
      <c r="XBU1" s="432" t="s">
        <v>41</v>
      </c>
      <c r="XBV1" s="404"/>
      <c r="XBW1" s="404"/>
      <c r="XBX1" s="404"/>
      <c r="XBY1" s="404"/>
      <c r="XBZ1" s="404"/>
      <c r="XCA1" s="404"/>
      <c r="XCB1" s="405"/>
      <c r="XCC1" s="432" t="s">
        <v>41</v>
      </c>
      <c r="XCD1" s="404"/>
      <c r="XCE1" s="404"/>
      <c r="XCF1" s="404"/>
      <c r="XCG1" s="404"/>
      <c r="XCH1" s="404"/>
      <c r="XCI1" s="404"/>
      <c r="XCJ1" s="405"/>
      <c r="XCK1" s="432" t="s">
        <v>41</v>
      </c>
      <c r="XCL1" s="404"/>
      <c r="XCM1" s="404"/>
      <c r="XCN1" s="404"/>
      <c r="XCO1" s="404"/>
      <c r="XCP1" s="404"/>
      <c r="XCQ1" s="404"/>
      <c r="XCR1" s="405"/>
      <c r="XCS1" s="432" t="s">
        <v>41</v>
      </c>
      <c r="XCT1" s="404"/>
      <c r="XCU1" s="404"/>
      <c r="XCV1" s="404"/>
      <c r="XCW1" s="404"/>
      <c r="XCX1" s="404"/>
      <c r="XCY1" s="404"/>
      <c r="XCZ1" s="405"/>
      <c r="XDA1" s="432" t="s">
        <v>41</v>
      </c>
      <c r="XDB1" s="404"/>
      <c r="XDC1" s="404"/>
      <c r="XDD1" s="404"/>
      <c r="XDE1" s="404"/>
      <c r="XDF1" s="404"/>
      <c r="XDG1" s="404"/>
      <c r="XDH1" s="405"/>
      <c r="XDI1" s="432" t="s">
        <v>41</v>
      </c>
      <c r="XDJ1" s="404"/>
      <c r="XDK1" s="404"/>
      <c r="XDL1" s="404"/>
      <c r="XDM1" s="404"/>
      <c r="XDN1" s="404"/>
      <c r="XDO1" s="404"/>
      <c r="XDP1" s="405"/>
      <c r="XDQ1" s="432" t="s">
        <v>41</v>
      </c>
      <c r="XDR1" s="404"/>
      <c r="XDS1" s="404"/>
      <c r="XDT1" s="404"/>
      <c r="XDU1" s="404"/>
      <c r="XDV1" s="404"/>
      <c r="XDW1" s="404"/>
      <c r="XDX1" s="405"/>
      <c r="XDY1" s="432" t="s">
        <v>41</v>
      </c>
      <c r="XDZ1" s="404"/>
      <c r="XEA1" s="404"/>
      <c r="XEB1" s="404"/>
      <c r="XEC1" s="404"/>
      <c r="XED1" s="404"/>
      <c r="XEE1" s="404"/>
      <c r="XEF1" s="405"/>
      <c r="XEG1" s="432" t="s">
        <v>41</v>
      </c>
      <c r="XEH1" s="404"/>
      <c r="XEI1" s="404"/>
      <c r="XEJ1" s="404"/>
      <c r="XEK1" s="404"/>
      <c r="XEL1" s="404"/>
      <c r="XEM1" s="404"/>
      <c r="XEN1" s="405"/>
      <c r="XEO1" s="432" t="s">
        <v>41</v>
      </c>
      <c r="XEP1" s="404"/>
      <c r="XEQ1" s="404"/>
      <c r="XER1" s="404"/>
      <c r="XES1" s="404"/>
      <c r="XET1" s="404"/>
      <c r="XEU1" s="404"/>
      <c r="XEV1" s="405"/>
      <c r="XEW1" s="432" t="s">
        <v>41</v>
      </c>
      <c r="XEX1" s="404"/>
      <c r="XEY1" s="404"/>
      <c r="XEZ1" s="404"/>
      <c r="XFA1" s="404"/>
      <c r="XFB1" s="404"/>
      <c r="XFC1" s="404"/>
      <c r="XFD1" s="405"/>
    </row>
    <row r="2" spans="1:16384" s="15" customFormat="1" ht="14.25" customHeight="1">
      <c r="A2" s="365" t="s">
        <v>167</v>
      </c>
      <c r="B2" s="366">
        <v>2020</v>
      </c>
      <c r="C2" s="367">
        <f t="shared" ref="C2:G2" si="0">B2+1</f>
        <v>2021</v>
      </c>
      <c r="D2" s="367">
        <f t="shared" si="0"/>
        <v>2022</v>
      </c>
      <c r="E2" s="367">
        <f t="shared" si="0"/>
        <v>2023</v>
      </c>
      <c r="F2" s="367">
        <f t="shared" si="0"/>
        <v>2024</v>
      </c>
      <c r="G2" s="367">
        <f t="shared" si="0"/>
        <v>2025</v>
      </c>
      <c r="H2" s="366">
        <v>2026</v>
      </c>
      <c r="I2" s="367">
        <v>2027</v>
      </c>
      <c r="J2" s="367">
        <v>2028</v>
      </c>
      <c r="K2" s="367">
        <v>2029</v>
      </c>
      <c r="L2" s="368">
        <v>2030</v>
      </c>
    </row>
    <row r="3" spans="1:16384" s="162" customFormat="1" ht="14.25" customHeight="1">
      <c r="A3" s="369" t="s">
        <v>264</v>
      </c>
      <c r="B3" s="364">
        <f>IS!C5/IS!C3</f>
        <v>0.2237591836418715</v>
      </c>
      <c r="C3" s="162">
        <f>IS!C5/IS!C3</f>
        <v>0.2237591836418715</v>
      </c>
      <c r="D3" s="162">
        <f>IS!D5/IS!D3</f>
        <v>0.20531498439561485</v>
      </c>
      <c r="E3" s="162">
        <f>IS!E5/IS!E3</f>
        <v>0.20557269890894089</v>
      </c>
      <c r="F3" s="162">
        <f>IS!F5/IS!F3</f>
        <v>0.23915003573089344</v>
      </c>
      <c r="G3" s="162">
        <f>IS!G5/IS!G3</f>
        <v>0.2418185357723161</v>
      </c>
      <c r="H3" s="364">
        <f>IS!H5/IS!H3</f>
        <v>0.23628465196473827</v>
      </c>
      <c r="I3" s="162">
        <f>IS!I5/IS!I3</f>
        <v>0.2390844078226492</v>
      </c>
      <c r="J3" s="162">
        <f>IS!J5/IS!J3</f>
        <v>0.23908440782264911</v>
      </c>
      <c r="K3" s="162">
        <f>IS!K5/IS!K3</f>
        <v>0.23908440782264923</v>
      </c>
      <c r="L3" s="162">
        <f>IS!L5/IS!L3</f>
        <v>0.23908440782264925</v>
      </c>
      <c r="M3" s="364"/>
    </row>
    <row r="4" spans="1:16384" s="162" customFormat="1" ht="14.25" customHeight="1">
      <c r="A4" s="369" t="s">
        <v>265</v>
      </c>
      <c r="B4" s="364">
        <f>IS!C15/IS!C3</f>
        <v>0.10633875061893786</v>
      </c>
      <c r="C4" s="162">
        <f>IS!D15/IS!D3</f>
        <v>0.10399800641575495</v>
      </c>
      <c r="D4" s="162">
        <f>IS!E15/IS!E3</f>
        <v>9.4871022377556874E-2</v>
      </c>
      <c r="E4" s="162">
        <f>IS!F15/IS!F3</f>
        <v>0.13890064261553317</v>
      </c>
      <c r="F4" s="162">
        <f>IS!G15/IS!G3</f>
        <v>0.13988433155749558</v>
      </c>
      <c r="G4" s="162">
        <f>IS!H15/IS!H3</f>
        <v>0.13260834700152427</v>
      </c>
      <c r="H4" s="364">
        <f>IS!I15/IS!I3</f>
        <v>0.13765273701528977</v>
      </c>
      <c r="I4" s="162">
        <f>IS!J15/IS!J3</f>
        <v>0.13842957983482349</v>
      </c>
      <c r="J4" s="162">
        <f>IS!K15/IS!K3</f>
        <v>0.13831145100698883</v>
      </c>
      <c r="K4" s="162">
        <f>IS!L15/IS!L3</f>
        <v>0.13753518350606375</v>
      </c>
      <c r="L4" s="162">
        <f>IS!M15/IS!M3</f>
        <v>0.13687841277136617</v>
      </c>
      <c r="M4" s="364"/>
    </row>
    <row r="5" spans="1:16384" s="162" customFormat="1" ht="14.25" customHeight="1">
      <c r="A5" s="369" t="s">
        <v>266</v>
      </c>
      <c r="B5" s="364">
        <f>IS!C21/IS!C3</f>
        <v>5.7223251902998332E-2</v>
      </c>
      <c r="C5" s="162">
        <f>IS!D21/IS!D3</f>
        <v>4.757464381898014E-2</v>
      </c>
      <c r="D5" s="162">
        <f>IS!E21/IS!E3</f>
        <v>6.3473186558917094E-2</v>
      </c>
      <c r="E5" s="162">
        <f>IS!F21/IS!F3</f>
        <v>6.9591570624524271E-2</v>
      </c>
      <c r="F5" s="162">
        <f>IS!G21/IS!G3</f>
        <v>7.1255157340369149E-2</v>
      </c>
      <c r="G5" s="162">
        <f>IS!H21/IS!H3</f>
        <v>7.7155121294484236E-2</v>
      </c>
      <c r="H5" s="364">
        <f>IS!I21/IS!I3</f>
        <v>8.1415464238415045E-2</v>
      </c>
      <c r="I5" s="162">
        <f>IS!J21/IS!J3</f>
        <v>8.2664309685363035E-2</v>
      </c>
      <c r="J5" s="162">
        <f>IS!K21/IS!K3</f>
        <v>8.4605985396052297E-2</v>
      </c>
      <c r="K5" s="162">
        <f>IS!L21/IS!L3</f>
        <v>8.4807293977965229E-2</v>
      </c>
      <c r="L5" s="162">
        <f>IS!M21/IS!M3</f>
        <v>8.547319557086959E-2</v>
      </c>
      <c r="M5" s="364"/>
    </row>
    <row r="6" spans="1:16384" s="162" customFormat="1" ht="14.25" customHeight="1">
      <c r="A6" s="369" t="s">
        <v>267</v>
      </c>
      <c r="B6" s="364">
        <f>-IS!C20/IS!C19</f>
        <v>0.37336168072911102</v>
      </c>
      <c r="C6" s="162">
        <f>-IS!D20/IS!D19</f>
        <v>0.43179063542199836</v>
      </c>
      <c r="D6" s="162">
        <f>-IS!E20/IS!E19</f>
        <v>0.35060599716983826</v>
      </c>
      <c r="E6" s="162">
        <f>-IS!F20/IS!F19</f>
        <v>0.40092690612822079</v>
      </c>
      <c r="F6" s="162">
        <f>-IS!G20/IS!G19</f>
        <v>0.43125990450317198</v>
      </c>
      <c r="G6" s="162">
        <f>-IS!H20/IS!H19</f>
        <v>0.39775959727177668</v>
      </c>
      <c r="H6" s="364">
        <f>-IS!I20/IS!I19</f>
        <v>0.40998213596772315</v>
      </c>
      <c r="I6" s="162">
        <f>-IS!J20/IS!J19</f>
        <v>0.41300054591422397</v>
      </c>
      <c r="J6" s="162">
        <f>-IS!K20/IS!K19</f>
        <v>0.40691409305124121</v>
      </c>
      <c r="K6" s="162">
        <f>-IS!L20/IS!L19</f>
        <v>0.40996559164439605</v>
      </c>
      <c r="L6" s="162">
        <f>-IS!M20/IS!M19</f>
        <v>0.40996007686995373</v>
      </c>
      <c r="M6" s="364"/>
    </row>
    <row r="7" spans="1:16384" s="162" customFormat="1" ht="14.25" customHeight="1">
      <c r="A7" s="369"/>
      <c r="B7" s="364"/>
      <c r="H7" s="364"/>
      <c r="M7" s="364"/>
    </row>
    <row r="8" spans="1:16384" s="162" customFormat="1" ht="14.25" customHeight="1">
      <c r="A8" s="369" t="s">
        <v>268</v>
      </c>
      <c r="B8" s="364">
        <f>IS!C21/SOFP!C32</f>
        <v>0.19001571464032191</v>
      </c>
      <c r="C8" s="162">
        <f>IS!D21/SOFP!D32</f>
        <v>0.14609117853030112</v>
      </c>
      <c r="D8" s="162">
        <f>IS!E21/SOFP!E32</f>
        <v>0.19231474298231724</v>
      </c>
      <c r="E8" s="162">
        <f>IS!F21/SOFP!F32</f>
        <v>0.29239029367608033</v>
      </c>
      <c r="F8" s="162">
        <f>IS!G21/SOFP!G32</f>
        <v>0.28697899927503306</v>
      </c>
      <c r="G8" s="162">
        <f>IS!H21/SOFP!H32</f>
        <v>0.27632412758575819</v>
      </c>
      <c r="H8" s="364">
        <f>IS!I21/SOFP!I32</f>
        <v>0.25963249921656617</v>
      </c>
      <c r="I8" s="162">
        <f>IS!J21/SOFP!J32</f>
        <v>0.12710337198743185</v>
      </c>
      <c r="J8" s="162">
        <f>IS!K21/SOFP!K32</f>
        <v>0.10901608577425735</v>
      </c>
      <c r="K8" s="162">
        <f>IS!L21/SOFP!L32</f>
        <v>9.5756139719979261E-2</v>
      </c>
      <c r="L8" s="162">
        <f>IS!M21/SOFP!M32</f>
        <v>8.7033574457062543E-2</v>
      </c>
      <c r="M8" s="364"/>
    </row>
    <row r="9" spans="1:16384" s="162" customFormat="1" ht="14.25" customHeight="1">
      <c r="A9" s="369" t="s">
        <v>269</v>
      </c>
      <c r="B9" s="364">
        <f>IS!C21/SOFP!C22</f>
        <v>7.0355971467521983E-2</v>
      </c>
      <c r="C9" s="162">
        <f>IS!D21/SOFP!D22</f>
        <v>6.7380189945114063E-2</v>
      </c>
      <c r="D9" s="162">
        <f>IS!E21/SOFP!E22</f>
        <v>9.0333845638243648E-2</v>
      </c>
      <c r="E9" s="162">
        <f>IS!F21/SOFP!F22</f>
        <v>0.13814712179537048</v>
      </c>
      <c r="F9" s="162">
        <f>IS!G21/SOFP!G22</f>
        <v>0.14058238508721452</v>
      </c>
      <c r="G9" s="162">
        <f>IS!H21/SOFP!H22</f>
        <v>0.14876889889801334</v>
      </c>
      <c r="H9" s="364">
        <f>IS!I21/SOFP!I22</f>
        <v>0.16431383020036028</v>
      </c>
      <c r="I9" s="162">
        <f>IS!J21/SOFP!J22</f>
        <v>0.16555453186386312</v>
      </c>
      <c r="J9" s="162">
        <f>IS!K21/SOFP!K22</f>
        <v>0.16721484920260102</v>
      </c>
      <c r="K9" s="162">
        <f>IS!L21/SOFP!L22</f>
        <v>0.16528317031853326</v>
      </c>
      <c r="L9" s="162">
        <f>IS!M21/SOFP!M22</f>
        <v>0.16159972619321442</v>
      </c>
      <c r="M9" s="364"/>
      <c r="Q9" s="370"/>
    </row>
    <row r="10" spans="1:16384" s="162" customFormat="1" ht="14.25" customHeight="1">
      <c r="A10" s="369"/>
      <c r="B10" s="364"/>
      <c r="H10" s="364"/>
      <c r="M10" s="364"/>
    </row>
    <row r="11" spans="1:16384" s="162" customFormat="1" ht="14.25" customHeight="1">
      <c r="A11" s="369" t="s">
        <v>270</v>
      </c>
      <c r="B11" s="364">
        <f>IS!C21/IS!C3</f>
        <v>5.7223251902998332E-2</v>
      </c>
      <c r="C11" s="162">
        <f>IS!D21/IS!D3</f>
        <v>4.757464381898014E-2</v>
      </c>
      <c r="D11" s="162">
        <f>IS!E21/IS!E3</f>
        <v>6.3473186558917094E-2</v>
      </c>
      <c r="E11" s="162">
        <f>IS!F21/IS!F3</f>
        <v>6.9591570624524271E-2</v>
      </c>
      <c r="F11" s="162">
        <f>IS!G21/IS!G3</f>
        <v>7.1255157340369149E-2</v>
      </c>
      <c r="G11" s="162">
        <f>IS!H21/IS!H3</f>
        <v>7.7155121294484236E-2</v>
      </c>
      <c r="H11" s="364">
        <f>IS!I21/IS!I3</f>
        <v>8.1415464238415045E-2</v>
      </c>
      <c r="I11" s="162">
        <f>IS!J21/IS!J3</f>
        <v>8.2664309685363035E-2</v>
      </c>
      <c r="J11" s="162">
        <f>IS!K21/IS!K3</f>
        <v>8.4605985396052297E-2</v>
      </c>
      <c r="K11" s="162">
        <f>IS!L21/IS!L3</f>
        <v>8.4807293977965229E-2</v>
      </c>
      <c r="L11" s="162">
        <f>IS!M21/IS!M3</f>
        <v>8.547319557086959E-2</v>
      </c>
      <c r="M11" s="364"/>
    </row>
    <row r="12" spans="1:16384" s="162" customFormat="1" ht="14.25" customHeight="1">
      <c r="A12" s="369" t="s">
        <v>271</v>
      </c>
      <c r="B12" s="364">
        <f>IS!C3/SOFP!C22</f>
        <v>1.229499707335499</v>
      </c>
      <c r="C12" s="162">
        <f>IS!D3/SOFP!D22</f>
        <v>1.4163046643395447</v>
      </c>
      <c r="D12" s="162">
        <f>IS!E3/SOFP!E22</f>
        <v>1.4231811972193007</v>
      </c>
      <c r="E12" s="162">
        <f>IS!F3/SOFP!F22</f>
        <v>1.985112860014788</v>
      </c>
      <c r="F12" s="162">
        <f>IS!G3/SOFP!G22</f>
        <v>1.972943297503162</v>
      </c>
      <c r="G12" s="162">
        <f>IS!H3/SOFP!H22</f>
        <v>1.9281791850238299</v>
      </c>
      <c r="H12" s="364">
        <f>IS!I3/SOFP!I22</f>
        <v>2.0182140056241362</v>
      </c>
      <c r="I12" s="162">
        <f>IS!J3/SOFP!J22</f>
        <v>2.0027328903367962</v>
      </c>
      <c r="J12" s="162">
        <f>IS!K3/SOFP!K22</f>
        <v>1.976395031862642</v>
      </c>
      <c r="K12" s="162">
        <f>IS!L3/SOFP!L22</f>
        <v>1.9489263548660969</v>
      </c>
      <c r="L12" s="162">
        <f>IS!M3/SOFP!M22</f>
        <v>1.8906479992224574</v>
      </c>
      <c r="M12" s="364"/>
    </row>
    <row r="13" spans="1:16384" s="162" customFormat="1" ht="14.25" customHeight="1">
      <c r="A13" s="369" t="s">
        <v>272</v>
      </c>
      <c r="B13" s="364">
        <f>SOFP!C22/SOFP!C32</f>
        <v>2.700775935245777</v>
      </c>
      <c r="C13" s="162">
        <f>SOFP!D22/SOFP!D32</f>
        <v>2.1681621653085683</v>
      </c>
      <c r="D13" s="162">
        <f>SOFP!E22/SOFP!E32</f>
        <v>2.1289334205085479</v>
      </c>
      <c r="E13" s="162">
        <f>SOFP!F22/SOFP!F32</f>
        <v>2.1165138287077854</v>
      </c>
      <c r="F13" s="162">
        <f>SOFP!G22/SOFP!G32</f>
        <v>2.0413581623117074</v>
      </c>
      <c r="G13" s="162">
        <f>SOFP!H22/SOFP!H32</f>
        <v>1.8574052078935446</v>
      </c>
      <c r="H13" s="364">
        <f>SOFP!I22/SOFP!I32</f>
        <v>1.5801013152695464</v>
      </c>
      <c r="I13" s="162">
        <f>SOFP!J22/SOFP!J32</f>
        <v>0.7677432357572066</v>
      </c>
      <c r="J13" s="162">
        <f>SOFP!K22/SOFP!K32</f>
        <v>0.65195218184343884</v>
      </c>
      <c r="K13" s="162">
        <f>SOFP!L22/SOFP!L32</f>
        <v>0.57934597657727827</v>
      </c>
      <c r="L13" s="162">
        <f>SOFP!M22/SOFP!M32</f>
        <v>0.53857501189700097</v>
      </c>
      <c r="M13" s="364"/>
    </row>
    <row r="14" spans="1:16384" s="162" customFormat="1" ht="14.25" customHeight="1">
      <c r="A14" s="369" t="s">
        <v>273</v>
      </c>
      <c r="B14" s="364">
        <f t="shared" ref="B14:L14" si="1">B11*B12*B13</f>
        <v>0.19001571464032188</v>
      </c>
      <c r="C14" s="162">
        <f t="shared" si="1"/>
        <v>0.14609117853030112</v>
      </c>
      <c r="D14" s="162">
        <f t="shared" si="1"/>
        <v>0.19231474298231724</v>
      </c>
      <c r="E14" s="162">
        <f t="shared" si="1"/>
        <v>0.29239029367608033</v>
      </c>
      <c r="F14" s="162">
        <f t="shared" si="1"/>
        <v>0.28697899927503306</v>
      </c>
      <c r="G14" s="162">
        <f t="shared" si="1"/>
        <v>0.27632412758575825</v>
      </c>
      <c r="H14" s="364">
        <f t="shared" si="1"/>
        <v>0.25963249921656617</v>
      </c>
      <c r="I14" s="162">
        <f t="shared" si="1"/>
        <v>0.12710337198743185</v>
      </c>
      <c r="J14" s="162">
        <f t="shared" si="1"/>
        <v>0.10901608577425732</v>
      </c>
      <c r="K14" s="162">
        <f t="shared" si="1"/>
        <v>9.5756139719979261E-2</v>
      </c>
      <c r="L14" s="162">
        <f t="shared" si="1"/>
        <v>8.7033574457062543E-2</v>
      </c>
      <c r="M14" s="364"/>
    </row>
    <row r="15" spans="1:16384" s="162" customFormat="1" ht="14.25" customHeight="1">
      <c r="A15" s="369"/>
      <c r="B15" s="364"/>
      <c r="H15" s="364"/>
      <c r="M15" s="364"/>
    </row>
    <row r="16" spans="1:16384" s="162" customFormat="1" ht="14.25" customHeight="1">
      <c r="A16" s="369" t="s">
        <v>274</v>
      </c>
      <c r="B16" s="364">
        <f>SOFP!C21/SOFP!C50</f>
        <v>1.0807971081466754</v>
      </c>
      <c r="C16" s="162">
        <f>SOFP!D21/SOFP!D50</f>
        <v>1.4633928924228268</v>
      </c>
      <c r="D16" s="162">
        <f>SOFP!E21/SOFP!E50</f>
        <v>1.3837272193557779</v>
      </c>
      <c r="E16" s="162">
        <f>SOFP!F21/SOFP!F50</f>
        <v>1.3766639781349097</v>
      </c>
      <c r="F16" s="162">
        <f>SOFP!G21/SOFP!G50</f>
        <v>1.3548177082696864</v>
      </c>
      <c r="G16" s="162">
        <f>SOFP!H21/SOFP!H50</f>
        <v>1.6231529934918736</v>
      </c>
      <c r="H16" s="364">
        <f>SOFP!I21/SOFP!I50</f>
        <v>3.0540581192843725</v>
      </c>
      <c r="I16" s="162">
        <f>SOFP!J21/SOFP!J50</f>
        <v>3.7561570815654952</v>
      </c>
      <c r="J16" s="162">
        <f>SOFP!K21/SOFP!K50</f>
        <v>4.1954338233910233</v>
      </c>
      <c r="K16" s="162">
        <f>SOFP!L21/SOFP!L50</f>
        <v>4.6603005037919951</v>
      </c>
      <c r="L16" s="162">
        <f>SOFP!M21/SOFP!M50</f>
        <v>5.2735270649885244</v>
      </c>
      <c r="M16" s="364"/>
    </row>
    <row r="17" spans="1:13" s="162" customFormat="1" ht="14.25" customHeight="1">
      <c r="A17" s="369" t="s">
        <v>275</v>
      </c>
      <c r="B17" s="364">
        <f>(SOFP!C21-SOFP!C15-SOFP!C18)/SOFP!C50</f>
        <v>0.90089966762159779</v>
      </c>
      <c r="C17" s="162">
        <f>(SOFP!D21-SOFP!D15-SOFP!D18)/SOFP!D50</f>
        <v>1.1054116183920171</v>
      </c>
      <c r="D17" s="162">
        <f>(SOFP!E21-SOFP!E15-SOFP!E18)/SOFP!E50</f>
        <v>1.0707217713867452</v>
      </c>
      <c r="E17" s="162">
        <f>(SOFP!F21-SOFP!F15-SOFP!F18)/SOFP!F50</f>
        <v>0.95502464518877761</v>
      </c>
      <c r="F17" s="162">
        <f>(SOFP!G21-SOFP!G15-SOFP!G18)/SOFP!G50</f>
        <v>0.90887207410410498</v>
      </c>
      <c r="G17" s="162">
        <f>(SOFP!H21-SOFP!H15-SOFP!H18)/SOFP!H50</f>
        <v>0.96856833912068907</v>
      </c>
      <c r="H17" s="364">
        <f>(SOFP!I21-SOFP!I15-SOFP!I18)/SOFP!I50</f>
        <v>1.8687503458536996</v>
      </c>
      <c r="I17" s="162">
        <f>(SOFP!J21-SOFP!J15-SOFP!J18)/SOFP!J50</f>
        <v>2.4327169407505567</v>
      </c>
      <c r="J17" s="162">
        <f>(SOFP!K21-SOFP!K15-SOFP!K18)/SOFP!K50</f>
        <v>2.8597852026176112</v>
      </c>
      <c r="K17" s="162">
        <f>(SOFP!L21-SOFP!L15-SOFP!L18)/SOFP!L50</f>
        <v>3.3128202702160978</v>
      </c>
      <c r="L17" s="162">
        <f>(SOFP!M21-SOFP!M15-SOFP!M18)/SOFP!M50</f>
        <v>3.9146486362746344</v>
      </c>
      <c r="M17" s="364"/>
    </row>
    <row r="18" spans="1:13" s="162" customFormat="1" ht="14.25" customHeight="1">
      <c r="A18" s="369" t="s">
        <v>276</v>
      </c>
      <c r="B18" s="364">
        <f>(SOFP!C35+SOFP!C36+SOFP!C47+SOFP!C48)/SOFP!C32</f>
        <v>0.87520250538232003</v>
      </c>
      <c r="C18" s="162">
        <f>(SOFP!D35+SOFP!D36+SOFP!D47+SOFP!D48)/SOFP!D32</f>
        <v>0.34001619036703168</v>
      </c>
      <c r="D18" s="162">
        <f>(SOFP!E35+SOFP!E36+SOFP!E47+SOFP!E48)/SOFP!E32</f>
        <v>0.2969721507797084</v>
      </c>
      <c r="E18" s="162">
        <f>(SOFP!F35+SOFP!F36+SOFP!F47+SOFP!F48)/SOFP!F32</f>
        <v>0.31493039454267524</v>
      </c>
      <c r="F18" s="162">
        <f>(SOFP!G35+SOFP!G36+SOFP!G47+SOFP!G48)/SOFP!G32</f>
        <v>0.17527713038020248</v>
      </c>
      <c r="G18" s="162">
        <f>(SOFP!H35+SOFP!H36+SOFP!H47+SOFP!H48)/SOFP!H32</f>
        <v>0.14716688901933375</v>
      </c>
      <c r="H18" s="364">
        <f>(SOFP!I35+SOFP!I36+SOFP!I47+SOFP!I48)/SOFP!I32</f>
        <v>0.12275741144055774</v>
      </c>
      <c r="I18" s="162">
        <f>(SOFP!J35+SOFP!J36+SOFP!J47+SOFP!J48)/SOFP!J32</f>
        <v>3.1265720582499885E-2</v>
      </c>
      <c r="J18" s="162">
        <f>(SOFP!K35+SOFP!K36+SOFP!K47+SOFP!K48)/SOFP!K32</f>
        <v>1.3840954765560621E-2</v>
      </c>
      <c r="K18" s="162">
        <f>(SOFP!L35+SOFP!L36+SOFP!L47+SOFP!L48)/SOFP!L32</f>
        <v>1.7275223350983805E-3</v>
      </c>
      <c r="L18" s="162">
        <f>(SOFP!M35+SOFP!M36+SOFP!M47+SOFP!M48)/SOFP!M32</f>
        <v>6.7359236645465339E-4</v>
      </c>
      <c r="M18" s="364"/>
    </row>
    <row r="19" spans="1:13" s="162" customFormat="1" ht="14.25" customHeight="1">
      <c r="A19" s="369"/>
      <c r="B19" s="364"/>
      <c r="H19" s="364"/>
      <c r="M19" s="364"/>
    </row>
    <row r="20" spans="1:13" s="162" customFormat="1" ht="14.25" customHeight="1">
      <c r="A20" s="369" t="s">
        <v>277</v>
      </c>
      <c r="B20" s="364">
        <v>0</v>
      </c>
      <c r="C20" s="162">
        <v>13.04</v>
      </c>
      <c r="D20" s="162">
        <v>7.9</v>
      </c>
      <c r="E20" s="162">
        <v>4.8</v>
      </c>
      <c r="F20" s="162">
        <v>4.13</v>
      </c>
      <c r="G20" s="162">
        <v>3.2</v>
      </c>
      <c r="H20" s="364"/>
      <c r="M20" s="364"/>
    </row>
    <row r="21" spans="1:13" s="162" customFormat="1" ht="14.25" customHeight="1">
      <c r="A21" s="369" t="s">
        <v>278</v>
      </c>
      <c r="B21" s="364">
        <v>0</v>
      </c>
      <c r="C21" s="162">
        <v>13.7</v>
      </c>
      <c r="D21" s="162">
        <v>31.23</v>
      </c>
      <c r="E21" s="162">
        <v>52.75</v>
      </c>
      <c r="F21" s="162">
        <v>81.239999999999995</v>
      </c>
      <c r="G21" s="162">
        <v>50.35</v>
      </c>
      <c r="H21" s="364"/>
      <c r="M21" s="364"/>
    </row>
    <row r="22" spans="1:13" s="162" customFormat="1" ht="14.25" customHeight="1">
      <c r="A22" s="369" t="s">
        <v>279</v>
      </c>
      <c r="B22" s="364">
        <v>0</v>
      </c>
      <c r="C22" s="162">
        <v>90.55</v>
      </c>
      <c r="D22" s="162">
        <v>82.18</v>
      </c>
      <c r="E22" s="162">
        <v>110.43</v>
      </c>
      <c r="F22" s="162">
        <v>81.38</v>
      </c>
      <c r="G22" s="162">
        <v>88.73</v>
      </c>
      <c r="H22" s="364"/>
      <c r="M22" s="364"/>
    </row>
    <row r="23" spans="1:13" s="162" customFormat="1" ht="14.25" customHeight="1">
      <c r="A23" s="371"/>
      <c r="B23" s="364"/>
      <c r="H23" s="372"/>
      <c r="M23" s="364"/>
    </row>
    <row r="24" spans="1:13" s="162" customFormat="1" ht="14.25" customHeight="1">
      <c r="A24" s="373"/>
      <c r="B24" s="373"/>
      <c r="C24" s="373"/>
      <c r="D24" s="373"/>
      <c r="E24" s="373"/>
      <c r="F24" s="373"/>
      <c r="G24" s="373"/>
      <c r="H24" s="374"/>
      <c r="I24" s="373"/>
      <c r="J24" s="373"/>
      <c r="K24" s="373"/>
      <c r="L24" s="373"/>
    </row>
  </sheetData>
  <mergeCells count="2042">
    <mergeCell ref="THA1:THH1"/>
    <mergeCell ref="THI1:THP1"/>
    <mergeCell ref="THQ1:THX1"/>
    <mergeCell ref="THY1:TIF1"/>
    <mergeCell ref="TIG1:TIN1"/>
    <mergeCell ref="TBU1:TCB1"/>
    <mergeCell ref="TCC1:TCJ1"/>
    <mergeCell ref="TCK1:TCR1"/>
    <mergeCell ref="TCS1:TCZ1"/>
    <mergeCell ref="TDA1:TDH1"/>
    <mergeCell ref="TDI1:TDP1"/>
    <mergeCell ref="TDQ1:TDX1"/>
    <mergeCell ref="TDY1:TEF1"/>
    <mergeCell ref="TEG1:TEN1"/>
    <mergeCell ref="TEO1:TEV1"/>
    <mergeCell ref="TEW1:TFD1"/>
    <mergeCell ref="TFE1:TFL1"/>
    <mergeCell ref="TFM1:TFT1"/>
    <mergeCell ref="TFU1:TGB1"/>
    <mergeCell ref="TGC1:TGJ1"/>
    <mergeCell ref="TGK1:TGR1"/>
    <mergeCell ref="TGS1:TGZ1"/>
    <mergeCell ref="SWO1:SWV1"/>
    <mergeCell ref="SWW1:SXD1"/>
    <mergeCell ref="SXE1:SXL1"/>
    <mergeCell ref="SXM1:SXT1"/>
    <mergeCell ref="SXU1:SYB1"/>
    <mergeCell ref="SYC1:SYJ1"/>
    <mergeCell ref="SYK1:SYR1"/>
    <mergeCell ref="SYS1:SYZ1"/>
    <mergeCell ref="SZA1:SZH1"/>
    <mergeCell ref="SZI1:SZP1"/>
    <mergeCell ref="SZQ1:SZX1"/>
    <mergeCell ref="SZY1:TAF1"/>
    <mergeCell ref="TAG1:TAN1"/>
    <mergeCell ref="TAO1:TAV1"/>
    <mergeCell ref="TAW1:TBD1"/>
    <mergeCell ref="TBE1:TBL1"/>
    <mergeCell ref="TBM1:TBT1"/>
    <mergeCell ref="SRI1:SRP1"/>
    <mergeCell ref="SRQ1:SRX1"/>
    <mergeCell ref="SRY1:SSF1"/>
    <mergeCell ref="SSG1:SSN1"/>
    <mergeCell ref="SSO1:SSV1"/>
    <mergeCell ref="SSW1:STD1"/>
    <mergeCell ref="STE1:STL1"/>
    <mergeCell ref="STM1:STT1"/>
    <mergeCell ref="STU1:SUB1"/>
    <mergeCell ref="SUC1:SUJ1"/>
    <mergeCell ref="SUK1:SUR1"/>
    <mergeCell ref="SUS1:SUZ1"/>
    <mergeCell ref="SVA1:SVH1"/>
    <mergeCell ref="SVI1:SVP1"/>
    <mergeCell ref="SVQ1:SVX1"/>
    <mergeCell ref="SVY1:SWF1"/>
    <mergeCell ref="SWG1:SWN1"/>
    <mergeCell ref="SMC1:SMJ1"/>
    <mergeCell ref="SMK1:SMR1"/>
    <mergeCell ref="SMS1:SMZ1"/>
    <mergeCell ref="SNA1:SNH1"/>
    <mergeCell ref="SNI1:SNP1"/>
    <mergeCell ref="SNQ1:SNX1"/>
    <mergeCell ref="SNY1:SOF1"/>
    <mergeCell ref="SOG1:SON1"/>
    <mergeCell ref="SOO1:SOV1"/>
    <mergeCell ref="SOW1:SPD1"/>
    <mergeCell ref="SPE1:SPL1"/>
    <mergeCell ref="SPM1:SPT1"/>
    <mergeCell ref="SPU1:SQB1"/>
    <mergeCell ref="SQC1:SQJ1"/>
    <mergeCell ref="SQK1:SQR1"/>
    <mergeCell ref="SQS1:SQZ1"/>
    <mergeCell ref="SRA1:SRH1"/>
    <mergeCell ref="SGW1:SHD1"/>
    <mergeCell ref="SHE1:SHL1"/>
    <mergeCell ref="SHM1:SHT1"/>
    <mergeCell ref="SHU1:SIB1"/>
    <mergeCell ref="SIC1:SIJ1"/>
    <mergeCell ref="SIK1:SIR1"/>
    <mergeCell ref="SIS1:SIZ1"/>
    <mergeCell ref="SJA1:SJH1"/>
    <mergeCell ref="SJI1:SJP1"/>
    <mergeCell ref="SJQ1:SJX1"/>
    <mergeCell ref="SJY1:SKF1"/>
    <mergeCell ref="SKG1:SKN1"/>
    <mergeCell ref="SKO1:SKV1"/>
    <mergeCell ref="SKW1:SLD1"/>
    <mergeCell ref="SLE1:SLL1"/>
    <mergeCell ref="SLM1:SLT1"/>
    <mergeCell ref="SLU1:SMB1"/>
    <mergeCell ref="SBQ1:SBX1"/>
    <mergeCell ref="SBY1:SCF1"/>
    <mergeCell ref="SCG1:SCN1"/>
    <mergeCell ref="SCO1:SCV1"/>
    <mergeCell ref="SCW1:SDD1"/>
    <mergeCell ref="SDE1:SDL1"/>
    <mergeCell ref="SDM1:SDT1"/>
    <mergeCell ref="SDU1:SEB1"/>
    <mergeCell ref="SEC1:SEJ1"/>
    <mergeCell ref="SEK1:SER1"/>
    <mergeCell ref="SES1:SEZ1"/>
    <mergeCell ref="SFA1:SFH1"/>
    <mergeCell ref="SFI1:SFP1"/>
    <mergeCell ref="SFQ1:SFX1"/>
    <mergeCell ref="SFY1:SGF1"/>
    <mergeCell ref="SGG1:SGN1"/>
    <mergeCell ref="SGO1:SGV1"/>
    <mergeCell ref="RWK1:RWR1"/>
    <mergeCell ref="RWS1:RWZ1"/>
    <mergeCell ref="RXA1:RXH1"/>
    <mergeCell ref="RXI1:RXP1"/>
    <mergeCell ref="RXQ1:RXX1"/>
    <mergeCell ref="RXY1:RYF1"/>
    <mergeCell ref="RYG1:RYN1"/>
    <mergeCell ref="RYO1:RYV1"/>
    <mergeCell ref="RYW1:RZD1"/>
    <mergeCell ref="RZE1:RZL1"/>
    <mergeCell ref="RZM1:RZT1"/>
    <mergeCell ref="RZU1:SAB1"/>
    <mergeCell ref="SAC1:SAJ1"/>
    <mergeCell ref="SAK1:SAR1"/>
    <mergeCell ref="SAS1:SAZ1"/>
    <mergeCell ref="SBA1:SBH1"/>
    <mergeCell ref="SBI1:SBP1"/>
    <mergeCell ref="RRE1:RRL1"/>
    <mergeCell ref="RRM1:RRT1"/>
    <mergeCell ref="RRU1:RSB1"/>
    <mergeCell ref="RSC1:RSJ1"/>
    <mergeCell ref="RSK1:RSR1"/>
    <mergeCell ref="RSS1:RSZ1"/>
    <mergeCell ref="RTA1:RTH1"/>
    <mergeCell ref="RTI1:RTP1"/>
    <mergeCell ref="RTQ1:RTX1"/>
    <mergeCell ref="RTY1:RUF1"/>
    <mergeCell ref="RUG1:RUN1"/>
    <mergeCell ref="RUO1:RUV1"/>
    <mergeCell ref="RUW1:RVD1"/>
    <mergeCell ref="RVE1:RVL1"/>
    <mergeCell ref="RVM1:RVT1"/>
    <mergeCell ref="RVU1:RWB1"/>
    <mergeCell ref="RWC1:RWJ1"/>
    <mergeCell ref="RLY1:RMF1"/>
    <mergeCell ref="RMG1:RMN1"/>
    <mergeCell ref="RMO1:RMV1"/>
    <mergeCell ref="RMW1:RND1"/>
    <mergeCell ref="RNE1:RNL1"/>
    <mergeCell ref="RNM1:RNT1"/>
    <mergeCell ref="RNU1:ROB1"/>
    <mergeCell ref="ROC1:ROJ1"/>
    <mergeCell ref="ROK1:ROR1"/>
    <mergeCell ref="ROS1:ROZ1"/>
    <mergeCell ref="RPA1:RPH1"/>
    <mergeCell ref="RPI1:RPP1"/>
    <mergeCell ref="RPQ1:RPX1"/>
    <mergeCell ref="RPY1:RQF1"/>
    <mergeCell ref="RQG1:RQN1"/>
    <mergeCell ref="RQO1:RQV1"/>
    <mergeCell ref="RQW1:RRD1"/>
    <mergeCell ref="RGS1:RGZ1"/>
    <mergeCell ref="RHA1:RHH1"/>
    <mergeCell ref="RHI1:RHP1"/>
    <mergeCell ref="RHQ1:RHX1"/>
    <mergeCell ref="RHY1:RIF1"/>
    <mergeCell ref="RIG1:RIN1"/>
    <mergeCell ref="RIO1:RIV1"/>
    <mergeCell ref="RIW1:RJD1"/>
    <mergeCell ref="RJE1:RJL1"/>
    <mergeCell ref="RJM1:RJT1"/>
    <mergeCell ref="RJU1:RKB1"/>
    <mergeCell ref="RKC1:RKJ1"/>
    <mergeCell ref="RKK1:RKR1"/>
    <mergeCell ref="RKS1:RKZ1"/>
    <mergeCell ref="RLA1:RLH1"/>
    <mergeCell ref="RLI1:RLP1"/>
    <mergeCell ref="RLQ1:RLX1"/>
    <mergeCell ref="RBM1:RBT1"/>
    <mergeCell ref="RBU1:RCB1"/>
    <mergeCell ref="RCC1:RCJ1"/>
    <mergeCell ref="RCK1:RCR1"/>
    <mergeCell ref="RCS1:RCZ1"/>
    <mergeCell ref="RDA1:RDH1"/>
    <mergeCell ref="RDI1:RDP1"/>
    <mergeCell ref="RDQ1:RDX1"/>
    <mergeCell ref="RDY1:REF1"/>
    <mergeCell ref="REG1:REN1"/>
    <mergeCell ref="REO1:REV1"/>
    <mergeCell ref="REW1:RFD1"/>
    <mergeCell ref="RFE1:RFL1"/>
    <mergeCell ref="RFM1:RFT1"/>
    <mergeCell ref="RFU1:RGB1"/>
    <mergeCell ref="RGC1:RGJ1"/>
    <mergeCell ref="RGK1:RGR1"/>
    <mergeCell ref="QWG1:QWN1"/>
    <mergeCell ref="QWO1:QWV1"/>
    <mergeCell ref="QWW1:QXD1"/>
    <mergeCell ref="QXE1:QXL1"/>
    <mergeCell ref="QXM1:QXT1"/>
    <mergeCell ref="QXU1:QYB1"/>
    <mergeCell ref="QYC1:QYJ1"/>
    <mergeCell ref="QYK1:QYR1"/>
    <mergeCell ref="QYS1:QYZ1"/>
    <mergeCell ref="QZA1:QZH1"/>
    <mergeCell ref="QZI1:QZP1"/>
    <mergeCell ref="QZQ1:QZX1"/>
    <mergeCell ref="QZY1:RAF1"/>
    <mergeCell ref="RAG1:RAN1"/>
    <mergeCell ref="RAO1:RAV1"/>
    <mergeCell ref="RAW1:RBD1"/>
    <mergeCell ref="RBE1:RBL1"/>
    <mergeCell ref="QRA1:QRH1"/>
    <mergeCell ref="QRI1:QRP1"/>
    <mergeCell ref="QRQ1:QRX1"/>
    <mergeCell ref="QRY1:QSF1"/>
    <mergeCell ref="QSG1:QSN1"/>
    <mergeCell ref="QSO1:QSV1"/>
    <mergeCell ref="QSW1:QTD1"/>
    <mergeCell ref="QTE1:QTL1"/>
    <mergeCell ref="QTM1:QTT1"/>
    <mergeCell ref="QTU1:QUB1"/>
    <mergeCell ref="QUC1:QUJ1"/>
    <mergeCell ref="QUK1:QUR1"/>
    <mergeCell ref="QUS1:QUZ1"/>
    <mergeCell ref="QVA1:QVH1"/>
    <mergeCell ref="QVI1:QVP1"/>
    <mergeCell ref="QVQ1:QVX1"/>
    <mergeCell ref="QVY1:QWF1"/>
    <mergeCell ref="QLU1:QMB1"/>
    <mergeCell ref="QMC1:QMJ1"/>
    <mergeCell ref="QMK1:QMR1"/>
    <mergeCell ref="QMS1:QMZ1"/>
    <mergeCell ref="QNA1:QNH1"/>
    <mergeCell ref="QNI1:QNP1"/>
    <mergeCell ref="QNQ1:QNX1"/>
    <mergeCell ref="QNY1:QOF1"/>
    <mergeCell ref="QOG1:QON1"/>
    <mergeCell ref="QOO1:QOV1"/>
    <mergeCell ref="QOW1:QPD1"/>
    <mergeCell ref="QPE1:QPL1"/>
    <mergeCell ref="QPM1:QPT1"/>
    <mergeCell ref="QPU1:QQB1"/>
    <mergeCell ref="QQC1:QQJ1"/>
    <mergeCell ref="QQK1:QQR1"/>
    <mergeCell ref="QQS1:QQZ1"/>
    <mergeCell ref="QGO1:QGV1"/>
    <mergeCell ref="QGW1:QHD1"/>
    <mergeCell ref="QHE1:QHL1"/>
    <mergeCell ref="QHM1:QHT1"/>
    <mergeCell ref="QHU1:QIB1"/>
    <mergeCell ref="QIC1:QIJ1"/>
    <mergeCell ref="QIK1:QIR1"/>
    <mergeCell ref="QIS1:QIZ1"/>
    <mergeCell ref="QJA1:QJH1"/>
    <mergeCell ref="QJI1:QJP1"/>
    <mergeCell ref="QJQ1:QJX1"/>
    <mergeCell ref="QJY1:QKF1"/>
    <mergeCell ref="QKG1:QKN1"/>
    <mergeCell ref="QKO1:QKV1"/>
    <mergeCell ref="QKW1:QLD1"/>
    <mergeCell ref="QLE1:QLL1"/>
    <mergeCell ref="QLM1:QLT1"/>
    <mergeCell ref="QBI1:QBP1"/>
    <mergeCell ref="QBQ1:QBX1"/>
    <mergeCell ref="QBY1:QCF1"/>
    <mergeCell ref="QCG1:QCN1"/>
    <mergeCell ref="QCO1:QCV1"/>
    <mergeCell ref="QCW1:QDD1"/>
    <mergeCell ref="QDE1:QDL1"/>
    <mergeCell ref="QDM1:QDT1"/>
    <mergeCell ref="QDU1:QEB1"/>
    <mergeCell ref="QEC1:QEJ1"/>
    <mergeCell ref="QEK1:QER1"/>
    <mergeCell ref="QES1:QEZ1"/>
    <mergeCell ref="QFA1:QFH1"/>
    <mergeCell ref="QFI1:QFP1"/>
    <mergeCell ref="QFQ1:QFX1"/>
    <mergeCell ref="QFY1:QGF1"/>
    <mergeCell ref="QGG1:QGN1"/>
    <mergeCell ref="PWC1:PWJ1"/>
    <mergeCell ref="PWK1:PWR1"/>
    <mergeCell ref="PWS1:PWZ1"/>
    <mergeCell ref="PXA1:PXH1"/>
    <mergeCell ref="PXI1:PXP1"/>
    <mergeCell ref="PXQ1:PXX1"/>
    <mergeCell ref="PXY1:PYF1"/>
    <mergeCell ref="PYG1:PYN1"/>
    <mergeCell ref="PYO1:PYV1"/>
    <mergeCell ref="PYW1:PZD1"/>
    <mergeCell ref="PZE1:PZL1"/>
    <mergeCell ref="PZM1:PZT1"/>
    <mergeCell ref="PZU1:QAB1"/>
    <mergeCell ref="QAC1:QAJ1"/>
    <mergeCell ref="QAK1:QAR1"/>
    <mergeCell ref="QAS1:QAZ1"/>
    <mergeCell ref="QBA1:QBH1"/>
    <mergeCell ref="PQW1:PRD1"/>
    <mergeCell ref="PRE1:PRL1"/>
    <mergeCell ref="PRM1:PRT1"/>
    <mergeCell ref="PRU1:PSB1"/>
    <mergeCell ref="PSC1:PSJ1"/>
    <mergeCell ref="PSK1:PSR1"/>
    <mergeCell ref="PSS1:PSZ1"/>
    <mergeCell ref="PTA1:PTH1"/>
    <mergeCell ref="PTI1:PTP1"/>
    <mergeCell ref="PTQ1:PTX1"/>
    <mergeCell ref="PTY1:PUF1"/>
    <mergeCell ref="PUG1:PUN1"/>
    <mergeCell ref="PUO1:PUV1"/>
    <mergeCell ref="PUW1:PVD1"/>
    <mergeCell ref="PVE1:PVL1"/>
    <mergeCell ref="PVM1:PVT1"/>
    <mergeCell ref="PVU1:PWB1"/>
    <mergeCell ref="PLQ1:PLX1"/>
    <mergeCell ref="PLY1:PMF1"/>
    <mergeCell ref="PMG1:PMN1"/>
    <mergeCell ref="PMO1:PMV1"/>
    <mergeCell ref="PMW1:PND1"/>
    <mergeCell ref="PNE1:PNL1"/>
    <mergeCell ref="PNM1:PNT1"/>
    <mergeCell ref="PNU1:POB1"/>
    <mergeCell ref="POC1:POJ1"/>
    <mergeCell ref="POK1:POR1"/>
    <mergeCell ref="POS1:POZ1"/>
    <mergeCell ref="PPA1:PPH1"/>
    <mergeCell ref="PPI1:PPP1"/>
    <mergeCell ref="PPQ1:PPX1"/>
    <mergeCell ref="PPY1:PQF1"/>
    <mergeCell ref="PQG1:PQN1"/>
    <mergeCell ref="PQO1:PQV1"/>
    <mergeCell ref="WPU1:WQB1"/>
    <mergeCell ref="WQC1:WQJ1"/>
    <mergeCell ref="WQK1:WQR1"/>
    <mergeCell ref="WQS1:WQZ1"/>
    <mergeCell ref="WRA1:WRH1"/>
    <mergeCell ref="WRI1:WRP1"/>
    <mergeCell ref="WRQ1:WRX1"/>
    <mergeCell ref="WRY1:WSF1"/>
    <mergeCell ref="WSG1:WSN1"/>
    <mergeCell ref="WSO1:WSV1"/>
    <mergeCell ref="WSW1:WTD1"/>
    <mergeCell ref="WTE1:WTL1"/>
    <mergeCell ref="WTM1:WTT1"/>
    <mergeCell ref="WTU1:WUB1"/>
    <mergeCell ref="WUC1:WUJ1"/>
    <mergeCell ref="WUK1:WUR1"/>
    <mergeCell ref="WUS1:WUZ1"/>
    <mergeCell ref="WKO1:WKV1"/>
    <mergeCell ref="WKW1:WLD1"/>
    <mergeCell ref="WLE1:WLL1"/>
    <mergeCell ref="WLM1:WLT1"/>
    <mergeCell ref="WLU1:WMB1"/>
    <mergeCell ref="WMC1:WMJ1"/>
    <mergeCell ref="WMK1:WMR1"/>
    <mergeCell ref="WMS1:WMZ1"/>
    <mergeCell ref="WNA1:WNH1"/>
    <mergeCell ref="WNI1:WNP1"/>
    <mergeCell ref="WNQ1:WNX1"/>
    <mergeCell ref="WNY1:WOF1"/>
    <mergeCell ref="WOG1:WON1"/>
    <mergeCell ref="WOO1:WOV1"/>
    <mergeCell ref="WOW1:WPD1"/>
    <mergeCell ref="WPE1:WPL1"/>
    <mergeCell ref="WPM1:WPT1"/>
    <mergeCell ref="WZQ1:WZX1"/>
    <mergeCell ref="WZY1:XAF1"/>
    <mergeCell ref="XAG1:XAN1"/>
    <mergeCell ref="XAO1:XAV1"/>
    <mergeCell ref="XAW1:XBD1"/>
    <mergeCell ref="XBE1:XBL1"/>
    <mergeCell ref="XDQ1:XDX1"/>
    <mergeCell ref="XDY1:XEF1"/>
    <mergeCell ref="XEG1:XEN1"/>
    <mergeCell ref="XEO1:XEV1"/>
    <mergeCell ref="XEW1:XFD1"/>
    <mergeCell ref="XBM1:XBT1"/>
    <mergeCell ref="XBU1:XCB1"/>
    <mergeCell ref="XCC1:XCJ1"/>
    <mergeCell ref="XCK1:XCR1"/>
    <mergeCell ref="XCS1:XCZ1"/>
    <mergeCell ref="XDA1:XDH1"/>
    <mergeCell ref="XDI1:XDP1"/>
    <mergeCell ref="WFI1:WFP1"/>
    <mergeCell ref="WFQ1:WFX1"/>
    <mergeCell ref="WVA1:WVH1"/>
    <mergeCell ref="WVI1:WVP1"/>
    <mergeCell ref="WVQ1:WVX1"/>
    <mergeCell ref="WVY1:WWF1"/>
    <mergeCell ref="WWG1:WWN1"/>
    <mergeCell ref="WWO1:WWV1"/>
    <mergeCell ref="WWW1:WXD1"/>
    <mergeCell ref="WXE1:WXL1"/>
    <mergeCell ref="WXM1:WXT1"/>
    <mergeCell ref="WXU1:WYB1"/>
    <mergeCell ref="WYC1:WYJ1"/>
    <mergeCell ref="WYK1:WYR1"/>
    <mergeCell ref="WYS1:WYZ1"/>
    <mergeCell ref="WZA1:WZH1"/>
    <mergeCell ref="WZI1:WZP1"/>
    <mergeCell ref="WFY1:WGF1"/>
    <mergeCell ref="WGG1:WGN1"/>
    <mergeCell ref="WGO1:WGV1"/>
    <mergeCell ref="WGW1:WHD1"/>
    <mergeCell ref="WHE1:WHL1"/>
    <mergeCell ref="WHM1:WHT1"/>
    <mergeCell ref="WHU1:WIB1"/>
    <mergeCell ref="WIC1:WIJ1"/>
    <mergeCell ref="WIK1:WIR1"/>
    <mergeCell ref="WIS1:WIZ1"/>
    <mergeCell ref="WJA1:WJH1"/>
    <mergeCell ref="WJI1:WJP1"/>
    <mergeCell ref="WJQ1:WJX1"/>
    <mergeCell ref="WJY1:WKF1"/>
    <mergeCell ref="WKG1:WKN1"/>
    <mergeCell ref="WAC1:WAJ1"/>
    <mergeCell ref="WAK1:WAR1"/>
    <mergeCell ref="WAS1:WAZ1"/>
    <mergeCell ref="WBA1:WBH1"/>
    <mergeCell ref="WBI1:WBP1"/>
    <mergeCell ref="WBQ1:WBX1"/>
    <mergeCell ref="WBY1:WCF1"/>
    <mergeCell ref="WCG1:WCN1"/>
    <mergeCell ref="WCO1:WCV1"/>
    <mergeCell ref="WCW1:WDD1"/>
    <mergeCell ref="WDE1:WDL1"/>
    <mergeCell ref="WDM1:WDT1"/>
    <mergeCell ref="WDU1:WEB1"/>
    <mergeCell ref="WEC1:WEJ1"/>
    <mergeCell ref="WEK1:WER1"/>
    <mergeCell ref="WES1:WEZ1"/>
    <mergeCell ref="WFA1:WFH1"/>
    <mergeCell ref="VUW1:VVD1"/>
    <mergeCell ref="VVE1:VVL1"/>
    <mergeCell ref="VVM1:VVT1"/>
    <mergeCell ref="VVU1:VWB1"/>
    <mergeCell ref="VWC1:VWJ1"/>
    <mergeCell ref="VWK1:VWR1"/>
    <mergeCell ref="VWS1:VWZ1"/>
    <mergeCell ref="VXA1:VXH1"/>
    <mergeCell ref="VXI1:VXP1"/>
    <mergeCell ref="VXQ1:VXX1"/>
    <mergeCell ref="VXY1:VYF1"/>
    <mergeCell ref="VYG1:VYN1"/>
    <mergeCell ref="VYO1:VYV1"/>
    <mergeCell ref="VYW1:VZD1"/>
    <mergeCell ref="VZE1:VZL1"/>
    <mergeCell ref="VZM1:VZT1"/>
    <mergeCell ref="VZU1:WAB1"/>
    <mergeCell ref="VPQ1:VPX1"/>
    <mergeCell ref="VPY1:VQF1"/>
    <mergeCell ref="VQG1:VQN1"/>
    <mergeCell ref="VQO1:VQV1"/>
    <mergeCell ref="VQW1:VRD1"/>
    <mergeCell ref="VRE1:VRL1"/>
    <mergeCell ref="VRM1:VRT1"/>
    <mergeCell ref="VRU1:VSB1"/>
    <mergeCell ref="VSC1:VSJ1"/>
    <mergeCell ref="VSK1:VSR1"/>
    <mergeCell ref="VSS1:VSZ1"/>
    <mergeCell ref="VTA1:VTH1"/>
    <mergeCell ref="VTI1:VTP1"/>
    <mergeCell ref="VTQ1:VTX1"/>
    <mergeCell ref="VTY1:VUF1"/>
    <mergeCell ref="VUG1:VUN1"/>
    <mergeCell ref="VUO1:VUV1"/>
    <mergeCell ref="VKK1:VKR1"/>
    <mergeCell ref="VKS1:VKZ1"/>
    <mergeCell ref="VLA1:VLH1"/>
    <mergeCell ref="VLI1:VLP1"/>
    <mergeCell ref="VLQ1:VLX1"/>
    <mergeCell ref="VLY1:VMF1"/>
    <mergeCell ref="VMG1:VMN1"/>
    <mergeCell ref="VMO1:VMV1"/>
    <mergeCell ref="VMW1:VND1"/>
    <mergeCell ref="VNE1:VNL1"/>
    <mergeCell ref="VNM1:VNT1"/>
    <mergeCell ref="VNU1:VOB1"/>
    <mergeCell ref="VOC1:VOJ1"/>
    <mergeCell ref="VOK1:VOR1"/>
    <mergeCell ref="VOS1:VOZ1"/>
    <mergeCell ref="VPA1:VPH1"/>
    <mergeCell ref="VPI1:VPP1"/>
    <mergeCell ref="VFE1:VFL1"/>
    <mergeCell ref="VFM1:VFT1"/>
    <mergeCell ref="VFU1:VGB1"/>
    <mergeCell ref="VGC1:VGJ1"/>
    <mergeCell ref="VGK1:VGR1"/>
    <mergeCell ref="VGS1:VGZ1"/>
    <mergeCell ref="VHA1:VHH1"/>
    <mergeCell ref="VHI1:VHP1"/>
    <mergeCell ref="VHQ1:VHX1"/>
    <mergeCell ref="VHY1:VIF1"/>
    <mergeCell ref="VIG1:VIN1"/>
    <mergeCell ref="VIO1:VIV1"/>
    <mergeCell ref="VIW1:VJD1"/>
    <mergeCell ref="VJE1:VJL1"/>
    <mergeCell ref="VJM1:VJT1"/>
    <mergeCell ref="VJU1:VKB1"/>
    <mergeCell ref="VKC1:VKJ1"/>
    <mergeCell ref="UZY1:VAF1"/>
    <mergeCell ref="VAG1:VAN1"/>
    <mergeCell ref="VAO1:VAV1"/>
    <mergeCell ref="VAW1:VBD1"/>
    <mergeCell ref="VBE1:VBL1"/>
    <mergeCell ref="VBM1:VBT1"/>
    <mergeCell ref="VBU1:VCB1"/>
    <mergeCell ref="VCC1:VCJ1"/>
    <mergeCell ref="VCK1:VCR1"/>
    <mergeCell ref="VCS1:VCZ1"/>
    <mergeCell ref="VDA1:VDH1"/>
    <mergeCell ref="VDI1:VDP1"/>
    <mergeCell ref="VDQ1:VDX1"/>
    <mergeCell ref="VDY1:VEF1"/>
    <mergeCell ref="VEG1:VEN1"/>
    <mergeCell ref="VEO1:VEV1"/>
    <mergeCell ref="VEW1:VFD1"/>
    <mergeCell ref="UUS1:UUZ1"/>
    <mergeCell ref="UVA1:UVH1"/>
    <mergeCell ref="UVI1:UVP1"/>
    <mergeCell ref="UVQ1:UVX1"/>
    <mergeCell ref="UVY1:UWF1"/>
    <mergeCell ref="UWG1:UWN1"/>
    <mergeCell ref="UWO1:UWV1"/>
    <mergeCell ref="UWW1:UXD1"/>
    <mergeCell ref="UXE1:UXL1"/>
    <mergeCell ref="UXM1:UXT1"/>
    <mergeCell ref="UXU1:UYB1"/>
    <mergeCell ref="UYC1:UYJ1"/>
    <mergeCell ref="UYK1:UYR1"/>
    <mergeCell ref="UYS1:UYZ1"/>
    <mergeCell ref="UZA1:UZH1"/>
    <mergeCell ref="UZI1:UZP1"/>
    <mergeCell ref="UZQ1:UZX1"/>
    <mergeCell ref="UPM1:UPT1"/>
    <mergeCell ref="UPU1:UQB1"/>
    <mergeCell ref="UQC1:UQJ1"/>
    <mergeCell ref="UQK1:UQR1"/>
    <mergeCell ref="UQS1:UQZ1"/>
    <mergeCell ref="URA1:URH1"/>
    <mergeCell ref="URI1:URP1"/>
    <mergeCell ref="URQ1:URX1"/>
    <mergeCell ref="URY1:USF1"/>
    <mergeCell ref="USG1:USN1"/>
    <mergeCell ref="USO1:USV1"/>
    <mergeCell ref="USW1:UTD1"/>
    <mergeCell ref="UTE1:UTL1"/>
    <mergeCell ref="UTM1:UTT1"/>
    <mergeCell ref="UTU1:UUB1"/>
    <mergeCell ref="UUC1:UUJ1"/>
    <mergeCell ref="UUK1:UUR1"/>
    <mergeCell ref="UKG1:UKN1"/>
    <mergeCell ref="UKO1:UKV1"/>
    <mergeCell ref="UKW1:ULD1"/>
    <mergeCell ref="ULE1:ULL1"/>
    <mergeCell ref="ULM1:ULT1"/>
    <mergeCell ref="ULU1:UMB1"/>
    <mergeCell ref="UMC1:UMJ1"/>
    <mergeCell ref="UMK1:UMR1"/>
    <mergeCell ref="UMS1:UMZ1"/>
    <mergeCell ref="UNA1:UNH1"/>
    <mergeCell ref="UNI1:UNP1"/>
    <mergeCell ref="UNQ1:UNX1"/>
    <mergeCell ref="UNY1:UOF1"/>
    <mergeCell ref="UOG1:UON1"/>
    <mergeCell ref="UOO1:UOV1"/>
    <mergeCell ref="UOW1:UPD1"/>
    <mergeCell ref="UPE1:UPL1"/>
    <mergeCell ref="UFA1:UFH1"/>
    <mergeCell ref="UFI1:UFP1"/>
    <mergeCell ref="UFQ1:UFX1"/>
    <mergeCell ref="UFY1:UGF1"/>
    <mergeCell ref="UGG1:UGN1"/>
    <mergeCell ref="UGO1:UGV1"/>
    <mergeCell ref="UGW1:UHD1"/>
    <mergeCell ref="UHE1:UHL1"/>
    <mergeCell ref="UHM1:UHT1"/>
    <mergeCell ref="UHU1:UIB1"/>
    <mergeCell ref="UIC1:UIJ1"/>
    <mergeCell ref="UIK1:UIR1"/>
    <mergeCell ref="UIS1:UIZ1"/>
    <mergeCell ref="UJA1:UJH1"/>
    <mergeCell ref="UJI1:UJP1"/>
    <mergeCell ref="UJQ1:UJX1"/>
    <mergeCell ref="UJY1:UKF1"/>
    <mergeCell ref="TZU1:UAB1"/>
    <mergeCell ref="UAC1:UAJ1"/>
    <mergeCell ref="UAK1:UAR1"/>
    <mergeCell ref="UAS1:UAZ1"/>
    <mergeCell ref="UBA1:UBH1"/>
    <mergeCell ref="UBI1:UBP1"/>
    <mergeCell ref="UBQ1:UBX1"/>
    <mergeCell ref="UBY1:UCF1"/>
    <mergeCell ref="UCG1:UCN1"/>
    <mergeCell ref="UCO1:UCV1"/>
    <mergeCell ref="UCW1:UDD1"/>
    <mergeCell ref="UDE1:UDL1"/>
    <mergeCell ref="UDM1:UDT1"/>
    <mergeCell ref="UDU1:UEB1"/>
    <mergeCell ref="UEC1:UEJ1"/>
    <mergeCell ref="UEK1:UER1"/>
    <mergeCell ref="UES1:UEZ1"/>
    <mergeCell ref="TUO1:TUV1"/>
    <mergeCell ref="TUW1:TVD1"/>
    <mergeCell ref="TVE1:TVL1"/>
    <mergeCell ref="TVM1:TVT1"/>
    <mergeCell ref="TVU1:TWB1"/>
    <mergeCell ref="TWC1:TWJ1"/>
    <mergeCell ref="TWK1:TWR1"/>
    <mergeCell ref="TWS1:TWZ1"/>
    <mergeCell ref="TXA1:TXH1"/>
    <mergeCell ref="TXI1:TXP1"/>
    <mergeCell ref="TXQ1:TXX1"/>
    <mergeCell ref="TXY1:TYF1"/>
    <mergeCell ref="TYG1:TYN1"/>
    <mergeCell ref="TYO1:TYV1"/>
    <mergeCell ref="TYW1:TZD1"/>
    <mergeCell ref="TZE1:TZL1"/>
    <mergeCell ref="TZM1:TZT1"/>
    <mergeCell ref="TPI1:TPP1"/>
    <mergeCell ref="TPQ1:TPX1"/>
    <mergeCell ref="TPY1:TQF1"/>
    <mergeCell ref="TQG1:TQN1"/>
    <mergeCell ref="TQO1:TQV1"/>
    <mergeCell ref="TQW1:TRD1"/>
    <mergeCell ref="TRE1:TRL1"/>
    <mergeCell ref="TRM1:TRT1"/>
    <mergeCell ref="TRU1:TSB1"/>
    <mergeCell ref="TSC1:TSJ1"/>
    <mergeCell ref="TSK1:TSR1"/>
    <mergeCell ref="TSS1:TSZ1"/>
    <mergeCell ref="TTA1:TTH1"/>
    <mergeCell ref="TTI1:TTP1"/>
    <mergeCell ref="TTQ1:TTX1"/>
    <mergeCell ref="TTY1:TUF1"/>
    <mergeCell ref="TUG1:TUN1"/>
    <mergeCell ref="TKC1:TKJ1"/>
    <mergeCell ref="TKK1:TKR1"/>
    <mergeCell ref="TKS1:TKZ1"/>
    <mergeCell ref="TLA1:TLH1"/>
    <mergeCell ref="TLI1:TLP1"/>
    <mergeCell ref="TLQ1:TLX1"/>
    <mergeCell ref="TLY1:TMF1"/>
    <mergeCell ref="TMG1:TMN1"/>
    <mergeCell ref="TMO1:TMV1"/>
    <mergeCell ref="TMW1:TND1"/>
    <mergeCell ref="TNE1:TNL1"/>
    <mergeCell ref="TNM1:TNT1"/>
    <mergeCell ref="TNU1:TOB1"/>
    <mergeCell ref="TOC1:TOJ1"/>
    <mergeCell ref="TOK1:TOR1"/>
    <mergeCell ref="TOS1:TOZ1"/>
    <mergeCell ref="TPA1:TPH1"/>
    <mergeCell ref="PDI1:PDP1"/>
    <mergeCell ref="PDQ1:PDX1"/>
    <mergeCell ref="PDY1:PEF1"/>
    <mergeCell ref="PEG1:PEN1"/>
    <mergeCell ref="PEO1:PEV1"/>
    <mergeCell ref="PEW1:PFD1"/>
    <mergeCell ref="PFE1:PFL1"/>
    <mergeCell ref="PFM1:PFT1"/>
    <mergeCell ref="PFU1:PGB1"/>
    <mergeCell ref="PGC1:PGJ1"/>
    <mergeCell ref="PGK1:PGR1"/>
    <mergeCell ref="PGS1:PGZ1"/>
    <mergeCell ref="TIO1:TIV1"/>
    <mergeCell ref="TIW1:TJD1"/>
    <mergeCell ref="TJE1:TJL1"/>
    <mergeCell ref="TJM1:TJT1"/>
    <mergeCell ref="TJU1:TKB1"/>
    <mergeCell ref="PHA1:PHH1"/>
    <mergeCell ref="PHI1:PHP1"/>
    <mergeCell ref="PHQ1:PHX1"/>
    <mergeCell ref="PHY1:PIF1"/>
    <mergeCell ref="PIG1:PIN1"/>
    <mergeCell ref="PIO1:PIV1"/>
    <mergeCell ref="PIW1:PJD1"/>
    <mergeCell ref="PJE1:PJL1"/>
    <mergeCell ref="PJM1:PJT1"/>
    <mergeCell ref="PJU1:PKB1"/>
    <mergeCell ref="PKC1:PKJ1"/>
    <mergeCell ref="PKK1:PKR1"/>
    <mergeCell ref="PKS1:PKZ1"/>
    <mergeCell ref="PLA1:PLH1"/>
    <mergeCell ref="PLI1:PLP1"/>
    <mergeCell ref="OYC1:OYJ1"/>
    <mergeCell ref="OYK1:OYR1"/>
    <mergeCell ref="OYS1:OYZ1"/>
    <mergeCell ref="OZA1:OZH1"/>
    <mergeCell ref="OZI1:OZP1"/>
    <mergeCell ref="OZQ1:OZX1"/>
    <mergeCell ref="OZY1:PAF1"/>
    <mergeCell ref="PAG1:PAN1"/>
    <mergeCell ref="PAO1:PAV1"/>
    <mergeCell ref="PAW1:PBD1"/>
    <mergeCell ref="PBE1:PBL1"/>
    <mergeCell ref="PBM1:PBT1"/>
    <mergeCell ref="PBU1:PCB1"/>
    <mergeCell ref="PCC1:PCJ1"/>
    <mergeCell ref="PCK1:PCR1"/>
    <mergeCell ref="PCS1:PCZ1"/>
    <mergeCell ref="PDA1:PDH1"/>
    <mergeCell ref="OSW1:OTD1"/>
    <mergeCell ref="OTE1:OTL1"/>
    <mergeCell ref="OTM1:OTT1"/>
    <mergeCell ref="OTU1:OUB1"/>
    <mergeCell ref="OUC1:OUJ1"/>
    <mergeCell ref="OUK1:OUR1"/>
    <mergeCell ref="OUS1:OUZ1"/>
    <mergeCell ref="OVA1:OVH1"/>
    <mergeCell ref="OVI1:OVP1"/>
    <mergeCell ref="OVQ1:OVX1"/>
    <mergeCell ref="OVY1:OWF1"/>
    <mergeCell ref="OWG1:OWN1"/>
    <mergeCell ref="OWO1:OWV1"/>
    <mergeCell ref="OWW1:OXD1"/>
    <mergeCell ref="OXE1:OXL1"/>
    <mergeCell ref="OXM1:OXT1"/>
    <mergeCell ref="OXU1:OYB1"/>
    <mergeCell ref="ONQ1:ONX1"/>
    <mergeCell ref="ONY1:OOF1"/>
    <mergeCell ref="OOG1:OON1"/>
    <mergeCell ref="OOO1:OOV1"/>
    <mergeCell ref="OOW1:OPD1"/>
    <mergeCell ref="OPE1:OPL1"/>
    <mergeCell ref="OPM1:OPT1"/>
    <mergeCell ref="OPU1:OQB1"/>
    <mergeCell ref="OQC1:OQJ1"/>
    <mergeCell ref="OQK1:OQR1"/>
    <mergeCell ref="OQS1:OQZ1"/>
    <mergeCell ref="ORA1:ORH1"/>
    <mergeCell ref="ORI1:ORP1"/>
    <mergeCell ref="ORQ1:ORX1"/>
    <mergeCell ref="ORY1:OSF1"/>
    <mergeCell ref="OSG1:OSN1"/>
    <mergeCell ref="OSO1:OSV1"/>
    <mergeCell ref="OIK1:OIR1"/>
    <mergeCell ref="OIS1:OIZ1"/>
    <mergeCell ref="OJA1:OJH1"/>
    <mergeCell ref="OJI1:OJP1"/>
    <mergeCell ref="OJQ1:OJX1"/>
    <mergeCell ref="OJY1:OKF1"/>
    <mergeCell ref="OKG1:OKN1"/>
    <mergeCell ref="OKO1:OKV1"/>
    <mergeCell ref="OKW1:OLD1"/>
    <mergeCell ref="OLE1:OLL1"/>
    <mergeCell ref="OLM1:OLT1"/>
    <mergeCell ref="OLU1:OMB1"/>
    <mergeCell ref="OMC1:OMJ1"/>
    <mergeCell ref="OMK1:OMR1"/>
    <mergeCell ref="OMS1:OMZ1"/>
    <mergeCell ref="ONA1:ONH1"/>
    <mergeCell ref="ONI1:ONP1"/>
    <mergeCell ref="ODE1:ODL1"/>
    <mergeCell ref="ODM1:ODT1"/>
    <mergeCell ref="ODU1:OEB1"/>
    <mergeCell ref="OEC1:OEJ1"/>
    <mergeCell ref="OEK1:OER1"/>
    <mergeCell ref="OES1:OEZ1"/>
    <mergeCell ref="OFA1:OFH1"/>
    <mergeCell ref="OFI1:OFP1"/>
    <mergeCell ref="OFQ1:OFX1"/>
    <mergeCell ref="OFY1:OGF1"/>
    <mergeCell ref="OGG1:OGN1"/>
    <mergeCell ref="OGO1:OGV1"/>
    <mergeCell ref="OGW1:OHD1"/>
    <mergeCell ref="OHE1:OHL1"/>
    <mergeCell ref="OHM1:OHT1"/>
    <mergeCell ref="OHU1:OIB1"/>
    <mergeCell ref="OIC1:OIJ1"/>
    <mergeCell ref="NXY1:NYF1"/>
    <mergeCell ref="NYG1:NYN1"/>
    <mergeCell ref="NYO1:NYV1"/>
    <mergeCell ref="NYW1:NZD1"/>
    <mergeCell ref="NZE1:NZL1"/>
    <mergeCell ref="NZM1:NZT1"/>
    <mergeCell ref="NZU1:OAB1"/>
    <mergeCell ref="OAC1:OAJ1"/>
    <mergeCell ref="OAK1:OAR1"/>
    <mergeCell ref="OAS1:OAZ1"/>
    <mergeCell ref="OBA1:OBH1"/>
    <mergeCell ref="OBI1:OBP1"/>
    <mergeCell ref="OBQ1:OBX1"/>
    <mergeCell ref="OBY1:OCF1"/>
    <mergeCell ref="OCG1:OCN1"/>
    <mergeCell ref="OCO1:OCV1"/>
    <mergeCell ref="OCW1:ODD1"/>
    <mergeCell ref="NSS1:NSZ1"/>
    <mergeCell ref="NTA1:NTH1"/>
    <mergeCell ref="NTI1:NTP1"/>
    <mergeCell ref="NTQ1:NTX1"/>
    <mergeCell ref="NTY1:NUF1"/>
    <mergeCell ref="NUG1:NUN1"/>
    <mergeCell ref="NUO1:NUV1"/>
    <mergeCell ref="NUW1:NVD1"/>
    <mergeCell ref="NVE1:NVL1"/>
    <mergeCell ref="NVM1:NVT1"/>
    <mergeCell ref="NVU1:NWB1"/>
    <mergeCell ref="NWC1:NWJ1"/>
    <mergeCell ref="NWK1:NWR1"/>
    <mergeCell ref="NWS1:NWZ1"/>
    <mergeCell ref="NXA1:NXH1"/>
    <mergeCell ref="NXI1:NXP1"/>
    <mergeCell ref="NXQ1:NXX1"/>
    <mergeCell ref="NNM1:NNT1"/>
    <mergeCell ref="NNU1:NOB1"/>
    <mergeCell ref="NOC1:NOJ1"/>
    <mergeCell ref="NOK1:NOR1"/>
    <mergeCell ref="NOS1:NOZ1"/>
    <mergeCell ref="NPA1:NPH1"/>
    <mergeCell ref="NPI1:NPP1"/>
    <mergeCell ref="NPQ1:NPX1"/>
    <mergeCell ref="NPY1:NQF1"/>
    <mergeCell ref="NQG1:NQN1"/>
    <mergeCell ref="NQO1:NQV1"/>
    <mergeCell ref="NQW1:NRD1"/>
    <mergeCell ref="NRE1:NRL1"/>
    <mergeCell ref="NRM1:NRT1"/>
    <mergeCell ref="NRU1:NSB1"/>
    <mergeCell ref="NSC1:NSJ1"/>
    <mergeCell ref="NSK1:NSR1"/>
    <mergeCell ref="NIG1:NIN1"/>
    <mergeCell ref="NIO1:NIV1"/>
    <mergeCell ref="NIW1:NJD1"/>
    <mergeCell ref="NJE1:NJL1"/>
    <mergeCell ref="NJM1:NJT1"/>
    <mergeCell ref="NJU1:NKB1"/>
    <mergeCell ref="NKC1:NKJ1"/>
    <mergeCell ref="NKK1:NKR1"/>
    <mergeCell ref="NKS1:NKZ1"/>
    <mergeCell ref="NLA1:NLH1"/>
    <mergeCell ref="NLI1:NLP1"/>
    <mergeCell ref="NLQ1:NLX1"/>
    <mergeCell ref="NLY1:NMF1"/>
    <mergeCell ref="NMG1:NMN1"/>
    <mergeCell ref="NMO1:NMV1"/>
    <mergeCell ref="NMW1:NND1"/>
    <mergeCell ref="NNE1:NNL1"/>
    <mergeCell ref="NDA1:NDH1"/>
    <mergeCell ref="NDI1:NDP1"/>
    <mergeCell ref="NDQ1:NDX1"/>
    <mergeCell ref="NDY1:NEF1"/>
    <mergeCell ref="NEG1:NEN1"/>
    <mergeCell ref="NEO1:NEV1"/>
    <mergeCell ref="NEW1:NFD1"/>
    <mergeCell ref="NFE1:NFL1"/>
    <mergeCell ref="NFM1:NFT1"/>
    <mergeCell ref="NFU1:NGB1"/>
    <mergeCell ref="NGC1:NGJ1"/>
    <mergeCell ref="NGK1:NGR1"/>
    <mergeCell ref="NGS1:NGZ1"/>
    <mergeCell ref="NHA1:NHH1"/>
    <mergeCell ref="NHI1:NHP1"/>
    <mergeCell ref="NHQ1:NHX1"/>
    <mergeCell ref="NHY1:NIF1"/>
    <mergeCell ref="MXU1:MYB1"/>
    <mergeCell ref="MYC1:MYJ1"/>
    <mergeCell ref="MYK1:MYR1"/>
    <mergeCell ref="MYS1:MYZ1"/>
    <mergeCell ref="MZA1:MZH1"/>
    <mergeCell ref="MZI1:MZP1"/>
    <mergeCell ref="MZQ1:MZX1"/>
    <mergeCell ref="MZY1:NAF1"/>
    <mergeCell ref="NAG1:NAN1"/>
    <mergeCell ref="NAO1:NAV1"/>
    <mergeCell ref="NAW1:NBD1"/>
    <mergeCell ref="NBE1:NBL1"/>
    <mergeCell ref="NBM1:NBT1"/>
    <mergeCell ref="NBU1:NCB1"/>
    <mergeCell ref="NCC1:NCJ1"/>
    <mergeCell ref="NCK1:NCR1"/>
    <mergeCell ref="NCS1:NCZ1"/>
    <mergeCell ref="MSO1:MSV1"/>
    <mergeCell ref="MSW1:MTD1"/>
    <mergeCell ref="MTE1:MTL1"/>
    <mergeCell ref="MTM1:MTT1"/>
    <mergeCell ref="MTU1:MUB1"/>
    <mergeCell ref="MUC1:MUJ1"/>
    <mergeCell ref="MUK1:MUR1"/>
    <mergeCell ref="MUS1:MUZ1"/>
    <mergeCell ref="MVA1:MVH1"/>
    <mergeCell ref="MVI1:MVP1"/>
    <mergeCell ref="MVQ1:MVX1"/>
    <mergeCell ref="MVY1:MWF1"/>
    <mergeCell ref="MWG1:MWN1"/>
    <mergeCell ref="MWO1:MWV1"/>
    <mergeCell ref="MWW1:MXD1"/>
    <mergeCell ref="MXE1:MXL1"/>
    <mergeCell ref="MXM1:MXT1"/>
    <mergeCell ref="MNI1:MNP1"/>
    <mergeCell ref="MNQ1:MNX1"/>
    <mergeCell ref="MNY1:MOF1"/>
    <mergeCell ref="MOG1:MON1"/>
    <mergeCell ref="MOO1:MOV1"/>
    <mergeCell ref="MOW1:MPD1"/>
    <mergeCell ref="MPE1:MPL1"/>
    <mergeCell ref="MPM1:MPT1"/>
    <mergeCell ref="MPU1:MQB1"/>
    <mergeCell ref="MQC1:MQJ1"/>
    <mergeCell ref="MQK1:MQR1"/>
    <mergeCell ref="MQS1:MQZ1"/>
    <mergeCell ref="MRA1:MRH1"/>
    <mergeCell ref="MRI1:MRP1"/>
    <mergeCell ref="MRQ1:MRX1"/>
    <mergeCell ref="MRY1:MSF1"/>
    <mergeCell ref="MSG1:MSN1"/>
    <mergeCell ref="MIC1:MIJ1"/>
    <mergeCell ref="MIK1:MIR1"/>
    <mergeCell ref="MIS1:MIZ1"/>
    <mergeCell ref="MJA1:MJH1"/>
    <mergeCell ref="MJI1:MJP1"/>
    <mergeCell ref="MJQ1:MJX1"/>
    <mergeCell ref="MJY1:MKF1"/>
    <mergeCell ref="MKG1:MKN1"/>
    <mergeCell ref="MKO1:MKV1"/>
    <mergeCell ref="MKW1:MLD1"/>
    <mergeCell ref="MLE1:MLL1"/>
    <mergeCell ref="MLM1:MLT1"/>
    <mergeCell ref="MLU1:MMB1"/>
    <mergeCell ref="MMC1:MMJ1"/>
    <mergeCell ref="MMK1:MMR1"/>
    <mergeCell ref="MMS1:MMZ1"/>
    <mergeCell ref="MNA1:MNH1"/>
    <mergeCell ref="MCW1:MDD1"/>
    <mergeCell ref="MDE1:MDL1"/>
    <mergeCell ref="MDM1:MDT1"/>
    <mergeCell ref="MDU1:MEB1"/>
    <mergeCell ref="MEC1:MEJ1"/>
    <mergeCell ref="MEK1:MER1"/>
    <mergeCell ref="MES1:MEZ1"/>
    <mergeCell ref="MFA1:MFH1"/>
    <mergeCell ref="MFI1:MFP1"/>
    <mergeCell ref="MFQ1:MFX1"/>
    <mergeCell ref="MFY1:MGF1"/>
    <mergeCell ref="MGG1:MGN1"/>
    <mergeCell ref="MGO1:MGV1"/>
    <mergeCell ref="MGW1:MHD1"/>
    <mergeCell ref="MHE1:MHL1"/>
    <mergeCell ref="MHM1:MHT1"/>
    <mergeCell ref="MHU1:MIB1"/>
    <mergeCell ref="LXQ1:LXX1"/>
    <mergeCell ref="LXY1:LYF1"/>
    <mergeCell ref="LYG1:LYN1"/>
    <mergeCell ref="LYO1:LYV1"/>
    <mergeCell ref="LYW1:LZD1"/>
    <mergeCell ref="LZE1:LZL1"/>
    <mergeCell ref="LZM1:LZT1"/>
    <mergeCell ref="LZU1:MAB1"/>
    <mergeCell ref="MAC1:MAJ1"/>
    <mergeCell ref="MAK1:MAR1"/>
    <mergeCell ref="MAS1:MAZ1"/>
    <mergeCell ref="MBA1:MBH1"/>
    <mergeCell ref="MBI1:MBP1"/>
    <mergeCell ref="MBQ1:MBX1"/>
    <mergeCell ref="MBY1:MCF1"/>
    <mergeCell ref="MCG1:MCN1"/>
    <mergeCell ref="MCO1:MCV1"/>
    <mergeCell ref="LSK1:LSR1"/>
    <mergeCell ref="LSS1:LSZ1"/>
    <mergeCell ref="LTA1:LTH1"/>
    <mergeCell ref="LTI1:LTP1"/>
    <mergeCell ref="LTQ1:LTX1"/>
    <mergeCell ref="LTY1:LUF1"/>
    <mergeCell ref="LUG1:LUN1"/>
    <mergeCell ref="LUO1:LUV1"/>
    <mergeCell ref="LUW1:LVD1"/>
    <mergeCell ref="LVE1:LVL1"/>
    <mergeCell ref="LVM1:LVT1"/>
    <mergeCell ref="LVU1:LWB1"/>
    <mergeCell ref="LWC1:LWJ1"/>
    <mergeCell ref="LWK1:LWR1"/>
    <mergeCell ref="LWS1:LWZ1"/>
    <mergeCell ref="LXA1:LXH1"/>
    <mergeCell ref="LXI1:LXP1"/>
    <mergeCell ref="LNE1:LNL1"/>
    <mergeCell ref="LNM1:LNT1"/>
    <mergeCell ref="LNU1:LOB1"/>
    <mergeCell ref="LOC1:LOJ1"/>
    <mergeCell ref="LOK1:LOR1"/>
    <mergeCell ref="LOS1:LOZ1"/>
    <mergeCell ref="LPA1:LPH1"/>
    <mergeCell ref="LPI1:LPP1"/>
    <mergeCell ref="LPQ1:LPX1"/>
    <mergeCell ref="LPY1:LQF1"/>
    <mergeCell ref="LQG1:LQN1"/>
    <mergeCell ref="LQO1:LQV1"/>
    <mergeCell ref="LQW1:LRD1"/>
    <mergeCell ref="LRE1:LRL1"/>
    <mergeCell ref="LRM1:LRT1"/>
    <mergeCell ref="LRU1:LSB1"/>
    <mergeCell ref="LSC1:LSJ1"/>
    <mergeCell ref="LHY1:LIF1"/>
    <mergeCell ref="LIG1:LIN1"/>
    <mergeCell ref="LIO1:LIV1"/>
    <mergeCell ref="LIW1:LJD1"/>
    <mergeCell ref="LJE1:LJL1"/>
    <mergeCell ref="LJM1:LJT1"/>
    <mergeCell ref="LJU1:LKB1"/>
    <mergeCell ref="LKC1:LKJ1"/>
    <mergeCell ref="LKK1:LKR1"/>
    <mergeCell ref="LKS1:LKZ1"/>
    <mergeCell ref="LLA1:LLH1"/>
    <mergeCell ref="LLI1:LLP1"/>
    <mergeCell ref="LLQ1:LLX1"/>
    <mergeCell ref="LLY1:LMF1"/>
    <mergeCell ref="LMG1:LMN1"/>
    <mergeCell ref="LMO1:LMV1"/>
    <mergeCell ref="LMW1:LND1"/>
    <mergeCell ref="LCS1:LCZ1"/>
    <mergeCell ref="LDA1:LDH1"/>
    <mergeCell ref="LDI1:LDP1"/>
    <mergeCell ref="LDQ1:LDX1"/>
    <mergeCell ref="LDY1:LEF1"/>
    <mergeCell ref="LEG1:LEN1"/>
    <mergeCell ref="LEO1:LEV1"/>
    <mergeCell ref="LEW1:LFD1"/>
    <mergeCell ref="LFE1:LFL1"/>
    <mergeCell ref="LFM1:LFT1"/>
    <mergeCell ref="LFU1:LGB1"/>
    <mergeCell ref="LGC1:LGJ1"/>
    <mergeCell ref="LGK1:LGR1"/>
    <mergeCell ref="LGS1:LGZ1"/>
    <mergeCell ref="LHA1:LHH1"/>
    <mergeCell ref="LHI1:LHP1"/>
    <mergeCell ref="LHQ1:LHX1"/>
    <mergeCell ref="KXM1:KXT1"/>
    <mergeCell ref="KXU1:KYB1"/>
    <mergeCell ref="KYC1:KYJ1"/>
    <mergeCell ref="KYK1:KYR1"/>
    <mergeCell ref="KYS1:KYZ1"/>
    <mergeCell ref="KZA1:KZH1"/>
    <mergeCell ref="KZI1:KZP1"/>
    <mergeCell ref="KZQ1:KZX1"/>
    <mergeCell ref="KZY1:LAF1"/>
    <mergeCell ref="LAG1:LAN1"/>
    <mergeCell ref="LAO1:LAV1"/>
    <mergeCell ref="LAW1:LBD1"/>
    <mergeCell ref="LBE1:LBL1"/>
    <mergeCell ref="LBM1:LBT1"/>
    <mergeCell ref="LBU1:LCB1"/>
    <mergeCell ref="LCC1:LCJ1"/>
    <mergeCell ref="LCK1:LCR1"/>
    <mergeCell ref="KSG1:KSN1"/>
    <mergeCell ref="KSO1:KSV1"/>
    <mergeCell ref="KSW1:KTD1"/>
    <mergeCell ref="KTE1:KTL1"/>
    <mergeCell ref="KTM1:KTT1"/>
    <mergeCell ref="KTU1:KUB1"/>
    <mergeCell ref="KUC1:KUJ1"/>
    <mergeCell ref="KUK1:KUR1"/>
    <mergeCell ref="KUS1:KUZ1"/>
    <mergeCell ref="KVA1:KVH1"/>
    <mergeCell ref="KVI1:KVP1"/>
    <mergeCell ref="KVQ1:KVX1"/>
    <mergeCell ref="KVY1:KWF1"/>
    <mergeCell ref="KWG1:KWN1"/>
    <mergeCell ref="KWO1:KWV1"/>
    <mergeCell ref="KWW1:KXD1"/>
    <mergeCell ref="KXE1:KXL1"/>
    <mergeCell ref="KNA1:KNH1"/>
    <mergeCell ref="KNI1:KNP1"/>
    <mergeCell ref="KNQ1:KNX1"/>
    <mergeCell ref="KNY1:KOF1"/>
    <mergeCell ref="KOG1:KON1"/>
    <mergeCell ref="KOO1:KOV1"/>
    <mergeCell ref="KOW1:KPD1"/>
    <mergeCell ref="KPE1:KPL1"/>
    <mergeCell ref="KPM1:KPT1"/>
    <mergeCell ref="KPU1:KQB1"/>
    <mergeCell ref="KQC1:KQJ1"/>
    <mergeCell ref="KQK1:KQR1"/>
    <mergeCell ref="KQS1:KQZ1"/>
    <mergeCell ref="KRA1:KRH1"/>
    <mergeCell ref="KRI1:KRP1"/>
    <mergeCell ref="KRQ1:KRX1"/>
    <mergeCell ref="KRY1:KSF1"/>
    <mergeCell ref="KHU1:KIB1"/>
    <mergeCell ref="KIC1:KIJ1"/>
    <mergeCell ref="KIK1:KIR1"/>
    <mergeCell ref="KIS1:KIZ1"/>
    <mergeCell ref="KJA1:KJH1"/>
    <mergeCell ref="KJI1:KJP1"/>
    <mergeCell ref="KJQ1:KJX1"/>
    <mergeCell ref="KJY1:KKF1"/>
    <mergeCell ref="KKG1:KKN1"/>
    <mergeCell ref="KKO1:KKV1"/>
    <mergeCell ref="KKW1:KLD1"/>
    <mergeCell ref="KLE1:KLL1"/>
    <mergeCell ref="KLM1:KLT1"/>
    <mergeCell ref="KLU1:KMB1"/>
    <mergeCell ref="KMC1:KMJ1"/>
    <mergeCell ref="KMK1:KMR1"/>
    <mergeCell ref="KMS1:KMZ1"/>
    <mergeCell ref="KCO1:KCV1"/>
    <mergeCell ref="KCW1:KDD1"/>
    <mergeCell ref="KDE1:KDL1"/>
    <mergeCell ref="KDM1:KDT1"/>
    <mergeCell ref="KDU1:KEB1"/>
    <mergeCell ref="KEC1:KEJ1"/>
    <mergeCell ref="KEK1:KER1"/>
    <mergeCell ref="KES1:KEZ1"/>
    <mergeCell ref="KFA1:KFH1"/>
    <mergeCell ref="KFI1:KFP1"/>
    <mergeCell ref="KFQ1:KFX1"/>
    <mergeCell ref="KFY1:KGF1"/>
    <mergeCell ref="KGG1:KGN1"/>
    <mergeCell ref="KGO1:KGV1"/>
    <mergeCell ref="KGW1:KHD1"/>
    <mergeCell ref="KHE1:KHL1"/>
    <mergeCell ref="KHM1:KHT1"/>
    <mergeCell ref="JXI1:JXP1"/>
    <mergeCell ref="JXQ1:JXX1"/>
    <mergeCell ref="JXY1:JYF1"/>
    <mergeCell ref="JYG1:JYN1"/>
    <mergeCell ref="JYO1:JYV1"/>
    <mergeCell ref="JYW1:JZD1"/>
    <mergeCell ref="JZE1:JZL1"/>
    <mergeCell ref="JZM1:JZT1"/>
    <mergeCell ref="JZU1:KAB1"/>
    <mergeCell ref="KAC1:KAJ1"/>
    <mergeCell ref="KAK1:KAR1"/>
    <mergeCell ref="KAS1:KAZ1"/>
    <mergeCell ref="KBA1:KBH1"/>
    <mergeCell ref="KBI1:KBP1"/>
    <mergeCell ref="KBQ1:KBX1"/>
    <mergeCell ref="KBY1:KCF1"/>
    <mergeCell ref="KCG1:KCN1"/>
    <mergeCell ref="JSC1:JSJ1"/>
    <mergeCell ref="JSK1:JSR1"/>
    <mergeCell ref="JSS1:JSZ1"/>
    <mergeCell ref="JTA1:JTH1"/>
    <mergeCell ref="JTI1:JTP1"/>
    <mergeCell ref="JTQ1:JTX1"/>
    <mergeCell ref="JTY1:JUF1"/>
    <mergeCell ref="JUG1:JUN1"/>
    <mergeCell ref="JUO1:JUV1"/>
    <mergeCell ref="JUW1:JVD1"/>
    <mergeCell ref="JVE1:JVL1"/>
    <mergeCell ref="JVM1:JVT1"/>
    <mergeCell ref="JVU1:JWB1"/>
    <mergeCell ref="JWC1:JWJ1"/>
    <mergeCell ref="JWK1:JWR1"/>
    <mergeCell ref="JWS1:JWZ1"/>
    <mergeCell ref="JXA1:JXH1"/>
    <mergeCell ref="JMW1:JND1"/>
    <mergeCell ref="JNE1:JNL1"/>
    <mergeCell ref="JNM1:JNT1"/>
    <mergeCell ref="JNU1:JOB1"/>
    <mergeCell ref="JOC1:JOJ1"/>
    <mergeCell ref="JOK1:JOR1"/>
    <mergeCell ref="JOS1:JOZ1"/>
    <mergeCell ref="JPA1:JPH1"/>
    <mergeCell ref="JPI1:JPP1"/>
    <mergeCell ref="JPQ1:JPX1"/>
    <mergeCell ref="JPY1:JQF1"/>
    <mergeCell ref="JQG1:JQN1"/>
    <mergeCell ref="JQO1:JQV1"/>
    <mergeCell ref="JQW1:JRD1"/>
    <mergeCell ref="JRE1:JRL1"/>
    <mergeCell ref="JRM1:JRT1"/>
    <mergeCell ref="JRU1:JSB1"/>
    <mergeCell ref="JHQ1:JHX1"/>
    <mergeCell ref="JHY1:JIF1"/>
    <mergeCell ref="JIG1:JIN1"/>
    <mergeCell ref="JIO1:JIV1"/>
    <mergeCell ref="JIW1:JJD1"/>
    <mergeCell ref="JJE1:JJL1"/>
    <mergeCell ref="JJM1:JJT1"/>
    <mergeCell ref="JJU1:JKB1"/>
    <mergeCell ref="JKC1:JKJ1"/>
    <mergeCell ref="JKK1:JKR1"/>
    <mergeCell ref="JKS1:JKZ1"/>
    <mergeCell ref="JLA1:JLH1"/>
    <mergeCell ref="JLI1:JLP1"/>
    <mergeCell ref="JLQ1:JLX1"/>
    <mergeCell ref="JLY1:JMF1"/>
    <mergeCell ref="JMG1:JMN1"/>
    <mergeCell ref="JMO1:JMV1"/>
    <mergeCell ref="JCK1:JCR1"/>
    <mergeCell ref="JCS1:JCZ1"/>
    <mergeCell ref="JDA1:JDH1"/>
    <mergeCell ref="JDI1:JDP1"/>
    <mergeCell ref="JDQ1:JDX1"/>
    <mergeCell ref="JDY1:JEF1"/>
    <mergeCell ref="JEG1:JEN1"/>
    <mergeCell ref="JEO1:JEV1"/>
    <mergeCell ref="JEW1:JFD1"/>
    <mergeCell ref="JFE1:JFL1"/>
    <mergeCell ref="JFM1:JFT1"/>
    <mergeCell ref="JFU1:JGB1"/>
    <mergeCell ref="JGC1:JGJ1"/>
    <mergeCell ref="JGK1:JGR1"/>
    <mergeCell ref="JGS1:JGZ1"/>
    <mergeCell ref="JHA1:JHH1"/>
    <mergeCell ref="JHI1:JHP1"/>
    <mergeCell ref="IXE1:IXL1"/>
    <mergeCell ref="IXM1:IXT1"/>
    <mergeCell ref="IXU1:IYB1"/>
    <mergeCell ref="IYC1:IYJ1"/>
    <mergeCell ref="IYK1:IYR1"/>
    <mergeCell ref="IYS1:IYZ1"/>
    <mergeCell ref="IZA1:IZH1"/>
    <mergeCell ref="IZI1:IZP1"/>
    <mergeCell ref="IZQ1:IZX1"/>
    <mergeCell ref="IZY1:JAF1"/>
    <mergeCell ref="JAG1:JAN1"/>
    <mergeCell ref="JAO1:JAV1"/>
    <mergeCell ref="JAW1:JBD1"/>
    <mergeCell ref="JBE1:JBL1"/>
    <mergeCell ref="JBM1:JBT1"/>
    <mergeCell ref="JBU1:JCB1"/>
    <mergeCell ref="JCC1:JCJ1"/>
    <mergeCell ref="IRY1:ISF1"/>
    <mergeCell ref="ISG1:ISN1"/>
    <mergeCell ref="ISO1:ISV1"/>
    <mergeCell ref="ISW1:ITD1"/>
    <mergeCell ref="ITE1:ITL1"/>
    <mergeCell ref="ITM1:ITT1"/>
    <mergeCell ref="ITU1:IUB1"/>
    <mergeCell ref="IUC1:IUJ1"/>
    <mergeCell ref="IUK1:IUR1"/>
    <mergeCell ref="IUS1:IUZ1"/>
    <mergeCell ref="IVA1:IVH1"/>
    <mergeCell ref="IVI1:IVP1"/>
    <mergeCell ref="IVQ1:IVX1"/>
    <mergeCell ref="IVY1:IWF1"/>
    <mergeCell ref="IWG1:IWN1"/>
    <mergeCell ref="IWO1:IWV1"/>
    <mergeCell ref="IWW1:IXD1"/>
    <mergeCell ref="IMS1:IMZ1"/>
    <mergeCell ref="INA1:INH1"/>
    <mergeCell ref="INI1:INP1"/>
    <mergeCell ref="INQ1:INX1"/>
    <mergeCell ref="INY1:IOF1"/>
    <mergeCell ref="IOG1:ION1"/>
    <mergeCell ref="IOO1:IOV1"/>
    <mergeCell ref="IOW1:IPD1"/>
    <mergeCell ref="IPE1:IPL1"/>
    <mergeCell ref="IPM1:IPT1"/>
    <mergeCell ref="IPU1:IQB1"/>
    <mergeCell ref="IQC1:IQJ1"/>
    <mergeCell ref="IQK1:IQR1"/>
    <mergeCell ref="IQS1:IQZ1"/>
    <mergeCell ref="IRA1:IRH1"/>
    <mergeCell ref="IRI1:IRP1"/>
    <mergeCell ref="IRQ1:IRX1"/>
    <mergeCell ref="IHM1:IHT1"/>
    <mergeCell ref="IHU1:IIB1"/>
    <mergeCell ref="IIC1:IIJ1"/>
    <mergeCell ref="IIK1:IIR1"/>
    <mergeCell ref="IIS1:IIZ1"/>
    <mergeCell ref="IJA1:IJH1"/>
    <mergeCell ref="IJI1:IJP1"/>
    <mergeCell ref="IJQ1:IJX1"/>
    <mergeCell ref="IJY1:IKF1"/>
    <mergeCell ref="IKG1:IKN1"/>
    <mergeCell ref="IKO1:IKV1"/>
    <mergeCell ref="IKW1:ILD1"/>
    <mergeCell ref="ILE1:ILL1"/>
    <mergeCell ref="ILM1:ILT1"/>
    <mergeCell ref="ILU1:IMB1"/>
    <mergeCell ref="IMC1:IMJ1"/>
    <mergeCell ref="IMK1:IMR1"/>
    <mergeCell ref="ICG1:ICN1"/>
    <mergeCell ref="ICO1:ICV1"/>
    <mergeCell ref="ICW1:IDD1"/>
    <mergeCell ref="IDE1:IDL1"/>
    <mergeCell ref="IDM1:IDT1"/>
    <mergeCell ref="IDU1:IEB1"/>
    <mergeCell ref="IEC1:IEJ1"/>
    <mergeCell ref="IEK1:IER1"/>
    <mergeCell ref="IES1:IEZ1"/>
    <mergeCell ref="IFA1:IFH1"/>
    <mergeCell ref="IFI1:IFP1"/>
    <mergeCell ref="IFQ1:IFX1"/>
    <mergeCell ref="IFY1:IGF1"/>
    <mergeCell ref="IGG1:IGN1"/>
    <mergeCell ref="IGO1:IGV1"/>
    <mergeCell ref="IGW1:IHD1"/>
    <mergeCell ref="IHE1:IHL1"/>
    <mergeCell ref="HXA1:HXH1"/>
    <mergeCell ref="HXI1:HXP1"/>
    <mergeCell ref="HXQ1:HXX1"/>
    <mergeCell ref="HXY1:HYF1"/>
    <mergeCell ref="HYG1:HYN1"/>
    <mergeCell ref="HYO1:HYV1"/>
    <mergeCell ref="HYW1:HZD1"/>
    <mergeCell ref="HZE1:HZL1"/>
    <mergeCell ref="HZM1:HZT1"/>
    <mergeCell ref="HZU1:IAB1"/>
    <mergeCell ref="IAC1:IAJ1"/>
    <mergeCell ref="IAK1:IAR1"/>
    <mergeCell ref="IAS1:IAZ1"/>
    <mergeCell ref="IBA1:IBH1"/>
    <mergeCell ref="IBI1:IBP1"/>
    <mergeCell ref="IBQ1:IBX1"/>
    <mergeCell ref="IBY1:ICF1"/>
    <mergeCell ref="HRU1:HSB1"/>
    <mergeCell ref="HSC1:HSJ1"/>
    <mergeCell ref="HSK1:HSR1"/>
    <mergeCell ref="HSS1:HSZ1"/>
    <mergeCell ref="HTA1:HTH1"/>
    <mergeCell ref="HTI1:HTP1"/>
    <mergeCell ref="HTQ1:HTX1"/>
    <mergeCell ref="HTY1:HUF1"/>
    <mergeCell ref="HUG1:HUN1"/>
    <mergeCell ref="HUO1:HUV1"/>
    <mergeCell ref="HUW1:HVD1"/>
    <mergeCell ref="HVE1:HVL1"/>
    <mergeCell ref="HVM1:HVT1"/>
    <mergeCell ref="HVU1:HWB1"/>
    <mergeCell ref="HWC1:HWJ1"/>
    <mergeCell ref="HWK1:HWR1"/>
    <mergeCell ref="HWS1:HWZ1"/>
    <mergeCell ref="HMO1:HMV1"/>
    <mergeCell ref="HMW1:HND1"/>
    <mergeCell ref="HNE1:HNL1"/>
    <mergeCell ref="HNM1:HNT1"/>
    <mergeCell ref="HNU1:HOB1"/>
    <mergeCell ref="HOC1:HOJ1"/>
    <mergeCell ref="HOK1:HOR1"/>
    <mergeCell ref="HOS1:HOZ1"/>
    <mergeCell ref="HPA1:HPH1"/>
    <mergeCell ref="HPI1:HPP1"/>
    <mergeCell ref="HPQ1:HPX1"/>
    <mergeCell ref="HPY1:HQF1"/>
    <mergeCell ref="HQG1:HQN1"/>
    <mergeCell ref="HQO1:HQV1"/>
    <mergeCell ref="HQW1:HRD1"/>
    <mergeCell ref="HRE1:HRL1"/>
    <mergeCell ref="HRM1:HRT1"/>
    <mergeCell ref="HHI1:HHP1"/>
    <mergeCell ref="HHQ1:HHX1"/>
    <mergeCell ref="HHY1:HIF1"/>
    <mergeCell ref="HIG1:HIN1"/>
    <mergeCell ref="HIO1:HIV1"/>
    <mergeCell ref="HIW1:HJD1"/>
    <mergeCell ref="HJE1:HJL1"/>
    <mergeCell ref="HJM1:HJT1"/>
    <mergeCell ref="HJU1:HKB1"/>
    <mergeCell ref="HKC1:HKJ1"/>
    <mergeCell ref="HKK1:HKR1"/>
    <mergeCell ref="HKS1:HKZ1"/>
    <mergeCell ref="HLA1:HLH1"/>
    <mergeCell ref="HLI1:HLP1"/>
    <mergeCell ref="HLQ1:HLX1"/>
    <mergeCell ref="HLY1:HMF1"/>
    <mergeCell ref="HMG1:HMN1"/>
    <mergeCell ref="HCC1:HCJ1"/>
    <mergeCell ref="HCK1:HCR1"/>
    <mergeCell ref="HCS1:HCZ1"/>
    <mergeCell ref="HDA1:HDH1"/>
    <mergeCell ref="HDI1:HDP1"/>
    <mergeCell ref="HDQ1:HDX1"/>
    <mergeCell ref="HDY1:HEF1"/>
    <mergeCell ref="HEG1:HEN1"/>
    <mergeCell ref="HEO1:HEV1"/>
    <mergeCell ref="HEW1:HFD1"/>
    <mergeCell ref="HFE1:HFL1"/>
    <mergeCell ref="HFM1:HFT1"/>
    <mergeCell ref="HFU1:HGB1"/>
    <mergeCell ref="HGC1:HGJ1"/>
    <mergeCell ref="HGK1:HGR1"/>
    <mergeCell ref="HGS1:HGZ1"/>
    <mergeCell ref="HHA1:HHH1"/>
    <mergeCell ref="GWW1:GXD1"/>
    <mergeCell ref="GXE1:GXL1"/>
    <mergeCell ref="GXM1:GXT1"/>
    <mergeCell ref="GXU1:GYB1"/>
    <mergeCell ref="GYC1:GYJ1"/>
    <mergeCell ref="GYK1:GYR1"/>
    <mergeCell ref="GYS1:GYZ1"/>
    <mergeCell ref="GZA1:GZH1"/>
    <mergeCell ref="GZI1:GZP1"/>
    <mergeCell ref="GZQ1:GZX1"/>
    <mergeCell ref="GZY1:HAF1"/>
    <mergeCell ref="HAG1:HAN1"/>
    <mergeCell ref="HAO1:HAV1"/>
    <mergeCell ref="HAW1:HBD1"/>
    <mergeCell ref="HBE1:HBL1"/>
    <mergeCell ref="HBM1:HBT1"/>
    <mergeCell ref="HBU1:HCB1"/>
    <mergeCell ref="GRQ1:GRX1"/>
    <mergeCell ref="GRY1:GSF1"/>
    <mergeCell ref="GSG1:GSN1"/>
    <mergeCell ref="GSO1:GSV1"/>
    <mergeCell ref="GSW1:GTD1"/>
    <mergeCell ref="GTE1:GTL1"/>
    <mergeCell ref="GTM1:GTT1"/>
    <mergeCell ref="GTU1:GUB1"/>
    <mergeCell ref="GUC1:GUJ1"/>
    <mergeCell ref="GUK1:GUR1"/>
    <mergeCell ref="GUS1:GUZ1"/>
    <mergeCell ref="GVA1:GVH1"/>
    <mergeCell ref="GVI1:GVP1"/>
    <mergeCell ref="GVQ1:GVX1"/>
    <mergeCell ref="GVY1:GWF1"/>
    <mergeCell ref="GWG1:GWN1"/>
    <mergeCell ref="GWO1:GWV1"/>
    <mergeCell ref="GMK1:GMR1"/>
    <mergeCell ref="GMS1:GMZ1"/>
    <mergeCell ref="GNA1:GNH1"/>
    <mergeCell ref="GNI1:GNP1"/>
    <mergeCell ref="GNQ1:GNX1"/>
    <mergeCell ref="GNY1:GOF1"/>
    <mergeCell ref="GOG1:GON1"/>
    <mergeCell ref="GOO1:GOV1"/>
    <mergeCell ref="GOW1:GPD1"/>
    <mergeCell ref="GPE1:GPL1"/>
    <mergeCell ref="GPM1:GPT1"/>
    <mergeCell ref="GPU1:GQB1"/>
    <mergeCell ref="GQC1:GQJ1"/>
    <mergeCell ref="GQK1:GQR1"/>
    <mergeCell ref="GQS1:GQZ1"/>
    <mergeCell ref="GRA1:GRH1"/>
    <mergeCell ref="GRI1:GRP1"/>
    <mergeCell ref="GHE1:GHL1"/>
    <mergeCell ref="GHM1:GHT1"/>
    <mergeCell ref="GHU1:GIB1"/>
    <mergeCell ref="GIC1:GIJ1"/>
    <mergeCell ref="GIK1:GIR1"/>
    <mergeCell ref="GIS1:GIZ1"/>
    <mergeCell ref="GJA1:GJH1"/>
    <mergeCell ref="GJI1:GJP1"/>
    <mergeCell ref="GJQ1:GJX1"/>
    <mergeCell ref="GJY1:GKF1"/>
    <mergeCell ref="GKG1:GKN1"/>
    <mergeCell ref="GKO1:GKV1"/>
    <mergeCell ref="GKW1:GLD1"/>
    <mergeCell ref="GLE1:GLL1"/>
    <mergeCell ref="GLM1:GLT1"/>
    <mergeCell ref="GLU1:GMB1"/>
    <mergeCell ref="GMC1:GMJ1"/>
    <mergeCell ref="GBY1:GCF1"/>
    <mergeCell ref="GCG1:GCN1"/>
    <mergeCell ref="GCO1:GCV1"/>
    <mergeCell ref="GCW1:GDD1"/>
    <mergeCell ref="GDE1:GDL1"/>
    <mergeCell ref="GDM1:GDT1"/>
    <mergeCell ref="GDU1:GEB1"/>
    <mergeCell ref="GEC1:GEJ1"/>
    <mergeCell ref="GEK1:GER1"/>
    <mergeCell ref="GES1:GEZ1"/>
    <mergeCell ref="GFA1:GFH1"/>
    <mergeCell ref="GFI1:GFP1"/>
    <mergeCell ref="GFQ1:GFX1"/>
    <mergeCell ref="GFY1:GGF1"/>
    <mergeCell ref="GGG1:GGN1"/>
    <mergeCell ref="GGO1:GGV1"/>
    <mergeCell ref="GGW1:GHD1"/>
    <mergeCell ref="FWS1:FWZ1"/>
    <mergeCell ref="FXA1:FXH1"/>
    <mergeCell ref="FXI1:FXP1"/>
    <mergeCell ref="FXQ1:FXX1"/>
    <mergeCell ref="FXY1:FYF1"/>
    <mergeCell ref="FYG1:FYN1"/>
    <mergeCell ref="FYO1:FYV1"/>
    <mergeCell ref="FYW1:FZD1"/>
    <mergeCell ref="FZE1:FZL1"/>
    <mergeCell ref="FZM1:FZT1"/>
    <mergeCell ref="FZU1:GAB1"/>
    <mergeCell ref="GAC1:GAJ1"/>
    <mergeCell ref="GAK1:GAR1"/>
    <mergeCell ref="GAS1:GAZ1"/>
    <mergeCell ref="GBA1:GBH1"/>
    <mergeCell ref="GBI1:GBP1"/>
    <mergeCell ref="GBQ1:GBX1"/>
    <mergeCell ref="FRM1:FRT1"/>
    <mergeCell ref="FRU1:FSB1"/>
    <mergeCell ref="FSC1:FSJ1"/>
    <mergeCell ref="FSK1:FSR1"/>
    <mergeCell ref="FSS1:FSZ1"/>
    <mergeCell ref="FTA1:FTH1"/>
    <mergeCell ref="FTI1:FTP1"/>
    <mergeCell ref="FTQ1:FTX1"/>
    <mergeCell ref="FTY1:FUF1"/>
    <mergeCell ref="FUG1:FUN1"/>
    <mergeCell ref="FUO1:FUV1"/>
    <mergeCell ref="FUW1:FVD1"/>
    <mergeCell ref="FVE1:FVL1"/>
    <mergeCell ref="FVM1:FVT1"/>
    <mergeCell ref="FVU1:FWB1"/>
    <mergeCell ref="FWC1:FWJ1"/>
    <mergeCell ref="FWK1:FWR1"/>
    <mergeCell ref="FMG1:FMN1"/>
    <mergeCell ref="FMO1:FMV1"/>
    <mergeCell ref="FMW1:FND1"/>
    <mergeCell ref="FNE1:FNL1"/>
    <mergeCell ref="FNM1:FNT1"/>
    <mergeCell ref="FNU1:FOB1"/>
    <mergeCell ref="FOC1:FOJ1"/>
    <mergeCell ref="FOK1:FOR1"/>
    <mergeCell ref="FOS1:FOZ1"/>
    <mergeCell ref="FPA1:FPH1"/>
    <mergeCell ref="FPI1:FPP1"/>
    <mergeCell ref="FPQ1:FPX1"/>
    <mergeCell ref="FPY1:FQF1"/>
    <mergeCell ref="FQG1:FQN1"/>
    <mergeCell ref="FQO1:FQV1"/>
    <mergeCell ref="FQW1:FRD1"/>
    <mergeCell ref="FRE1:FRL1"/>
    <mergeCell ref="FHA1:FHH1"/>
    <mergeCell ref="FHI1:FHP1"/>
    <mergeCell ref="FHQ1:FHX1"/>
    <mergeCell ref="FHY1:FIF1"/>
    <mergeCell ref="FIG1:FIN1"/>
    <mergeCell ref="FIO1:FIV1"/>
    <mergeCell ref="FIW1:FJD1"/>
    <mergeCell ref="FJE1:FJL1"/>
    <mergeCell ref="FJM1:FJT1"/>
    <mergeCell ref="FJU1:FKB1"/>
    <mergeCell ref="FKC1:FKJ1"/>
    <mergeCell ref="FKK1:FKR1"/>
    <mergeCell ref="FKS1:FKZ1"/>
    <mergeCell ref="FLA1:FLH1"/>
    <mergeCell ref="FLI1:FLP1"/>
    <mergeCell ref="FLQ1:FLX1"/>
    <mergeCell ref="FLY1:FMF1"/>
    <mergeCell ref="FBU1:FCB1"/>
    <mergeCell ref="FCC1:FCJ1"/>
    <mergeCell ref="FCK1:FCR1"/>
    <mergeCell ref="FCS1:FCZ1"/>
    <mergeCell ref="FDA1:FDH1"/>
    <mergeCell ref="FDI1:FDP1"/>
    <mergeCell ref="FDQ1:FDX1"/>
    <mergeCell ref="FDY1:FEF1"/>
    <mergeCell ref="FEG1:FEN1"/>
    <mergeCell ref="FEO1:FEV1"/>
    <mergeCell ref="FEW1:FFD1"/>
    <mergeCell ref="FFE1:FFL1"/>
    <mergeCell ref="FFM1:FFT1"/>
    <mergeCell ref="FFU1:FGB1"/>
    <mergeCell ref="FGC1:FGJ1"/>
    <mergeCell ref="FGK1:FGR1"/>
    <mergeCell ref="FGS1:FGZ1"/>
    <mergeCell ref="EWO1:EWV1"/>
    <mergeCell ref="EWW1:EXD1"/>
    <mergeCell ref="EXE1:EXL1"/>
    <mergeCell ref="EXM1:EXT1"/>
    <mergeCell ref="EXU1:EYB1"/>
    <mergeCell ref="EYC1:EYJ1"/>
    <mergeCell ref="EYK1:EYR1"/>
    <mergeCell ref="EYS1:EYZ1"/>
    <mergeCell ref="EZA1:EZH1"/>
    <mergeCell ref="EZI1:EZP1"/>
    <mergeCell ref="EZQ1:EZX1"/>
    <mergeCell ref="EZY1:FAF1"/>
    <mergeCell ref="FAG1:FAN1"/>
    <mergeCell ref="FAO1:FAV1"/>
    <mergeCell ref="FAW1:FBD1"/>
    <mergeCell ref="FBE1:FBL1"/>
    <mergeCell ref="FBM1:FBT1"/>
    <mergeCell ref="ERI1:ERP1"/>
    <mergeCell ref="ERQ1:ERX1"/>
    <mergeCell ref="ERY1:ESF1"/>
    <mergeCell ref="ESG1:ESN1"/>
    <mergeCell ref="ESO1:ESV1"/>
    <mergeCell ref="ESW1:ETD1"/>
    <mergeCell ref="ETE1:ETL1"/>
    <mergeCell ref="ETM1:ETT1"/>
    <mergeCell ref="ETU1:EUB1"/>
    <mergeCell ref="EUC1:EUJ1"/>
    <mergeCell ref="EUK1:EUR1"/>
    <mergeCell ref="EUS1:EUZ1"/>
    <mergeCell ref="EVA1:EVH1"/>
    <mergeCell ref="EVI1:EVP1"/>
    <mergeCell ref="EVQ1:EVX1"/>
    <mergeCell ref="EVY1:EWF1"/>
    <mergeCell ref="EWG1:EWN1"/>
    <mergeCell ref="EMC1:EMJ1"/>
    <mergeCell ref="EMK1:EMR1"/>
    <mergeCell ref="EMS1:EMZ1"/>
    <mergeCell ref="ENA1:ENH1"/>
    <mergeCell ref="ENI1:ENP1"/>
    <mergeCell ref="ENQ1:ENX1"/>
    <mergeCell ref="ENY1:EOF1"/>
    <mergeCell ref="EOG1:EON1"/>
    <mergeCell ref="EOO1:EOV1"/>
    <mergeCell ref="EOW1:EPD1"/>
    <mergeCell ref="EPE1:EPL1"/>
    <mergeCell ref="EPM1:EPT1"/>
    <mergeCell ref="EPU1:EQB1"/>
    <mergeCell ref="EQC1:EQJ1"/>
    <mergeCell ref="EQK1:EQR1"/>
    <mergeCell ref="EQS1:EQZ1"/>
    <mergeCell ref="ERA1:ERH1"/>
    <mergeCell ref="EGW1:EHD1"/>
    <mergeCell ref="EHE1:EHL1"/>
    <mergeCell ref="EHM1:EHT1"/>
    <mergeCell ref="EHU1:EIB1"/>
    <mergeCell ref="EIC1:EIJ1"/>
    <mergeCell ref="EIK1:EIR1"/>
    <mergeCell ref="EIS1:EIZ1"/>
    <mergeCell ref="EJA1:EJH1"/>
    <mergeCell ref="EJI1:EJP1"/>
    <mergeCell ref="EJQ1:EJX1"/>
    <mergeCell ref="EJY1:EKF1"/>
    <mergeCell ref="EKG1:EKN1"/>
    <mergeCell ref="EKO1:EKV1"/>
    <mergeCell ref="EKW1:ELD1"/>
    <mergeCell ref="ELE1:ELL1"/>
    <mergeCell ref="ELM1:ELT1"/>
    <mergeCell ref="ELU1:EMB1"/>
    <mergeCell ref="EBQ1:EBX1"/>
    <mergeCell ref="EBY1:ECF1"/>
    <mergeCell ref="ECG1:ECN1"/>
    <mergeCell ref="ECO1:ECV1"/>
    <mergeCell ref="ECW1:EDD1"/>
    <mergeCell ref="EDE1:EDL1"/>
    <mergeCell ref="EDM1:EDT1"/>
    <mergeCell ref="EDU1:EEB1"/>
    <mergeCell ref="EEC1:EEJ1"/>
    <mergeCell ref="EEK1:EER1"/>
    <mergeCell ref="EES1:EEZ1"/>
    <mergeCell ref="EFA1:EFH1"/>
    <mergeCell ref="EFI1:EFP1"/>
    <mergeCell ref="EFQ1:EFX1"/>
    <mergeCell ref="EFY1:EGF1"/>
    <mergeCell ref="EGG1:EGN1"/>
    <mergeCell ref="EGO1:EGV1"/>
    <mergeCell ref="DWK1:DWR1"/>
    <mergeCell ref="DWS1:DWZ1"/>
    <mergeCell ref="DXA1:DXH1"/>
    <mergeCell ref="DXI1:DXP1"/>
    <mergeCell ref="DXQ1:DXX1"/>
    <mergeCell ref="DXY1:DYF1"/>
    <mergeCell ref="DYG1:DYN1"/>
    <mergeCell ref="DYO1:DYV1"/>
    <mergeCell ref="DYW1:DZD1"/>
    <mergeCell ref="DZE1:DZL1"/>
    <mergeCell ref="DZM1:DZT1"/>
    <mergeCell ref="DZU1:EAB1"/>
    <mergeCell ref="EAC1:EAJ1"/>
    <mergeCell ref="EAK1:EAR1"/>
    <mergeCell ref="EAS1:EAZ1"/>
    <mergeCell ref="EBA1:EBH1"/>
    <mergeCell ref="EBI1:EBP1"/>
    <mergeCell ref="DRE1:DRL1"/>
    <mergeCell ref="DRM1:DRT1"/>
    <mergeCell ref="DRU1:DSB1"/>
    <mergeCell ref="DSC1:DSJ1"/>
    <mergeCell ref="DSK1:DSR1"/>
    <mergeCell ref="DSS1:DSZ1"/>
    <mergeCell ref="DTA1:DTH1"/>
    <mergeCell ref="DTI1:DTP1"/>
    <mergeCell ref="DTQ1:DTX1"/>
    <mergeCell ref="DTY1:DUF1"/>
    <mergeCell ref="DUG1:DUN1"/>
    <mergeCell ref="DUO1:DUV1"/>
    <mergeCell ref="DUW1:DVD1"/>
    <mergeCell ref="DVE1:DVL1"/>
    <mergeCell ref="DVM1:DVT1"/>
    <mergeCell ref="DVU1:DWB1"/>
    <mergeCell ref="DWC1:DWJ1"/>
    <mergeCell ref="DLY1:DMF1"/>
    <mergeCell ref="DMG1:DMN1"/>
    <mergeCell ref="DMO1:DMV1"/>
    <mergeCell ref="DMW1:DND1"/>
    <mergeCell ref="DNE1:DNL1"/>
    <mergeCell ref="DNM1:DNT1"/>
    <mergeCell ref="DNU1:DOB1"/>
    <mergeCell ref="DOC1:DOJ1"/>
    <mergeCell ref="DOK1:DOR1"/>
    <mergeCell ref="DOS1:DOZ1"/>
    <mergeCell ref="DPA1:DPH1"/>
    <mergeCell ref="DPI1:DPP1"/>
    <mergeCell ref="DPQ1:DPX1"/>
    <mergeCell ref="DPY1:DQF1"/>
    <mergeCell ref="DQG1:DQN1"/>
    <mergeCell ref="DQO1:DQV1"/>
    <mergeCell ref="DQW1:DRD1"/>
    <mergeCell ref="DGS1:DGZ1"/>
    <mergeCell ref="DHA1:DHH1"/>
    <mergeCell ref="DHI1:DHP1"/>
    <mergeCell ref="DHQ1:DHX1"/>
    <mergeCell ref="DHY1:DIF1"/>
    <mergeCell ref="DIG1:DIN1"/>
    <mergeCell ref="DIO1:DIV1"/>
    <mergeCell ref="DIW1:DJD1"/>
    <mergeCell ref="DJE1:DJL1"/>
    <mergeCell ref="DJM1:DJT1"/>
    <mergeCell ref="DJU1:DKB1"/>
    <mergeCell ref="DKC1:DKJ1"/>
    <mergeCell ref="DKK1:DKR1"/>
    <mergeCell ref="DKS1:DKZ1"/>
    <mergeCell ref="DLA1:DLH1"/>
    <mergeCell ref="DLI1:DLP1"/>
    <mergeCell ref="DLQ1:DLX1"/>
    <mergeCell ref="DBM1:DBT1"/>
    <mergeCell ref="DBU1:DCB1"/>
    <mergeCell ref="DCC1:DCJ1"/>
    <mergeCell ref="DCK1:DCR1"/>
    <mergeCell ref="DCS1:DCZ1"/>
    <mergeCell ref="DDA1:DDH1"/>
    <mergeCell ref="DDI1:DDP1"/>
    <mergeCell ref="DDQ1:DDX1"/>
    <mergeCell ref="DDY1:DEF1"/>
    <mergeCell ref="DEG1:DEN1"/>
    <mergeCell ref="DEO1:DEV1"/>
    <mergeCell ref="DEW1:DFD1"/>
    <mergeCell ref="DFE1:DFL1"/>
    <mergeCell ref="DFM1:DFT1"/>
    <mergeCell ref="DFU1:DGB1"/>
    <mergeCell ref="DGC1:DGJ1"/>
    <mergeCell ref="DGK1:DGR1"/>
    <mergeCell ref="CWG1:CWN1"/>
    <mergeCell ref="CWO1:CWV1"/>
    <mergeCell ref="CWW1:CXD1"/>
    <mergeCell ref="CXE1:CXL1"/>
    <mergeCell ref="CXM1:CXT1"/>
    <mergeCell ref="CXU1:CYB1"/>
    <mergeCell ref="CYC1:CYJ1"/>
    <mergeCell ref="CYK1:CYR1"/>
    <mergeCell ref="CYS1:CYZ1"/>
    <mergeCell ref="CZA1:CZH1"/>
    <mergeCell ref="CZI1:CZP1"/>
    <mergeCell ref="CZQ1:CZX1"/>
    <mergeCell ref="CZY1:DAF1"/>
    <mergeCell ref="DAG1:DAN1"/>
    <mergeCell ref="DAO1:DAV1"/>
    <mergeCell ref="DAW1:DBD1"/>
    <mergeCell ref="DBE1:DBL1"/>
    <mergeCell ref="CRA1:CRH1"/>
    <mergeCell ref="CRI1:CRP1"/>
    <mergeCell ref="CRQ1:CRX1"/>
    <mergeCell ref="CRY1:CSF1"/>
    <mergeCell ref="CSG1:CSN1"/>
    <mergeCell ref="CSO1:CSV1"/>
    <mergeCell ref="CSW1:CTD1"/>
    <mergeCell ref="CTE1:CTL1"/>
    <mergeCell ref="CTM1:CTT1"/>
    <mergeCell ref="CTU1:CUB1"/>
    <mergeCell ref="CUC1:CUJ1"/>
    <mergeCell ref="CUK1:CUR1"/>
    <mergeCell ref="CUS1:CUZ1"/>
    <mergeCell ref="CVA1:CVH1"/>
    <mergeCell ref="CVI1:CVP1"/>
    <mergeCell ref="CVQ1:CVX1"/>
    <mergeCell ref="CVY1:CWF1"/>
    <mergeCell ref="CLU1:CMB1"/>
    <mergeCell ref="CMC1:CMJ1"/>
    <mergeCell ref="CMK1:CMR1"/>
    <mergeCell ref="CMS1:CMZ1"/>
    <mergeCell ref="CNA1:CNH1"/>
    <mergeCell ref="CNI1:CNP1"/>
    <mergeCell ref="CNQ1:CNX1"/>
    <mergeCell ref="CNY1:COF1"/>
    <mergeCell ref="COG1:CON1"/>
    <mergeCell ref="COO1:COV1"/>
    <mergeCell ref="COW1:CPD1"/>
    <mergeCell ref="CPE1:CPL1"/>
    <mergeCell ref="CPM1:CPT1"/>
    <mergeCell ref="CPU1:CQB1"/>
    <mergeCell ref="CQC1:CQJ1"/>
    <mergeCell ref="CQK1:CQR1"/>
    <mergeCell ref="CQS1:CQZ1"/>
    <mergeCell ref="CGO1:CGV1"/>
    <mergeCell ref="CGW1:CHD1"/>
    <mergeCell ref="CHE1:CHL1"/>
    <mergeCell ref="CHM1:CHT1"/>
    <mergeCell ref="CHU1:CIB1"/>
    <mergeCell ref="CIC1:CIJ1"/>
    <mergeCell ref="CIK1:CIR1"/>
    <mergeCell ref="CIS1:CIZ1"/>
    <mergeCell ref="CJA1:CJH1"/>
    <mergeCell ref="CJI1:CJP1"/>
    <mergeCell ref="CJQ1:CJX1"/>
    <mergeCell ref="CJY1:CKF1"/>
    <mergeCell ref="CKG1:CKN1"/>
    <mergeCell ref="CKO1:CKV1"/>
    <mergeCell ref="CKW1:CLD1"/>
    <mergeCell ref="CLE1:CLL1"/>
    <mergeCell ref="CLM1:CLT1"/>
    <mergeCell ref="CBI1:CBP1"/>
    <mergeCell ref="CBQ1:CBX1"/>
    <mergeCell ref="CBY1:CCF1"/>
    <mergeCell ref="CCG1:CCN1"/>
    <mergeCell ref="CCO1:CCV1"/>
    <mergeCell ref="CCW1:CDD1"/>
    <mergeCell ref="CDE1:CDL1"/>
    <mergeCell ref="CDM1:CDT1"/>
    <mergeCell ref="CDU1:CEB1"/>
    <mergeCell ref="CEC1:CEJ1"/>
    <mergeCell ref="CEK1:CER1"/>
    <mergeCell ref="CES1:CEZ1"/>
    <mergeCell ref="CFA1:CFH1"/>
    <mergeCell ref="CFI1:CFP1"/>
    <mergeCell ref="CFQ1:CFX1"/>
    <mergeCell ref="CFY1:CGF1"/>
    <mergeCell ref="CGG1:CGN1"/>
    <mergeCell ref="BWC1:BWJ1"/>
    <mergeCell ref="BWK1:BWR1"/>
    <mergeCell ref="BWS1:BWZ1"/>
    <mergeCell ref="BXA1:BXH1"/>
    <mergeCell ref="BXI1:BXP1"/>
    <mergeCell ref="BXQ1:BXX1"/>
    <mergeCell ref="BXY1:BYF1"/>
    <mergeCell ref="BYG1:BYN1"/>
    <mergeCell ref="BYO1:BYV1"/>
    <mergeCell ref="BYW1:BZD1"/>
    <mergeCell ref="BZE1:BZL1"/>
    <mergeCell ref="BZM1:BZT1"/>
    <mergeCell ref="BZU1:CAB1"/>
    <mergeCell ref="CAC1:CAJ1"/>
    <mergeCell ref="CAK1:CAR1"/>
    <mergeCell ref="CAS1:CAZ1"/>
    <mergeCell ref="CBA1:CBH1"/>
    <mergeCell ref="BQW1:BRD1"/>
    <mergeCell ref="BRE1:BRL1"/>
    <mergeCell ref="BRM1:BRT1"/>
    <mergeCell ref="BRU1:BSB1"/>
    <mergeCell ref="BSC1:BSJ1"/>
    <mergeCell ref="BSK1:BSR1"/>
    <mergeCell ref="BSS1:BSZ1"/>
    <mergeCell ref="BTA1:BTH1"/>
    <mergeCell ref="BTI1:BTP1"/>
    <mergeCell ref="BTQ1:BTX1"/>
    <mergeCell ref="BTY1:BUF1"/>
    <mergeCell ref="BUG1:BUN1"/>
    <mergeCell ref="BUO1:BUV1"/>
    <mergeCell ref="BUW1:BVD1"/>
    <mergeCell ref="BVE1:BVL1"/>
    <mergeCell ref="BVM1:BVT1"/>
    <mergeCell ref="BVU1:BWB1"/>
    <mergeCell ref="BLQ1:BLX1"/>
    <mergeCell ref="BLY1:BMF1"/>
    <mergeCell ref="BMG1:BMN1"/>
    <mergeCell ref="BMO1:BMV1"/>
    <mergeCell ref="BMW1:BND1"/>
    <mergeCell ref="BNE1:BNL1"/>
    <mergeCell ref="BNM1:BNT1"/>
    <mergeCell ref="BNU1:BOB1"/>
    <mergeCell ref="BOC1:BOJ1"/>
    <mergeCell ref="BOK1:BOR1"/>
    <mergeCell ref="BOS1:BOZ1"/>
    <mergeCell ref="BPA1:BPH1"/>
    <mergeCell ref="BPI1:BPP1"/>
    <mergeCell ref="BPQ1:BPX1"/>
    <mergeCell ref="BPY1:BQF1"/>
    <mergeCell ref="BQG1:BQN1"/>
    <mergeCell ref="BQO1:BQV1"/>
    <mergeCell ref="BGK1:BGR1"/>
    <mergeCell ref="BGS1:BGZ1"/>
    <mergeCell ref="BHA1:BHH1"/>
    <mergeCell ref="BHI1:BHP1"/>
    <mergeCell ref="BHQ1:BHX1"/>
    <mergeCell ref="BHY1:BIF1"/>
    <mergeCell ref="BIG1:BIN1"/>
    <mergeCell ref="BIO1:BIV1"/>
    <mergeCell ref="BIW1:BJD1"/>
    <mergeCell ref="BJE1:BJL1"/>
    <mergeCell ref="BJM1:BJT1"/>
    <mergeCell ref="BJU1:BKB1"/>
    <mergeCell ref="BKC1:BKJ1"/>
    <mergeCell ref="BKK1:BKR1"/>
    <mergeCell ref="BKS1:BKZ1"/>
    <mergeCell ref="BLA1:BLH1"/>
    <mergeCell ref="BLI1:BLP1"/>
    <mergeCell ref="BBE1:BBL1"/>
    <mergeCell ref="BBM1:BBT1"/>
    <mergeCell ref="BBU1:BCB1"/>
    <mergeCell ref="BCC1:BCJ1"/>
    <mergeCell ref="BCK1:BCR1"/>
    <mergeCell ref="BCS1:BCZ1"/>
    <mergeCell ref="BDA1:BDH1"/>
    <mergeCell ref="BDI1:BDP1"/>
    <mergeCell ref="BDQ1:BDX1"/>
    <mergeCell ref="BDY1:BEF1"/>
    <mergeCell ref="BEG1:BEN1"/>
    <mergeCell ref="BEO1:BEV1"/>
    <mergeCell ref="BEW1:BFD1"/>
    <mergeCell ref="BFE1:BFL1"/>
    <mergeCell ref="BFM1:BFT1"/>
    <mergeCell ref="BFU1:BGB1"/>
    <mergeCell ref="BGC1:BGJ1"/>
    <mergeCell ref="AVY1:AWF1"/>
    <mergeCell ref="AWG1:AWN1"/>
    <mergeCell ref="AWO1:AWV1"/>
    <mergeCell ref="AWW1:AXD1"/>
    <mergeCell ref="AXE1:AXL1"/>
    <mergeCell ref="AXM1:AXT1"/>
    <mergeCell ref="AXU1:AYB1"/>
    <mergeCell ref="AYC1:AYJ1"/>
    <mergeCell ref="AYK1:AYR1"/>
    <mergeCell ref="AYS1:AYZ1"/>
    <mergeCell ref="AZA1:AZH1"/>
    <mergeCell ref="AZI1:AZP1"/>
    <mergeCell ref="AZQ1:AZX1"/>
    <mergeCell ref="AZY1:BAF1"/>
    <mergeCell ref="BAG1:BAN1"/>
    <mergeCell ref="BAO1:BAV1"/>
    <mergeCell ref="BAW1:BBD1"/>
    <mergeCell ref="AQS1:AQZ1"/>
    <mergeCell ref="ARA1:ARH1"/>
    <mergeCell ref="ARI1:ARP1"/>
    <mergeCell ref="ARQ1:ARX1"/>
    <mergeCell ref="ARY1:ASF1"/>
    <mergeCell ref="ASG1:ASN1"/>
    <mergeCell ref="ASO1:ASV1"/>
    <mergeCell ref="ASW1:ATD1"/>
    <mergeCell ref="ATE1:ATL1"/>
    <mergeCell ref="ATM1:ATT1"/>
    <mergeCell ref="ATU1:AUB1"/>
    <mergeCell ref="AUC1:AUJ1"/>
    <mergeCell ref="AUK1:AUR1"/>
    <mergeCell ref="AUS1:AUZ1"/>
    <mergeCell ref="AVA1:AVH1"/>
    <mergeCell ref="AVI1:AVP1"/>
    <mergeCell ref="AVQ1:AVX1"/>
    <mergeCell ref="ALM1:ALT1"/>
    <mergeCell ref="ALU1:AMB1"/>
    <mergeCell ref="AMC1:AMJ1"/>
    <mergeCell ref="AMK1:AMR1"/>
    <mergeCell ref="AMS1:AMZ1"/>
    <mergeCell ref="ANA1:ANH1"/>
    <mergeCell ref="ANI1:ANP1"/>
    <mergeCell ref="ANQ1:ANX1"/>
    <mergeCell ref="ANY1:AOF1"/>
    <mergeCell ref="AOG1:AON1"/>
    <mergeCell ref="AOO1:AOV1"/>
    <mergeCell ref="AOW1:APD1"/>
    <mergeCell ref="APE1:APL1"/>
    <mergeCell ref="APM1:APT1"/>
    <mergeCell ref="APU1:AQB1"/>
    <mergeCell ref="AQC1:AQJ1"/>
    <mergeCell ref="AQK1:AQR1"/>
    <mergeCell ref="AGG1:AGN1"/>
    <mergeCell ref="AGO1:AGV1"/>
    <mergeCell ref="AGW1:AHD1"/>
    <mergeCell ref="AHE1:AHL1"/>
    <mergeCell ref="AHM1:AHT1"/>
    <mergeCell ref="AHU1:AIB1"/>
    <mergeCell ref="AIC1:AIJ1"/>
    <mergeCell ref="AIK1:AIR1"/>
    <mergeCell ref="AIS1:AIZ1"/>
    <mergeCell ref="AJA1:AJH1"/>
    <mergeCell ref="AJI1:AJP1"/>
    <mergeCell ref="AJQ1:AJX1"/>
    <mergeCell ref="AJY1:AKF1"/>
    <mergeCell ref="AKG1:AKN1"/>
    <mergeCell ref="AKO1:AKV1"/>
    <mergeCell ref="AKW1:ALD1"/>
    <mergeCell ref="ALE1:ALL1"/>
    <mergeCell ref="ABA1:ABH1"/>
    <mergeCell ref="ABI1:ABP1"/>
    <mergeCell ref="ABQ1:ABX1"/>
    <mergeCell ref="ABY1:ACF1"/>
    <mergeCell ref="ACG1:ACN1"/>
    <mergeCell ref="ACO1:ACV1"/>
    <mergeCell ref="ACW1:ADD1"/>
    <mergeCell ref="ADE1:ADL1"/>
    <mergeCell ref="ADM1:ADT1"/>
    <mergeCell ref="ADU1:AEB1"/>
    <mergeCell ref="AEC1:AEJ1"/>
    <mergeCell ref="AEK1:AER1"/>
    <mergeCell ref="AES1:AEZ1"/>
    <mergeCell ref="AFA1:AFH1"/>
    <mergeCell ref="AFI1:AFP1"/>
    <mergeCell ref="AFQ1:AFX1"/>
    <mergeCell ref="AFY1:AGF1"/>
    <mergeCell ref="VU1:WB1"/>
    <mergeCell ref="WC1:WJ1"/>
    <mergeCell ref="WK1:WR1"/>
    <mergeCell ref="WS1:WZ1"/>
    <mergeCell ref="XA1:XH1"/>
    <mergeCell ref="XI1:XP1"/>
    <mergeCell ref="XQ1:XX1"/>
    <mergeCell ref="XY1:YF1"/>
    <mergeCell ref="YG1:YN1"/>
    <mergeCell ref="YO1:YV1"/>
    <mergeCell ref="YW1:ZD1"/>
    <mergeCell ref="ZE1:ZL1"/>
    <mergeCell ref="ZM1:ZT1"/>
    <mergeCell ref="ZU1:AAB1"/>
    <mergeCell ref="AAC1:AAJ1"/>
    <mergeCell ref="AAK1:AAR1"/>
    <mergeCell ref="AAS1:AAZ1"/>
    <mergeCell ref="QO1:QV1"/>
    <mergeCell ref="QW1:RD1"/>
    <mergeCell ref="RE1:RL1"/>
    <mergeCell ref="RM1:RT1"/>
    <mergeCell ref="RU1:SB1"/>
    <mergeCell ref="SC1:SJ1"/>
    <mergeCell ref="SK1:SR1"/>
    <mergeCell ref="SS1:SZ1"/>
    <mergeCell ref="TA1:TH1"/>
    <mergeCell ref="TI1:TP1"/>
    <mergeCell ref="TQ1:TX1"/>
    <mergeCell ref="TY1:UF1"/>
    <mergeCell ref="UG1:UN1"/>
    <mergeCell ref="UO1:UV1"/>
    <mergeCell ref="UW1:VD1"/>
    <mergeCell ref="VE1:VL1"/>
    <mergeCell ref="VM1:VT1"/>
    <mergeCell ref="LI1:LP1"/>
    <mergeCell ref="LQ1:LX1"/>
    <mergeCell ref="LY1:MF1"/>
    <mergeCell ref="MG1:MN1"/>
    <mergeCell ref="MO1:MV1"/>
    <mergeCell ref="MW1:ND1"/>
    <mergeCell ref="NE1:NL1"/>
    <mergeCell ref="NM1:NT1"/>
    <mergeCell ref="NU1:OB1"/>
    <mergeCell ref="OC1:OJ1"/>
    <mergeCell ref="OK1:OR1"/>
    <mergeCell ref="OS1:OZ1"/>
    <mergeCell ref="PA1:PH1"/>
    <mergeCell ref="PI1:PP1"/>
    <mergeCell ref="PQ1:PX1"/>
    <mergeCell ref="PY1:QF1"/>
    <mergeCell ref="QG1:QN1"/>
    <mergeCell ref="GC1:GJ1"/>
    <mergeCell ref="GK1:GR1"/>
    <mergeCell ref="GS1:GZ1"/>
    <mergeCell ref="HA1:HH1"/>
    <mergeCell ref="HI1:HP1"/>
    <mergeCell ref="HQ1:HX1"/>
    <mergeCell ref="HY1:IF1"/>
    <mergeCell ref="IG1:IN1"/>
    <mergeCell ref="IO1:IV1"/>
    <mergeCell ref="IW1:JD1"/>
    <mergeCell ref="JE1:JL1"/>
    <mergeCell ref="JM1:JT1"/>
    <mergeCell ref="JU1:KB1"/>
    <mergeCell ref="KC1:KJ1"/>
    <mergeCell ref="KK1:KR1"/>
    <mergeCell ref="KS1:KZ1"/>
    <mergeCell ref="LA1:LH1"/>
    <mergeCell ref="A1:L1"/>
    <mergeCell ref="BE1:BL1"/>
    <mergeCell ref="BM1:BT1"/>
    <mergeCell ref="BU1:CB1"/>
    <mergeCell ref="CC1:CJ1"/>
    <mergeCell ref="CK1:CR1"/>
    <mergeCell ref="CS1:CZ1"/>
    <mergeCell ref="DA1:DH1"/>
    <mergeCell ref="DI1:DP1"/>
    <mergeCell ref="DQ1:DX1"/>
    <mergeCell ref="DY1:EF1"/>
    <mergeCell ref="EG1:EN1"/>
    <mergeCell ref="EO1:EV1"/>
    <mergeCell ref="EW1:FD1"/>
    <mergeCell ref="FE1:FL1"/>
    <mergeCell ref="FM1:FT1"/>
    <mergeCell ref="FU1:GB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D29"/>
  <sheetViews>
    <sheetView showGridLines="0" tabSelected="1" workbookViewId="0">
      <selection sqref="A1:E1"/>
    </sheetView>
  </sheetViews>
  <sheetFormatPr defaultColWidth="9.109375" defaultRowHeight="15" customHeight="1"/>
  <cols>
    <col min="1" max="1" width="58.6640625" customWidth="1"/>
    <col min="2" max="2" width="23.6640625" customWidth="1"/>
    <col min="3" max="4" width="22" customWidth="1"/>
    <col min="5" max="5" width="20.44140625" customWidth="1"/>
    <col min="6" max="6" width="9.109375" customWidth="1"/>
  </cols>
  <sheetData>
    <row r="1" spans="1:16384" ht="27" customHeight="1">
      <c r="A1" s="431" t="s">
        <v>280</v>
      </c>
      <c r="B1" s="404"/>
      <c r="C1" s="404"/>
      <c r="D1" s="404"/>
      <c r="E1" s="405"/>
      <c r="F1" s="375"/>
      <c r="G1" s="375"/>
      <c r="H1" s="375"/>
      <c r="I1" s="375"/>
      <c r="J1" s="375"/>
      <c r="K1" s="375"/>
      <c r="L1" s="375"/>
      <c r="M1" s="364"/>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t="s">
        <v>41</v>
      </c>
      <c r="AP1" s="162"/>
      <c r="AQ1" s="162"/>
      <c r="AR1" s="162"/>
      <c r="AS1" s="162"/>
      <c r="AT1" s="162"/>
      <c r="AU1" s="162"/>
      <c r="AV1" s="162"/>
      <c r="AW1" s="162" t="s">
        <v>41</v>
      </c>
      <c r="AX1" s="162"/>
      <c r="AY1" s="162"/>
      <c r="AZ1" s="162"/>
      <c r="BA1" s="162"/>
      <c r="BB1" s="162"/>
      <c r="BC1" s="162"/>
      <c r="BD1" s="162"/>
      <c r="BE1" s="432" t="s">
        <v>41</v>
      </c>
      <c r="BF1" s="404"/>
      <c r="BG1" s="404"/>
      <c r="BH1" s="404"/>
      <c r="BI1" s="404"/>
      <c r="BJ1" s="404"/>
      <c r="BK1" s="404"/>
      <c r="BL1" s="405"/>
      <c r="BM1" s="432" t="s">
        <v>41</v>
      </c>
      <c r="BN1" s="404"/>
      <c r="BO1" s="404"/>
      <c r="BP1" s="404"/>
      <c r="BQ1" s="404"/>
      <c r="BR1" s="404"/>
      <c r="BS1" s="404"/>
      <c r="BT1" s="405"/>
      <c r="BU1" s="432" t="s">
        <v>41</v>
      </c>
      <c r="BV1" s="404"/>
      <c r="BW1" s="404"/>
      <c r="BX1" s="404"/>
      <c r="BY1" s="404"/>
      <c r="BZ1" s="404"/>
      <c r="CA1" s="404"/>
      <c r="CB1" s="405"/>
      <c r="CC1" s="432" t="s">
        <v>41</v>
      </c>
      <c r="CD1" s="404"/>
      <c r="CE1" s="404"/>
      <c r="CF1" s="404"/>
      <c r="CG1" s="404"/>
      <c r="CH1" s="404"/>
      <c r="CI1" s="404"/>
      <c r="CJ1" s="405"/>
      <c r="CK1" s="432" t="s">
        <v>41</v>
      </c>
      <c r="CL1" s="404"/>
      <c r="CM1" s="404"/>
      <c r="CN1" s="404"/>
      <c r="CO1" s="404"/>
      <c r="CP1" s="404"/>
      <c r="CQ1" s="404"/>
      <c r="CR1" s="405"/>
      <c r="CS1" s="432" t="s">
        <v>41</v>
      </c>
      <c r="CT1" s="404"/>
      <c r="CU1" s="404"/>
      <c r="CV1" s="404"/>
      <c r="CW1" s="404"/>
      <c r="CX1" s="404"/>
      <c r="CY1" s="404"/>
      <c r="CZ1" s="405"/>
      <c r="DA1" s="432" t="s">
        <v>41</v>
      </c>
      <c r="DB1" s="404"/>
      <c r="DC1" s="404"/>
      <c r="DD1" s="404"/>
      <c r="DE1" s="404"/>
      <c r="DF1" s="404"/>
      <c r="DG1" s="404"/>
      <c r="DH1" s="405"/>
      <c r="DI1" s="432" t="s">
        <v>41</v>
      </c>
      <c r="DJ1" s="404"/>
      <c r="DK1" s="404"/>
      <c r="DL1" s="404"/>
      <c r="DM1" s="404"/>
      <c r="DN1" s="404"/>
      <c r="DO1" s="404"/>
      <c r="DP1" s="405"/>
      <c r="DQ1" s="432" t="s">
        <v>41</v>
      </c>
      <c r="DR1" s="404"/>
      <c r="DS1" s="404"/>
      <c r="DT1" s="404"/>
      <c r="DU1" s="404"/>
      <c r="DV1" s="404"/>
      <c r="DW1" s="404"/>
      <c r="DX1" s="405"/>
      <c r="DY1" s="432" t="s">
        <v>41</v>
      </c>
      <c r="DZ1" s="404"/>
      <c r="EA1" s="404"/>
      <c r="EB1" s="404"/>
      <c r="EC1" s="404"/>
      <c r="ED1" s="404"/>
      <c r="EE1" s="404"/>
      <c r="EF1" s="405"/>
      <c r="EG1" s="432" t="s">
        <v>41</v>
      </c>
      <c r="EH1" s="404"/>
      <c r="EI1" s="404"/>
      <c r="EJ1" s="404"/>
      <c r="EK1" s="404"/>
      <c r="EL1" s="404"/>
      <c r="EM1" s="404"/>
      <c r="EN1" s="405"/>
      <c r="EO1" s="432" t="s">
        <v>41</v>
      </c>
      <c r="EP1" s="404"/>
      <c r="EQ1" s="404"/>
      <c r="ER1" s="404"/>
      <c r="ES1" s="404"/>
      <c r="ET1" s="404"/>
      <c r="EU1" s="404"/>
      <c r="EV1" s="405"/>
      <c r="EW1" s="432" t="s">
        <v>41</v>
      </c>
      <c r="EX1" s="404"/>
      <c r="EY1" s="404"/>
      <c r="EZ1" s="404"/>
      <c r="FA1" s="404"/>
      <c r="FB1" s="404"/>
      <c r="FC1" s="404"/>
      <c r="FD1" s="405"/>
      <c r="FE1" s="432" t="s">
        <v>41</v>
      </c>
      <c r="FF1" s="404"/>
      <c r="FG1" s="404"/>
      <c r="FH1" s="404"/>
      <c r="FI1" s="404"/>
      <c r="FJ1" s="404"/>
      <c r="FK1" s="404"/>
      <c r="FL1" s="405"/>
      <c r="FM1" s="432" t="s">
        <v>41</v>
      </c>
      <c r="FN1" s="404"/>
      <c r="FO1" s="404"/>
      <c r="FP1" s="404"/>
      <c r="FQ1" s="404"/>
      <c r="FR1" s="404"/>
      <c r="FS1" s="404"/>
      <c r="FT1" s="405"/>
      <c r="FU1" s="432" t="s">
        <v>41</v>
      </c>
      <c r="FV1" s="404"/>
      <c r="FW1" s="404"/>
      <c r="FX1" s="404"/>
      <c r="FY1" s="404"/>
      <c r="FZ1" s="404"/>
      <c r="GA1" s="404"/>
      <c r="GB1" s="405"/>
      <c r="GC1" s="432" t="s">
        <v>41</v>
      </c>
      <c r="GD1" s="404"/>
      <c r="GE1" s="404"/>
      <c r="GF1" s="404"/>
      <c r="GG1" s="404"/>
      <c r="GH1" s="404"/>
      <c r="GI1" s="404"/>
      <c r="GJ1" s="405"/>
      <c r="GK1" s="432" t="s">
        <v>41</v>
      </c>
      <c r="GL1" s="404"/>
      <c r="GM1" s="404"/>
      <c r="GN1" s="404"/>
      <c r="GO1" s="404"/>
      <c r="GP1" s="404"/>
      <c r="GQ1" s="404"/>
      <c r="GR1" s="405"/>
      <c r="GS1" s="432" t="s">
        <v>41</v>
      </c>
      <c r="GT1" s="404"/>
      <c r="GU1" s="404"/>
      <c r="GV1" s="404"/>
      <c r="GW1" s="404"/>
      <c r="GX1" s="404"/>
      <c r="GY1" s="404"/>
      <c r="GZ1" s="405"/>
      <c r="HA1" s="432" t="s">
        <v>41</v>
      </c>
      <c r="HB1" s="404"/>
      <c r="HC1" s="404"/>
      <c r="HD1" s="404"/>
      <c r="HE1" s="404"/>
      <c r="HF1" s="404"/>
      <c r="HG1" s="404"/>
      <c r="HH1" s="405"/>
      <c r="HI1" s="432" t="s">
        <v>41</v>
      </c>
      <c r="HJ1" s="404"/>
      <c r="HK1" s="404"/>
      <c r="HL1" s="404"/>
      <c r="HM1" s="404"/>
      <c r="HN1" s="404"/>
      <c r="HO1" s="404"/>
      <c r="HP1" s="405"/>
      <c r="HQ1" s="432" t="s">
        <v>41</v>
      </c>
      <c r="HR1" s="404"/>
      <c r="HS1" s="404"/>
      <c r="HT1" s="404"/>
      <c r="HU1" s="404"/>
      <c r="HV1" s="404"/>
      <c r="HW1" s="404"/>
      <c r="HX1" s="405"/>
      <c r="HY1" s="432" t="s">
        <v>41</v>
      </c>
      <c r="HZ1" s="404"/>
      <c r="IA1" s="404"/>
      <c r="IB1" s="404"/>
      <c r="IC1" s="404"/>
      <c r="ID1" s="404"/>
      <c r="IE1" s="404"/>
      <c r="IF1" s="405"/>
      <c r="IG1" s="432" t="s">
        <v>41</v>
      </c>
      <c r="IH1" s="404"/>
      <c r="II1" s="404"/>
      <c r="IJ1" s="404"/>
      <c r="IK1" s="404"/>
      <c r="IL1" s="404"/>
      <c r="IM1" s="404"/>
      <c r="IN1" s="405"/>
      <c r="IO1" s="432" t="s">
        <v>41</v>
      </c>
      <c r="IP1" s="404"/>
      <c r="IQ1" s="404"/>
      <c r="IR1" s="404"/>
      <c r="IS1" s="404"/>
      <c r="IT1" s="404"/>
      <c r="IU1" s="404"/>
      <c r="IV1" s="405"/>
      <c r="IW1" s="432" t="s">
        <v>41</v>
      </c>
      <c r="IX1" s="404"/>
      <c r="IY1" s="404"/>
      <c r="IZ1" s="404"/>
      <c r="JA1" s="404"/>
      <c r="JB1" s="404"/>
      <c r="JC1" s="404"/>
      <c r="JD1" s="405"/>
      <c r="JE1" s="432" t="s">
        <v>41</v>
      </c>
      <c r="JF1" s="404"/>
      <c r="JG1" s="404"/>
      <c r="JH1" s="404"/>
      <c r="JI1" s="404"/>
      <c r="JJ1" s="404"/>
      <c r="JK1" s="404"/>
      <c r="JL1" s="405"/>
      <c r="JM1" s="432" t="s">
        <v>41</v>
      </c>
      <c r="JN1" s="404"/>
      <c r="JO1" s="404"/>
      <c r="JP1" s="404"/>
      <c r="JQ1" s="404"/>
      <c r="JR1" s="404"/>
      <c r="JS1" s="404"/>
      <c r="JT1" s="405"/>
      <c r="JU1" s="432" t="s">
        <v>41</v>
      </c>
      <c r="JV1" s="404"/>
      <c r="JW1" s="404"/>
      <c r="JX1" s="404"/>
      <c r="JY1" s="404"/>
      <c r="JZ1" s="404"/>
      <c r="KA1" s="404"/>
      <c r="KB1" s="405"/>
      <c r="KC1" s="432" t="s">
        <v>41</v>
      </c>
      <c r="KD1" s="404"/>
      <c r="KE1" s="404"/>
      <c r="KF1" s="404"/>
      <c r="KG1" s="404"/>
      <c r="KH1" s="404"/>
      <c r="KI1" s="404"/>
      <c r="KJ1" s="405"/>
      <c r="KK1" s="432" t="s">
        <v>41</v>
      </c>
      <c r="KL1" s="404"/>
      <c r="KM1" s="404"/>
      <c r="KN1" s="404"/>
      <c r="KO1" s="404"/>
      <c r="KP1" s="404"/>
      <c r="KQ1" s="404"/>
      <c r="KR1" s="405"/>
      <c r="KS1" s="432" t="s">
        <v>41</v>
      </c>
      <c r="KT1" s="404"/>
      <c r="KU1" s="404"/>
      <c r="KV1" s="404"/>
      <c r="KW1" s="404"/>
      <c r="KX1" s="404"/>
      <c r="KY1" s="404"/>
      <c r="KZ1" s="405"/>
      <c r="LA1" s="432" t="s">
        <v>41</v>
      </c>
      <c r="LB1" s="404"/>
      <c r="LC1" s="404"/>
      <c r="LD1" s="404"/>
      <c r="LE1" s="404"/>
      <c r="LF1" s="404"/>
      <c r="LG1" s="404"/>
      <c r="LH1" s="405"/>
      <c r="LI1" s="432" t="s">
        <v>41</v>
      </c>
      <c r="LJ1" s="404"/>
      <c r="LK1" s="404"/>
      <c r="LL1" s="404"/>
      <c r="LM1" s="404"/>
      <c r="LN1" s="404"/>
      <c r="LO1" s="404"/>
      <c r="LP1" s="405"/>
      <c r="LQ1" s="432" t="s">
        <v>41</v>
      </c>
      <c r="LR1" s="404"/>
      <c r="LS1" s="404"/>
      <c r="LT1" s="404"/>
      <c r="LU1" s="404"/>
      <c r="LV1" s="404"/>
      <c r="LW1" s="404"/>
      <c r="LX1" s="405"/>
      <c r="LY1" s="432" t="s">
        <v>41</v>
      </c>
      <c r="LZ1" s="404"/>
      <c r="MA1" s="404"/>
      <c r="MB1" s="404"/>
      <c r="MC1" s="404"/>
      <c r="MD1" s="404"/>
      <c r="ME1" s="404"/>
      <c r="MF1" s="405"/>
      <c r="MG1" s="432" t="s">
        <v>41</v>
      </c>
      <c r="MH1" s="404"/>
      <c r="MI1" s="404"/>
      <c r="MJ1" s="404"/>
      <c r="MK1" s="404"/>
      <c r="ML1" s="404"/>
      <c r="MM1" s="404"/>
      <c r="MN1" s="405"/>
      <c r="MO1" s="432" t="s">
        <v>41</v>
      </c>
      <c r="MP1" s="404"/>
      <c r="MQ1" s="404"/>
      <c r="MR1" s="404"/>
      <c r="MS1" s="404"/>
      <c r="MT1" s="404"/>
      <c r="MU1" s="404"/>
      <c r="MV1" s="405"/>
      <c r="MW1" s="432" t="s">
        <v>41</v>
      </c>
      <c r="MX1" s="404"/>
      <c r="MY1" s="404"/>
      <c r="MZ1" s="404"/>
      <c r="NA1" s="404"/>
      <c r="NB1" s="404"/>
      <c r="NC1" s="404"/>
      <c r="ND1" s="405"/>
      <c r="NE1" s="432" t="s">
        <v>41</v>
      </c>
      <c r="NF1" s="404"/>
      <c r="NG1" s="404"/>
      <c r="NH1" s="404"/>
      <c r="NI1" s="404"/>
      <c r="NJ1" s="404"/>
      <c r="NK1" s="404"/>
      <c r="NL1" s="405"/>
      <c r="NM1" s="432" t="s">
        <v>41</v>
      </c>
      <c r="NN1" s="404"/>
      <c r="NO1" s="404"/>
      <c r="NP1" s="404"/>
      <c r="NQ1" s="404"/>
      <c r="NR1" s="404"/>
      <c r="NS1" s="404"/>
      <c r="NT1" s="405"/>
      <c r="NU1" s="432" t="s">
        <v>41</v>
      </c>
      <c r="NV1" s="404"/>
      <c r="NW1" s="404"/>
      <c r="NX1" s="404"/>
      <c r="NY1" s="404"/>
      <c r="NZ1" s="404"/>
      <c r="OA1" s="404"/>
      <c r="OB1" s="405"/>
      <c r="OC1" s="432" t="s">
        <v>41</v>
      </c>
      <c r="OD1" s="404"/>
      <c r="OE1" s="404"/>
      <c r="OF1" s="404"/>
      <c r="OG1" s="404"/>
      <c r="OH1" s="404"/>
      <c r="OI1" s="404"/>
      <c r="OJ1" s="405"/>
      <c r="OK1" s="432" t="s">
        <v>41</v>
      </c>
      <c r="OL1" s="404"/>
      <c r="OM1" s="404"/>
      <c r="ON1" s="404"/>
      <c r="OO1" s="404"/>
      <c r="OP1" s="404"/>
      <c r="OQ1" s="404"/>
      <c r="OR1" s="405"/>
      <c r="OS1" s="432" t="s">
        <v>41</v>
      </c>
      <c r="OT1" s="404"/>
      <c r="OU1" s="404"/>
      <c r="OV1" s="404"/>
      <c r="OW1" s="404"/>
      <c r="OX1" s="404"/>
      <c r="OY1" s="404"/>
      <c r="OZ1" s="405"/>
      <c r="PA1" s="432" t="s">
        <v>41</v>
      </c>
      <c r="PB1" s="404"/>
      <c r="PC1" s="404"/>
      <c r="PD1" s="404"/>
      <c r="PE1" s="404"/>
      <c r="PF1" s="404"/>
      <c r="PG1" s="404"/>
      <c r="PH1" s="405"/>
      <c r="PI1" s="432" t="s">
        <v>41</v>
      </c>
      <c r="PJ1" s="404"/>
      <c r="PK1" s="404"/>
      <c r="PL1" s="404"/>
      <c r="PM1" s="404"/>
      <c r="PN1" s="404"/>
      <c r="PO1" s="404"/>
      <c r="PP1" s="405"/>
      <c r="PQ1" s="432" t="s">
        <v>41</v>
      </c>
      <c r="PR1" s="404"/>
      <c r="PS1" s="404"/>
      <c r="PT1" s="404"/>
      <c r="PU1" s="404"/>
      <c r="PV1" s="404"/>
      <c r="PW1" s="404"/>
      <c r="PX1" s="405"/>
      <c r="PY1" s="432" t="s">
        <v>41</v>
      </c>
      <c r="PZ1" s="404"/>
      <c r="QA1" s="404"/>
      <c r="QB1" s="404"/>
      <c r="QC1" s="404"/>
      <c r="QD1" s="404"/>
      <c r="QE1" s="404"/>
      <c r="QF1" s="405"/>
      <c r="QG1" s="432" t="s">
        <v>41</v>
      </c>
      <c r="QH1" s="404"/>
      <c r="QI1" s="404"/>
      <c r="QJ1" s="404"/>
      <c r="QK1" s="404"/>
      <c r="QL1" s="404"/>
      <c r="QM1" s="404"/>
      <c r="QN1" s="405"/>
      <c r="QO1" s="432" t="s">
        <v>41</v>
      </c>
      <c r="QP1" s="404"/>
      <c r="QQ1" s="404"/>
      <c r="QR1" s="404"/>
      <c r="QS1" s="404"/>
      <c r="QT1" s="404"/>
      <c r="QU1" s="404"/>
      <c r="QV1" s="405"/>
      <c r="QW1" s="432" t="s">
        <v>41</v>
      </c>
      <c r="QX1" s="404"/>
      <c r="QY1" s="404"/>
      <c r="QZ1" s="404"/>
      <c r="RA1" s="404"/>
      <c r="RB1" s="404"/>
      <c r="RC1" s="404"/>
      <c r="RD1" s="405"/>
      <c r="RE1" s="432" t="s">
        <v>41</v>
      </c>
      <c r="RF1" s="404"/>
      <c r="RG1" s="404"/>
      <c r="RH1" s="404"/>
      <c r="RI1" s="404"/>
      <c r="RJ1" s="404"/>
      <c r="RK1" s="404"/>
      <c r="RL1" s="405"/>
      <c r="RM1" s="432" t="s">
        <v>41</v>
      </c>
      <c r="RN1" s="404"/>
      <c r="RO1" s="404"/>
      <c r="RP1" s="404"/>
      <c r="RQ1" s="404"/>
      <c r="RR1" s="404"/>
      <c r="RS1" s="404"/>
      <c r="RT1" s="405"/>
      <c r="RU1" s="432" t="s">
        <v>41</v>
      </c>
      <c r="RV1" s="404"/>
      <c r="RW1" s="404"/>
      <c r="RX1" s="404"/>
      <c r="RY1" s="404"/>
      <c r="RZ1" s="404"/>
      <c r="SA1" s="404"/>
      <c r="SB1" s="405"/>
      <c r="SC1" s="432" t="s">
        <v>41</v>
      </c>
      <c r="SD1" s="404"/>
      <c r="SE1" s="404"/>
      <c r="SF1" s="404"/>
      <c r="SG1" s="404"/>
      <c r="SH1" s="404"/>
      <c r="SI1" s="404"/>
      <c r="SJ1" s="405"/>
      <c r="SK1" s="432" t="s">
        <v>41</v>
      </c>
      <c r="SL1" s="404"/>
      <c r="SM1" s="404"/>
      <c r="SN1" s="404"/>
      <c r="SO1" s="404"/>
      <c r="SP1" s="404"/>
      <c r="SQ1" s="404"/>
      <c r="SR1" s="405"/>
      <c r="SS1" s="432" t="s">
        <v>41</v>
      </c>
      <c r="ST1" s="404"/>
      <c r="SU1" s="404"/>
      <c r="SV1" s="404"/>
      <c r="SW1" s="404"/>
      <c r="SX1" s="404"/>
      <c r="SY1" s="404"/>
      <c r="SZ1" s="405"/>
      <c r="TA1" s="432" t="s">
        <v>41</v>
      </c>
      <c r="TB1" s="404"/>
      <c r="TC1" s="404"/>
      <c r="TD1" s="404"/>
      <c r="TE1" s="404"/>
      <c r="TF1" s="404"/>
      <c r="TG1" s="404"/>
      <c r="TH1" s="405"/>
      <c r="TI1" s="432" t="s">
        <v>41</v>
      </c>
      <c r="TJ1" s="404"/>
      <c r="TK1" s="404"/>
      <c r="TL1" s="404"/>
      <c r="TM1" s="404"/>
      <c r="TN1" s="404"/>
      <c r="TO1" s="404"/>
      <c r="TP1" s="405"/>
      <c r="TQ1" s="432" t="s">
        <v>41</v>
      </c>
      <c r="TR1" s="404"/>
      <c r="TS1" s="404"/>
      <c r="TT1" s="404"/>
      <c r="TU1" s="404"/>
      <c r="TV1" s="404"/>
      <c r="TW1" s="404"/>
      <c r="TX1" s="405"/>
      <c r="TY1" s="432" t="s">
        <v>41</v>
      </c>
      <c r="TZ1" s="404"/>
      <c r="UA1" s="404"/>
      <c r="UB1" s="404"/>
      <c r="UC1" s="404"/>
      <c r="UD1" s="404"/>
      <c r="UE1" s="404"/>
      <c r="UF1" s="405"/>
      <c r="UG1" s="432" t="s">
        <v>41</v>
      </c>
      <c r="UH1" s="404"/>
      <c r="UI1" s="404"/>
      <c r="UJ1" s="404"/>
      <c r="UK1" s="404"/>
      <c r="UL1" s="404"/>
      <c r="UM1" s="404"/>
      <c r="UN1" s="405"/>
      <c r="UO1" s="432" t="s">
        <v>41</v>
      </c>
      <c r="UP1" s="404"/>
      <c r="UQ1" s="404"/>
      <c r="UR1" s="404"/>
      <c r="US1" s="404"/>
      <c r="UT1" s="404"/>
      <c r="UU1" s="404"/>
      <c r="UV1" s="405"/>
      <c r="UW1" s="432" t="s">
        <v>41</v>
      </c>
      <c r="UX1" s="404"/>
      <c r="UY1" s="404"/>
      <c r="UZ1" s="404"/>
      <c r="VA1" s="404"/>
      <c r="VB1" s="404"/>
      <c r="VC1" s="404"/>
      <c r="VD1" s="405"/>
      <c r="VE1" s="432" t="s">
        <v>41</v>
      </c>
      <c r="VF1" s="404"/>
      <c r="VG1" s="404"/>
      <c r="VH1" s="404"/>
      <c r="VI1" s="404"/>
      <c r="VJ1" s="404"/>
      <c r="VK1" s="404"/>
      <c r="VL1" s="405"/>
      <c r="VM1" s="432" t="s">
        <v>41</v>
      </c>
      <c r="VN1" s="404"/>
      <c r="VO1" s="404"/>
      <c r="VP1" s="404"/>
      <c r="VQ1" s="404"/>
      <c r="VR1" s="404"/>
      <c r="VS1" s="404"/>
      <c r="VT1" s="405"/>
      <c r="VU1" s="432" t="s">
        <v>41</v>
      </c>
      <c r="VV1" s="404"/>
      <c r="VW1" s="404"/>
      <c r="VX1" s="404"/>
      <c r="VY1" s="404"/>
      <c r="VZ1" s="404"/>
      <c r="WA1" s="404"/>
      <c r="WB1" s="405"/>
      <c r="WC1" s="432" t="s">
        <v>41</v>
      </c>
      <c r="WD1" s="404"/>
      <c r="WE1" s="404"/>
      <c r="WF1" s="404"/>
      <c r="WG1" s="404"/>
      <c r="WH1" s="404"/>
      <c r="WI1" s="404"/>
      <c r="WJ1" s="405"/>
      <c r="WK1" s="432" t="s">
        <v>41</v>
      </c>
      <c r="WL1" s="404"/>
      <c r="WM1" s="404"/>
      <c r="WN1" s="404"/>
      <c r="WO1" s="404"/>
      <c r="WP1" s="404"/>
      <c r="WQ1" s="404"/>
      <c r="WR1" s="405"/>
      <c r="WS1" s="432" t="s">
        <v>41</v>
      </c>
      <c r="WT1" s="404"/>
      <c r="WU1" s="404"/>
      <c r="WV1" s="404"/>
      <c r="WW1" s="404"/>
      <c r="WX1" s="404"/>
      <c r="WY1" s="404"/>
      <c r="WZ1" s="405"/>
      <c r="XA1" s="432" t="s">
        <v>41</v>
      </c>
      <c r="XB1" s="404"/>
      <c r="XC1" s="404"/>
      <c r="XD1" s="404"/>
      <c r="XE1" s="404"/>
      <c r="XF1" s="404"/>
      <c r="XG1" s="404"/>
      <c r="XH1" s="405"/>
      <c r="XI1" s="432" t="s">
        <v>41</v>
      </c>
      <c r="XJ1" s="404"/>
      <c r="XK1" s="404"/>
      <c r="XL1" s="404"/>
      <c r="XM1" s="404"/>
      <c r="XN1" s="404"/>
      <c r="XO1" s="404"/>
      <c r="XP1" s="405"/>
      <c r="XQ1" s="432" t="s">
        <v>41</v>
      </c>
      <c r="XR1" s="404"/>
      <c r="XS1" s="404"/>
      <c r="XT1" s="404"/>
      <c r="XU1" s="404"/>
      <c r="XV1" s="404"/>
      <c r="XW1" s="404"/>
      <c r="XX1" s="405"/>
      <c r="XY1" s="432" t="s">
        <v>41</v>
      </c>
      <c r="XZ1" s="404"/>
      <c r="YA1" s="404"/>
      <c r="YB1" s="404"/>
      <c r="YC1" s="404"/>
      <c r="YD1" s="404"/>
      <c r="YE1" s="404"/>
      <c r="YF1" s="405"/>
      <c r="YG1" s="432" t="s">
        <v>41</v>
      </c>
      <c r="YH1" s="404"/>
      <c r="YI1" s="404"/>
      <c r="YJ1" s="404"/>
      <c r="YK1" s="404"/>
      <c r="YL1" s="404"/>
      <c r="YM1" s="404"/>
      <c r="YN1" s="405"/>
      <c r="YO1" s="432" t="s">
        <v>41</v>
      </c>
      <c r="YP1" s="404"/>
      <c r="YQ1" s="404"/>
      <c r="YR1" s="404"/>
      <c r="YS1" s="404"/>
      <c r="YT1" s="404"/>
      <c r="YU1" s="404"/>
      <c r="YV1" s="405"/>
      <c r="YW1" s="432" t="s">
        <v>41</v>
      </c>
      <c r="YX1" s="404"/>
      <c r="YY1" s="404"/>
      <c r="YZ1" s="404"/>
      <c r="ZA1" s="404"/>
      <c r="ZB1" s="404"/>
      <c r="ZC1" s="404"/>
      <c r="ZD1" s="405"/>
      <c r="ZE1" s="432" t="s">
        <v>41</v>
      </c>
      <c r="ZF1" s="404"/>
      <c r="ZG1" s="404"/>
      <c r="ZH1" s="404"/>
      <c r="ZI1" s="404"/>
      <c r="ZJ1" s="404"/>
      <c r="ZK1" s="404"/>
      <c r="ZL1" s="405"/>
      <c r="ZM1" s="432" t="s">
        <v>41</v>
      </c>
      <c r="ZN1" s="404"/>
      <c r="ZO1" s="404"/>
      <c r="ZP1" s="404"/>
      <c r="ZQ1" s="404"/>
      <c r="ZR1" s="404"/>
      <c r="ZS1" s="404"/>
      <c r="ZT1" s="405"/>
      <c r="ZU1" s="432" t="s">
        <v>41</v>
      </c>
      <c r="ZV1" s="404"/>
      <c r="ZW1" s="404"/>
      <c r="ZX1" s="404"/>
      <c r="ZY1" s="404"/>
      <c r="ZZ1" s="404"/>
      <c r="AAA1" s="404"/>
      <c r="AAB1" s="405"/>
      <c r="AAC1" s="432" t="s">
        <v>41</v>
      </c>
      <c r="AAD1" s="404"/>
      <c r="AAE1" s="404"/>
      <c r="AAF1" s="404"/>
      <c r="AAG1" s="404"/>
      <c r="AAH1" s="404"/>
      <c r="AAI1" s="404"/>
      <c r="AAJ1" s="405"/>
      <c r="AAK1" s="432" t="s">
        <v>41</v>
      </c>
      <c r="AAL1" s="404"/>
      <c r="AAM1" s="404"/>
      <c r="AAN1" s="404"/>
      <c r="AAO1" s="404"/>
      <c r="AAP1" s="404"/>
      <c r="AAQ1" s="404"/>
      <c r="AAR1" s="405"/>
      <c r="AAS1" s="432" t="s">
        <v>41</v>
      </c>
      <c r="AAT1" s="404"/>
      <c r="AAU1" s="404"/>
      <c r="AAV1" s="404"/>
      <c r="AAW1" s="404"/>
      <c r="AAX1" s="404"/>
      <c r="AAY1" s="404"/>
      <c r="AAZ1" s="405"/>
      <c r="ABA1" s="432" t="s">
        <v>41</v>
      </c>
      <c r="ABB1" s="404"/>
      <c r="ABC1" s="404"/>
      <c r="ABD1" s="404"/>
      <c r="ABE1" s="404"/>
      <c r="ABF1" s="404"/>
      <c r="ABG1" s="404"/>
      <c r="ABH1" s="405"/>
      <c r="ABI1" s="432" t="s">
        <v>41</v>
      </c>
      <c r="ABJ1" s="404"/>
      <c r="ABK1" s="404"/>
      <c r="ABL1" s="404"/>
      <c r="ABM1" s="404"/>
      <c r="ABN1" s="404"/>
      <c r="ABO1" s="404"/>
      <c r="ABP1" s="405"/>
      <c r="ABQ1" s="432" t="s">
        <v>41</v>
      </c>
      <c r="ABR1" s="404"/>
      <c r="ABS1" s="404"/>
      <c r="ABT1" s="404"/>
      <c r="ABU1" s="404"/>
      <c r="ABV1" s="404"/>
      <c r="ABW1" s="404"/>
      <c r="ABX1" s="405"/>
      <c r="ABY1" s="432" t="s">
        <v>41</v>
      </c>
      <c r="ABZ1" s="404"/>
      <c r="ACA1" s="404"/>
      <c r="ACB1" s="404"/>
      <c r="ACC1" s="404"/>
      <c r="ACD1" s="404"/>
      <c r="ACE1" s="404"/>
      <c r="ACF1" s="405"/>
      <c r="ACG1" s="432" t="s">
        <v>41</v>
      </c>
      <c r="ACH1" s="404"/>
      <c r="ACI1" s="404"/>
      <c r="ACJ1" s="404"/>
      <c r="ACK1" s="404"/>
      <c r="ACL1" s="404"/>
      <c r="ACM1" s="404"/>
      <c r="ACN1" s="405"/>
      <c r="ACO1" s="432" t="s">
        <v>41</v>
      </c>
      <c r="ACP1" s="404"/>
      <c r="ACQ1" s="404"/>
      <c r="ACR1" s="404"/>
      <c r="ACS1" s="404"/>
      <c r="ACT1" s="404"/>
      <c r="ACU1" s="404"/>
      <c r="ACV1" s="405"/>
      <c r="ACW1" s="432" t="s">
        <v>41</v>
      </c>
      <c r="ACX1" s="404"/>
      <c r="ACY1" s="404"/>
      <c r="ACZ1" s="404"/>
      <c r="ADA1" s="404"/>
      <c r="ADB1" s="404"/>
      <c r="ADC1" s="404"/>
      <c r="ADD1" s="405"/>
      <c r="ADE1" s="432" t="s">
        <v>41</v>
      </c>
      <c r="ADF1" s="404"/>
      <c r="ADG1" s="404"/>
      <c r="ADH1" s="404"/>
      <c r="ADI1" s="404"/>
      <c r="ADJ1" s="404"/>
      <c r="ADK1" s="404"/>
      <c r="ADL1" s="405"/>
      <c r="ADM1" s="432" t="s">
        <v>41</v>
      </c>
      <c r="ADN1" s="404"/>
      <c r="ADO1" s="404"/>
      <c r="ADP1" s="404"/>
      <c r="ADQ1" s="404"/>
      <c r="ADR1" s="404"/>
      <c r="ADS1" s="404"/>
      <c r="ADT1" s="405"/>
      <c r="ADU1" s="432" t="s">
        <v>41</v>
      </c>
      <c r="ADV1" s="404"/>
      <c r="ADW1" s="404"/>
      <c r="ADX1" s="404"/>
      <c r="ADY1" s="404"/>
      <c r="ADZ1" s="404"/>
      <c r="AEA1" s="404"/>
      <c r="AEB1" s="405"/>
      <c r="AEC1" s="432" t="s">
        <v>41</v>
      </c>
      <c r="AED1" s="404"/>
      <c r="AEE1" s="404"/>
      <c r="AEF1" s="404"/>
      <c r="AEG1" s="404"/>
      <c r="AEH1" s="404"/>
      <c r="AEI1" s="404"/>
      <c r="AEJ1" s="405"/>
      <c r="AEK1" s="432" t="s">
        <v>41</v>
      </c>
      <c r="AEL1" s="404"/>
      <c r="AEM1" s="404"/>
      <c r="AEN1" s="404"/>
      <c r="AEO1" s="404"/>
      <c r="AEP1" s="404"/>
      <c r="AEQ1" s="404"/>
      <c r="AER1" s="405"/>
      <c r="AES1" s="432" t="s">
        <v>41</v>
      </c>
      <c r="AET1" s="404"/>
      <c r="AEU1" s="404"/>
      <c r="AEV1" s="404"/>
      <c r="AEW1" s="404"/>
      <c r="AEX1" s="404"/>
      <c r="AEY1" s="404"/>
      <c r="AEZ1" s="405"/>
      <c r="AFA1" s="432" t="s">
        <v>41</v>
      </c>
      <c r="AFB1" s="404"/>
      <c r="AFC1" s="404"/>
      <c r="AFD1" s="404"/>
      <c r="AFE1" s="404"/>
      <c r="AFF1" s="404"/>
      <c r="AFG1" s="404"/>
      <c r="AFH1" s="405"/>
      <c r="AFI1" s="432" t="s">
        <v>41</v>
      </c>
      <c r="AFJ1" s="404"/>
      <c r="AFK1" s="404"/>
      <c r="AFL1" s="404"/>
      <c r="AFM1" s="404"/>
      <c r="AFN1" s="404"/>
      <c r="AFO1" s="404"/>
      <c r="AFP1" s="405"/>
      <c r="AFQ1" s="432" t="s">
        <v>41</v>
      </c>
      <c r="AFR1" s="404"/>
      <c r="AFS1" s="404"/>
      <c r="AFT1" s="404"/>
      <c r="AFU1" s="404"/>
      <c r="AFV1" s="404"/>
      <c r="AFW1" s="404"/>
      <c r="AFX1" s="405"/>
      <c r="AFY1" s="432" t="s">
        <v>41</v>
      </c>
      <c r="AFZ1" s="404"/>
      <c r="AGA1" s="404"/>
      <c r="AGB1" s="404"/>
      <c r="AGC1" s="404"/>
      <c r="AGD1" s="404"/>
      <c r="AGE1" s="404"/>
      <c r="AGF1" s="405"/>
      <c r="AGG1" s="432" t="s">
        <v>41</v>
      </c>
      <c r="AGH1" s="404"/>
      <c r="AGI1" s="404"/>
      <c r="AGJ1" s="404"/>
      <c r="AGK1" s="404"/>
      <c r="AGL1" s="404"/>
      <c r="AGM1" s="404"/>
      <c r="AGN1" s="405"/>
      <c r="AGO1" s="432" t="s">
        <v>41</v>
      </c>
      <c r="AGP1" s="404"/>
      <c r="AGQ1" s="404"/>
      <c r="AGR1" s="404"/>
      <c r="AGS1" s="404"/>
      <c r="AGT1" s="404"/>
      <c r="AGU1" s="404"/>
      <c r="AGV1" s="405"/>
      <c r="AGW1" s="432" t="s">
        <v>41</v>
      </c>
      <c r="AGX1" s="404"/>
      <c r="AGY1" s="404"/>
      <c r="AGZ1" s="404"/>
      <c r="AHA1" s="404"/>
      <c r="AHB1" s="404"/>
      <c r="AHC1" s="404"/>
      <c r="AHD1" s="405"/>
      <c r="AHE1" s="432" t="s">
        <v>41</v>
      </c>
      <c r="AHF1" s="404"/>
      <c r="AHG1" s="404"/>
      <c r="AHH1" s="404"/>
      <c r="AHI1" s="404"/>
      <c r="AHJ1" s="404"/>
      <c r="AHK1" s="404"/>
      <c r="AHL1" s="405"/>
      <c r="AHM1" s="432" t="s">
        <v>41</v>
      </c>
      <c r="AHN1" s="404"/>
      <c r="AHO1" s="404"/>
      <c r="AHP1" s="404"/>
      <c r="AHQ1" s="404"/>
      <c r="AHR1" s="404"/>
      <c r="AHS1" s="404"/>
      <c r="AHT1" s="405"/>
      <c r="AHU1" s="432" t="s">
        <v>41</v>
      </c>
      <c r="AHV1" s="404"/>
      <c r="AHW1" s="404"/>
      <c r="AHX1" s="404"/>
      <c r="AHY1" s="404"/>
      <c r="AHZ1" s="404"/>
      <c r="AIA1" s="404"/>
      <c r="AIB1" s="405"/>
      <c r="AIC1" s="432" t="s">
        <v>41</v>
      </c>
      <c r="AID1" s="404"/>
      <c r="AIE1" s="404"/>
      <c r="AIF1" s="404"/>
      <c r="AIG1" s="404"/>
      <c r="AIH1" s="404"/>
      <c r="AII1" s="404"/>
      <c r="AIJ1" s="405"/>
      <c r="AIK1" s="432" t="s">
        <v>41</v>
      </c>
      <c r="AIL1" s="404"/>
      <c r="AIM1" s="404"/>
      <c r="AIN1" s="404"/>
      <c r="AIO1" s="404"/>
      <c r="AIP1" s="404"/>
      <c r="AIQ1" s="404"/>
      <c r="AIR1" s="405"/>
      <c r="AIS1" s="432" t="s">
        <v>41</v>
      </c>
      <c r="AIT1" s="404"/>
      <c r="AIU1" s="404"/>
      <c r="AIV1" s="404"/>
      <c r="AIW1" s="404"/>
      <c r="AIX1" s="404"/>
      <c r="AIY1" s="404"/>
      <c r="AIZ1" s="405"/>
      <c r="AJA1" s="432" t="s">
        <v>41</v>
      </c>
      <c r="AJB1" s="404"/>
      <c r="AJC1" s="404"/>
      <c r="AJD1" s="404"/>
      <c r="AJE1" s="404"/>
      <c r="AJF1" s="404"/>
      <c r="AJG1" s="404"/>
      <c r="AJH1" s="405"/>
      <c r="AJI1" s="432" t="s">
        <v>41</v>
      </c>
      <c r="AJJ1" s="404"/>
      <c r="AJK1" s="404"/>
      <c r="AJL1" s="404"/>
      <c r="AJM1" s="404"/>
      <c r="AJN1" s="404"/>
      <c r="AJO1" s="404"/>
      <c r="AJP1" s="405"/>
      <c r="AJQ1" s="432" t="s">
        <v>41</v>
      </c>
      <c r="AJR1" s="404"/>
      <c r="AJS1" s="404"/>
      <c r="AJT1" s="404"/>
      <c r="AJU1" s="404"/>
      <c r="AJV1" s="404"/>
      <c r="AJW1" s="404"/>
      <c r="AJX1" s="405"/>
      <c r="AJY1" s="432" t="s">
        <v>41</v>
      </c>
      <c r="AJZ1" s="404"/>
      <c r="AKA1" s="404"/>
      <c r="AKB1" s="404"/>
      <c r="AKC1" s="404"/>
      <c r="AKD1" s="404"/>
      <c r="AKE1" s="404"/>
      <c r="AKF1" s="405"/>
      <c r="AKG1" s="432" t="s">
        <v>41</v>
      </c>
      <c r="AKH1" s="404"/>
      <c r="AKI1" s="404"/>
      <c r="AKJ1" s="404"/>
      <c r="AKK1" s="404"/>
      <c r="AKL1" s="404"/>
      <c r="AKM1" s="404"/>
      <c r="AKN1" s="405"/>
      <c r="AKO1" s="432" t="s">
        <v>41</v>
      </c>
      <c r="AKP1" s="404"/>
      <c r="AKQ1" s="404"/>
      <c r="AKR1" s="404"/>
      <c r="AKS1" s="404"/>
      <c r="AKT1" s="404"/>
      <c r="AKU1" s="404"/>
      <c r="AKV1" s="405"/>
      <c r="AKW1" s="432" t="s">
        <v>41</v>
      </c>
      <c r="AKX1" s="404"/>
      <c r="AKY1" s="404"/>
      <c r="AKZ1" s="404"/>
      <c r="ALA1" s="404"/>
      <c r="ALB1" s="404"/>
      <c r="ALC1" s="404"/>
      <c r="ALD1" s="405"/>
      <c r="ALE1" s="432" t="s">
        <v>41</v>
      </c>
      <c r="ALF1" s="404"/>
      <c r="ALG1" s="404"/>
      <c r="ALH1" s="404"/>
      <c r="ALI1" s="404"/>
      <c r="ALJ1" s="404"/>
      <c r="ALK1" s="404"/>
      <c r="ALL1" s="405"/>
      <c r="ALM1" s="432" t="s">
        <v>41</v>
      </c>
      <c r="ALN1" s="404"/>
      <c r="ALO1" s="404"/>
      <c r="ALP1" s="404"/>
      <c r="ALQ1" s="404"/>
      <c r="ALR1" s="404"/>
      <c r="ALS1" s="404"/>
      <c r="ALT1" s="405"/>
      <c r="ALU1" s="432" t="s">
        <v>41</v>
      </c>
      <c r="ALV1" s="404"/>
      <c r="ALW1" s="404"/>
      <c r="ALX1" s="404"/>
      <c r="ALY1" s="404"/>
      <c r="ALZ1" s="404"/>
      <c r="AMA1" s="404"/>
      <c r="AMB1" s="405"/>
      <c r="AMC1" s="432" t="s">
        <v>41</v>
      </c>
      <c r="AMD1" s="404"/>
      <c r="AME1" s="404"/>
      <c r="AMF1" s="404"/>
      <c r="AMG1" s="404"/>
      <c r="AMH1" s="404"/>
      <c r="AMI1" s="404"/>
      <c r="AMJ1" s="405"/>
      <c r="AMK1" s="432" t="s">
        <v>41</v>
      </c>
      <c r="AML1" s="404"/>
      <c r="AMM1" s="404"/>
      <c r="AMN1" s="404"/>
      <c r="AMO1" s="404"/>
      <c r="AMP1" s="404"/>
      <c r="AMQ1" s="404"/>
      <c r="AMR1" s="405"/>
      <c r="AMS1" s="432" t="s">
        <v>41</v>
      </c>
      <c r="AMT1" s="404"/>
      <c r="AMU1" s="404"/>
      <c r="AMV1" s="404"/>
      <c r="AMW1" s="404"/>
      <c r="AMX1" s="404"/>
      <c r="AMY1" s="404"/>
      <c r="AMZ1" s="405"/>
      <c r="ANA1" s="432" t="s">
        <v>41</v>
      </c>
      <c r="ANB1" s="404"/>
      <c r="ANC1" s="404"/>
      <c r="AND1" s="404"/>
      <c r="ANE1" s="404"/>
      <c r="ANF1" s="404"/>
      <c r="ANG1" s="404"/>
      <c r="ANH1" s="405"/>
      <c r="ANI1" s="432" t="s">
        <v>41</v>
      </c>
      <c r="ANJ1" s="404"/>
      <c r="ANK1" s="404"/>
      <c r="ANL1" s="404"/>
      <c r="ANM1" s="404"/>
      <c r="ANN1" s="404"/>
      <c r="ANO1" s="404"/>
      <c r="ANP1" s="405"/>
      <c r="ANQ1" s="432" t="s">
        <v>41</v>
      </c>
      <c r="ANR1" s="404"/>
      <c r="ANS1" s="404"/>
      <c r="ANT1" s="404"/>
      <c r="ANU1" s="404"/>
      <c r="ANV1" s="404"/>
      <c r="ANW1" s="404"/>
      <c r="ANX1" s="405"/>
      <c r="ANY1" s="432" t="s">
        <v>41</v>
      </c>
      <c r="ANZ1" s="404"/>
      <c r="AOA1" s="404"/>
      <c r="AOB1" s="404"/>
      <c r="AOC1" s="404"/>
      <c r="AOD1" s="404"/>
      <c r="AOE1" s="404"/>
      <c r="AOF1" s="405"/>
      <c r="AOG1" s="432" t="s">
        <v>41</v>
      </c>
      <c r="AOH1" s="404"/>
      <c r="AOI1" s="404"/>
      <c r="AOJ1" s="404"/>
      <c r="AOK1" s="404"/>
      <c r="AOL1" s="404"/>
      <c r="AOM1" s="404"/>
      <c r="AON1" s="405"/>
      <c r="AOO1" s="432" t="s">
        <v>41</v>
      </c>
      <c r="AOP1" s="404"/>
      <c r="AOQ1" s="404"/>
      <c r="AOR1" s="404"/>
      <c r="AOS1" s="404"/>
      <c r="AOT1" s="404"/>
      <c r="AOU1" s="404"/>
      <c r="AOV1" s="405"/>
      <c r="AOW1" s="432" t="s">
        <v>41</v>
      </c>
      <c r="AOX1" s="404"/>
      <c r="AOY1" s="404"/>
      <c r="AOZ1" s="404"/>
      <c r="APA1" s="404"/>
      <c r="APB1" s="404"/>
      <c r="APC1" s="404"/>
      <c r="APD1" s="405"/>
      <c r="APE1" s="432" t="s">
        <v>41</v>
      </c>
      <c r="APF1" s="404"/>
      <c r="APG1" s="404"/>
      <c r="APH1" s="404"/>
      <c r="API1" s="404"/>
      <c r="APJ1" s="404"/>
      <c r="APK1" s="404"/>
      <c r="APL1" s="405"/>
      <c r="APM1" s="432" t="s">
        <v>41</v>
      </c>
      <c r="APN1" s="404"/>
      <c r="APO1" s="404"/>
      <c r="APP1" s="404"/>
      <c r="APQ1" s="404"/>
      <c r="APR1" s="404"/>
      <c r="APS1" s="404"/>
      <c r="APT1" s="405"/>
      <c r="APU1" s="432" t="s">
        <v>41</v>
      </c>
      <c r="APV1" s="404"/>
      <c r="APW1" s="404"/>
      <c r="APX1" s="404"/>
      <c r="APY1" s="404"/>
      <c r="APZ1" s="404"/>
      <c r="AQA1" s="404"/>
      <c r="AQB1" s="405"/>
      <c r="AQC1" s="432" t="s">
        <v>41</v>
      </c>
      <c r="AQD1" s="404"/>
      <c r="AQE1" s="404"/>
      <c r="AQF1" s="404"/>
      <c r="AQG1" s="404"/>
      <c r="AQH1" s="404"/>
      <c r="AQI1" s="404"/>
      <c r="AQJ1" s="405"/>
      <c r="AQK1" s="432" t="s">
        <v>41</v>
      </c>
      <c r="AQL1" s="404"/>
      <c r="AQM1" s="404"/>
      <c r="AQN1" s="404"/>
      <c r="AQO1" s="404"/>
      <c r="AQP1" s="404"/>
      <c r="AQQ1" s="404"/>
      <c r="AQR1" s="405"/>
      <c r="AQS1" s="432" t="s">
        <v>41</v>
      </c>
      <c r="AQT1" s="404"/>
      <c r="AQU1" s="404"/>
      <c r="AQV1" s="404"/>
      <c r="AQW1" s="404"/>
      <c r="AQX1" s="404"/>
      <c r="AQY1" s="404"/>
      <c r="AQZ1" s="405"/>
      <c r="ARA1" s="432" t="s">
        <v>41</v>
      </c>
      <c r="ARB1" s="404"/>
      <c r="ARC1" s="404"/>
      <c r="ARD1" s="404"/>
      <c r="ARE1" s="404"/>
      <c r="ARF1" s="404"/>
      <c r="ARG1" s="404"/>
      <c r="ARH1" s="405"/>
      <c r="ARI1" s="432" t="s">
        <v>41</v>
      </c>
      <c r="ARJ1" s="404"/>
      <c r="ARK1" s="404"/>
      <c r="ARL1" s="404"/>
      <c r="ARM1" s="404"/>
      <c r="ARN1" s="404"/>
      <c r="ARO1" s="404"/>
      <c r="ARP1" s="405"/>
      <c r="ARQ1" s="432" t="s">
        <v>41</v>
      </c>
      <c r="ARR1" s="404"/>
      <c r="ARS1" s="404"/>
      <c r="ART1" s="404"/>
      <c r="ARU1" s="404"/>
      <c r="ARV1" s="404"/>
      <c r="ARW1" s="404"/>
      <c r="ARX1" s="405"/>
      <c r="ARY1" s="432" t="s">
        <v>41</v>
      </c>
      <c r="ARZ1" s="404"/>
      <c r="ASA1" s="404"/>
      <c r="ASB1" s="404"/>
      <c r="ASC1" s="404"/>
      <c r="ASD1" s="404"/>
      <c r="ASE1" s="404"/>
      <c r="ASF1" s="405"/>
      <c r="ASG1" s="432" t="s">
        <v>41</v>
      </c>
      <c r="ASH1" s="404"/>
      <c r="ASI1" s="404"/>
      <c r="ASJ1" s="404"/>
      <c r="ASK1" s="404"/>
      <c r="ASL1" s="404"/>
      <c r="ASM1" s="404"/>
      <c r="ASN1" s="405"/>
      <c r="ASO1" s="432" t="s">
        <v>41</v>
      </c>
      <c r="ASP1" s="404"/>
      <c r="ASQ1" s="404"/>
      <c r="ASR1" s="404"/>
      <c r="ASS1" s="404"/>
      <c r="AST1" s="404"/>
      <c r="ASU1" s="404"/>
      <c r="ASV1" s="405"/>
      <c r="ASW1" s="432" t="s">
        <v>41</v>
      </c>
      <c r="ASX1" s="404"/>
      <c r="ASY1" s="404"/>
      <c r="ASZ1" s="404"/>
      <c r="ATA1" s="404"/>
      <c r="ATB1" s="404"/>
      <c r="ATC1" s="404"/>
      <c r="ATD1" s="405"/>
      <c r="ATE1" s="432" t="s">
        <v>41</v>
      </c>
      <c r="ATF1" s="404"/>
      <c r="ATG1" s="404"/>
      <c r="ATH1" s="404"/>
      <c r="ATI1" s="404"/>
      <c r="ATJ1" s="404"/>
      <c r="ATK1" s="404"/>
      <c r="ATL1" s="405"/>
      <c r="ATM1" s="432" t="s">
        <v>41</v>
      </c>
      <c r="ATN1" s="404"/>
      <c r="ATO1" s="404"/>
      <c r="ATP1" s="404"/>
      <c r="ATQ1" s="404"/>
      <c r="ATR1" s="404"/>
      <c r="ATS1" s="404"/>
      <c r="ATT1" s="405"/>
      <c r="ATU1" s="432" t="s">
        <v>41</v>
      </c>
      <c r="ATV1" s="404"/>
      <c r="ATW1" s="404"/>
      <c r="ATX1" s="404"/>
      <c r="ATY1" s="404"/>
      <c r="ATZ1" s="404"/>
      <c r="AUA1" s="404"/>
      <c r="AUB1" s="405"/>
      <c r="AUC1" s="432" t="s">
        <v>41</v>
      </c>
      <c r="AUD1" s="404"/>
      <c r="AUE1" s="404"/>
      <c r="AUF1" s="404"/>
      <c r="AUG1" s="404"/>
      <c r="AUH1" s="404"/>
      <c r="AUI1" s="404"/>
      <c r="AUJ1" s="405"/>
      <c r="AUK1" s="432" t="s">
        <v>41</v>
      </c>
      <c r="AUL1" s="404"/>
      <c r="AUM1" s="404"/>
      <c r="AUN1" s="404"/>
      <c r="AUO1" s="404"/>
      <c r="AUP1" s="404"/>
      <c r="AUQ1" s="404"/>
      <c r="AUR1" s="405"/>
      <c r="AUS1" s="432" t="s">
        <v>41</v>
      </c>
      <c r="AUT1" s="404"/>
      <c r="AUU1" s="404"/>
      <c r="AUV1" s="404"/>
      <c r="AUW1" s="404"/>
      <c r="AUX1" s="404"/>
      <c r="AUY1" s="404"/>
      <c r="AUZ1" s="405"/>
      <c r="AVA1" s="432" t="s">
        <v>41</v>
      </c>
      <c r="AVB1" s="404"/>
      <c r="AVC1" s="404"/>
      <c r="AVD1" s="404"/>
      <c r="AVE1" s="404"/>
      <c r="AVF1" s="404"/>
      <c r="AVG1" s="404"/>
      <c r="AVH1" s="405"/>
      <c r="AVI1" s="432" t="s">
        <v>41</v>
      </c>
      <c r="AVJ1" s="404"/>
      <c r="AVK1" s="404"/>
      <c r="AVL1" s="404"/>
      <c r="AVM1" s="404"/>
      <c r="AVN1" s="404"/>
      <c r="AVO1" s="404"/>
      <c r="AVP1" s="405"/>
      <c r="AVQ1" s="432" t="s">
        <v>41</v>
      </c>
      <c r="AVR1" s="404"/>
      <c r="AVS1" s="404"/>
      <c r="AVT1" s="404"/>
      <c r="AVU1" s="404"/>
      <c r="AVV1" s="404"/>
      <c r="AVW1" s="404"/>
      <c r="AVX1" s="405"/>
      <c r="AVY1" s="432" t="s">
        <v>41</v>
      </c>
      <c r="AVZ1" s="404"/>
      <c r="AWA1" s="404"/>
      <c r="AWB1" s="404"/>
      <c r="AWC1" s="404"/>
      <c r="AWD1" s="404"/>
      <c r="AWE1" s="404"/>
      <c r="AWF1" s="405"/>
      <c r="AWG1" s="432" t="s">
        <v>41</v>
      </c>
      <c r="AWH1" s="404"/>
      <c r="AWI1" s="404"/>
      <c r="AWJ1" s="404"/>
      <c r="AWK1" s="404"/>
      <c r="AWL1" s="404"/>
      <c r="AWM1" s="404"/>
      <c r="AWN1" s="405"/>
      <c r="AWO1" s="432" t="s">
        <v>41</v>
      </c>
      <c r="AWP1" s="404"/>
      <c r="AWQ1" s="404"/>
      <c r="AWR1" s="404"/>
      <c r="AWS1" s="404"/>
      <c r="AWT1" s="404"/>
      <c r="AWU1" s="404"/>
      <c r="AWV1" s="405"/>
      <c r="AWW1" s="432" t="s">
        <v>41</v>
      </c>
      <c r="AWX1" s="404"/>
      <c r="AWY1" s="404"/>
      <c r="AWZ1" s="404"/>
      <c r="AXA1" s="404"/>
      <c r="AXB1" s="404"/>
      <c r="AXC1" s="404"/>
      <c r="AXD1" s="405"/>
      <c r="AXE1" s="432" t="s">
        <v>41</v>
      </c>
      <c r="AXF1" s="404"/>
      <c r="AXG1" s="404"/>
      <c r="AXH1" s="404"/>
      <c r="AXI1" s="404"/>
      <c r="AXJ1" s="404"/>
      <c r="AXK1" s="404"/>
      <c r="AXL1" s="405"/>
      <c r="AXM1" s="432" t="s">
        <v>41</v>
      </c>
      <c r="AXN1" s="404"/>
      <c r="AXO1" s="404"/>
      <c r="AXP1" s="404"/>
      <c r="AXQ1" s="404"/>
      <c r="AXR1" s="404"/>
      <c r="AXS1" s="404"/>
      <c r="AXT1" s="405"/>
      <c r="AXU1" s="432" t="s">
        <v>41</v>
      </c>
      <c r="AXV1" s="404"/>
      <c r="AXW1" s="404"/>
      <c r="AXX1" s="404"/>
      <c r="AXY1" s="404"/>
      <c r="AXZ1" s="404"/>
      <c r="AYA1" s="404"/>
      <c r="AYB1" s="405"/>
      <c r="AYC1" s="432" t="s">
        <v>41</v>
      </c>
      <c r="AYD1" s="404"/>
      <c r="AYE1" s="404"/>
      <c r="AYF1" s="404"/>
      <c r="AYG1" s="404"/>
      <c r="AYH1" s="404"/>
      <c r="AYI1" s="404"/>
      <c r="AYJ1" s="405"/>
      <c r="AYK1" s="432" t="s">
        <v>41</v>
      </c>
      <c r="AYL1" s="404"/>
      <c r="AYM1" s="404"/>
      <c r="AYN1" s="404"/>
      <c r="AYO1" s="404"/>
      <c r="AYP1" s="404"/>
      <c r="AYQ1" s="404"/>
      <c r="AYR1" s="405"/>
      <c r="AYS1" s="432" t="s">
        <v>41</v>
      </c>
      <c r="AYT1" s="404"/>
      <c r="AYU1" s="404"/>
      <c r="AYV1" s="404"/>
      <c r="AYW1" s="404"/>
      <c r="AYX1" s="404"/>
      <c r="AYY1" s="404"/>
      <c r="AYZ1" s="405"/>
      <c r="AZA1" s="432" t="s">
        <v>41</v>
      </c>
      <c r="AZB1" s="404"/>
      <c r="AZC1" s="404"/>
      <c r="AZD1" s="404"/>
      <c r="AZE1" s="404"/>
      <c r="AZF1" s="404"/>
      <c r="AZG1" s="404"/>
      <c r="AZH1" s="405"/>
      <c r="AZI1" s="432" t="s">
        <v>41</v>
      </c>
      <c r="AZJ1" s="404"/>
      <c r="AZK1" s="404"/>
      <c r="AZL1" s="404"/>
      <c r="AZM1" s="404"/>
      <c r="AZN1" s="404"/>
      <c r="AZO1" s="404"/>
      <c r="AZP1" s="405"/>
      <c r="AZQ1" s="432" t="s">
        <v>41</v>
      </c>
      <c r="AZR1" s="404"/>
      <c r="AZS1" s="404"/>
      <c r="AZT1" s="404"/>
      <c r="AZU1" s="404"/>
      <c r="AZV1" s="404"/>
      <c r="AZW1" s="404"/>
      <c r="AZX1" s="405"/>
      <c r="AZY1" s="432" t="s">
        <v>41</v>
      </c>
      <c r="AZZ1" s="404"/>
      <c r="BAA1" s="404"/>
      <c r="BAB1" s="404"/>
      <c r="BAC1" s="404"/>
      <c r="BAD1" s="404"/>
      <c r="BAE1" s="404"/>
      <c r="BAF1" s="405"/>
      <c r="BAG1" s="432" t="s">
        <v>41</v>
      </c>
      <c r="BAH1" s="404"/>
      <c r="BAI1" s="404"/>
      <c r="BAJ1" s="404"/>
      <c r="BAK1" s="404"/>
      <c r="BAL1" s="404"/>
      <c r="BAM1" s="404"/>
      <c r="BAN1" s="405"/>
      <c r="BAO1" s="432" t="s">
        <v>41</v>
      </c>
      <c r="BAP1" s="404"/>
      <c r="BAQ1" s="404"/>
      <c r="BAR1" s="404"/>
      <c r="BAS1" s="404"/>
      <c r="BAT1" s="404"/>
      <c r="BAU1" s="404"/>
      <c r="BAV1" s="405"/>
      <c r="BAW1" s="432" t="s">
        <v>41</v>
      </c>
      <c r="BAX1" s="404"/>
      <c r="BAY1" s="404"/>
      <c r="BAZ1" s="404"/>
      <c r="BBA1" s="404"/>
      <c r="BBB1" s="404"/>
      <c r="BBC1" s="404"/>
      <c r="BBD1" s="405"/>
      <c r="BBE1" s="432" t="s">
        <v>41</v>
      </c>
      <c r="BBF1" s="404"/>
      <c r="BBG1" s="404"/>
      <c r="BBH1" s="404"/>
      <c r="BBI1" s="404"/>
      <c r="BBJ1" s="404"/>
      <c r="BBK1" s="404"/>
      <c r="BBL1" s="405"/>
      <c r="BBM1" s="432" t="s">
        <v>41</v>
      </c>
      <c r="BBN1" s="404"/>
      <c r="BBO1" s="404"/>
      <c r="BBP1" s="404"/>
      <c r="BBQ1" s="404"/>
      <c r="BBR1" s="404"/>
      <c r="BBS1" s="404"/>
      <c r="BBT1" s="405"/>
      <c r="BBU1" s="432" t="s">
        <v>41</v>
      </c>
      <c r="BBV1" s="404"/>
      <c r="BBW1" s="404"/>
      <c r="BBX1" s="404"/>
      <c r="BBY1" s="404"/>
      <c r="BBZ1" s="404"/>
      <c r="BCA1" s="404"/>
      <c r="BCB1" s="405"/>
      <c r="BCC1" s="432" t="s">
        <v>41</v>
      </c>
      <c r="BCD1" s="404"/>
      <c r="BCE1" s="404"/>
      <c r="BCF1" s="404"/>
      <c r="BCG1" s="404"/>
      <c r="BCH1" s="404"/>
      <c r="BCI1" s="404"/>
      <c r="BCJ1" s="405"/>
      <c r="BCK1" s="432" t="s">
        <v>41</v>
      </c>
      <c r="BCL1" s="404"/>
      <c r="BCM1" s="404"/>
      <c r="BCN1" s="404"/>
      <c r="BCO1" s="404"/>
      <c r="BCP1" s="404"/>
      <c r="BCQ1" s="404"/>
      <c r="BCR1" s="405"/>
      <c r="BCS1" s="432" t="s">
        <v>41</v>
      </c>
      <c r="BCT1" s="404"/>
      <c r="BCU1" s="404"/>
      <c r="BCV1" s="404"/>
      <c r="BCW1" s="404"/>
      <c r="BCX1" s="404"/>
      <c r="BCY1" s="404"/>
      <c r="BCZ1" s="405"/>
      <c r="BDA1" s="432" t="s">
        <v>41</v>
      </c>
      <c r="BDB1" s="404"/>
      <c r="BDC1" s="404"/>
      <c r="BDD1" s="404"/>
      <c r="BDE1" s="404"/>
      <c r="BDF1" s="404"/>
      <c r="BDG1" s="404"/>
      <c r="BDH1" s="405"/>
      <c r="BDI1" s="432" t="s">
        <v>41</v>
      </c>
      <c r="BDJ1" s="404"/>
      <c r="BDK1" s="404"/>
      <c r="BDL1" s="404"/>
      <c r="BDM1" s="404"/>
      <c r="BDN1" s="404"/>
      <c r="BDO1" s="404"/>
      <c r="BDP1" s="405"/>
      <c r="BDQ1" s="432" t="s">
        <v>41</v>
      </c>
      <c r="BDR1" s="404"/>
      <c r="BDS1" s="404"/>
      <c r="BDT1" s="404"/>
      <c r="BDU1" s="404"/>
      <c r="BDV1" s="404"/>
      <c r="BDW1" s="404"/>
      <c r="BDX1" s="405"/>
      <c r="BDY1" s="432" t="s">
        <v>41</v>
      </c>
      <c r="BDZ1" s="404"/>
      <c r="BEA1" s="404"/>
      <c r="BEB1" s="404"/>
      <c r="BEC1" s="404"/>
      <c r="BED1" s="404"/>
      <c r="BEE1" s="404"/>
      <c r="BEF1" s="405"/>
      <c r="BEG1" s="432" t="s">
        <v>41</v>
      </c>
      <c r="BEH1" s="404"/>
      <c r="BEI1" s="404"/>
      <c r="BEJ1" s="404"/>
      <c r="BEK1" s="404"/>
      <c r="BEL1" s="404"/>
      <c r="BEM1" s="404"/>
      <c r="BEN1" s="405"/>
      <c r="BEO1" s="432" t="s">
        <v>41</v>
      </c>
      <c r="BEP1" s="404"/>
      <c r="BEQ1" s="404"/>
      <c r="BER1" s="404"/>
      <c r="BES1" s="404"/>
      <c r="BET1" s="404"/>
      <c r="BEU1" s="404"/>
      <c r="BEV1" s="405"/>
      <c r="BEW1" s="432" t="s">
        <v>41</v>
      </c>
      <c r="BEX1" s="404"/>
      <c r="BEY1" s="404"/>
      <c r="BEZ1" s="404"/>
      <c r="BFA1" s="404"/>
      <c r="BFB1" s="404"/>
      <c r="BFC1" s="404"/>
      <c r="BFD1" s="405"/>
      <c r="BFE1" s="432" t="s">
        <v>41</v>
      </c>
      <c r="BFF1" s="404"/>
      <c r="BFG1" s="404"/>
      <c r="BFH1" s="404"/>
      <c r="BFI1" s="404"/>
      <c r="BFJ1" s="404"/>
      <c r="BFK1" s="404"/>
      <c r="BFL1" s="405"/>
      <c r="BFM1" s="432" t="s">
        <v>41</v>
      </c>
      <c r="BFN1" s="404"/>
      <c r="BFO1" s="404"/>
      <c r="BFP1" s="404"/>
      <c r="BFQ1" s="404"/>
      <c r="BFR1" s="404"/>
      <c r="BFS1" s="404"/>
      <c r="BFT1" s="405"/>
      <c r="BFU1" s="432" t="s">
        <v>41</v>
      </c>
      <c r="BFV1" s="404"/>
      <c r="BFW1" s="404"/>
      <c r="BFX1" s="404"/>
      <c r="BFY1" s="404"/>
      <c r="BFZ1" s="404"/>
      <c r="BGA1" s="404"/>
      <c r="BGB1" s="405"/>
      <c r="BGC1" s="432" t="s">
        <v>41</v>
      </c>
      <c r="BGD1" s="404"/>
      <c r="BGE1" s="404"/>
      <c r="BGF1" s="404"/>
      <c r="BGG1" s="404"/>
      <c r="BGH1" s="404"/>
      <c r="BGI1" s="404"/>
      <c r="BGJ1" s="405"/>
      <c r="BGK1" s="432" t="s">
        <v>41</v>
      </c>
      <c r="BGL1" s="404"/>
      <c r="BGM1" s="404"/>
      <c r="BGN1" s="404"/>
      <c r="BGO1" s="404"/>
      <c r="BGP1" s="404"/>
      <c r="BGQ1" s="404"/>
      <c r="BGR1" s="405"/>
      <c r="BGS1" s="432" t="s">
        <v>41</v>
      </c>
      <c r="BGT1" s="404"/>
      <c r="BGU1" s="404"/>
      <c r="BGV1" s="404"/>
      <c r="BGW1" s="404"/>
      <c r="BGX1" s="404"/>
      <c r="BGY1" s="404"/>
      <c r="BGZ1" s="405"/>
      <c r="BHA1" s="432" t="s">
        <v>41</v>
      </c>
      <c r="BHB1" s="404"/>
      <c r="BHC1" s="404"/>
      <c r="BHD1" s="404"/>
      <c r="BHE1" s="404"/>
      <c r="BHF1" s="404"/>
      <c r="BHG1" s="404"/>
      <c r="BHH1" s="405"/>
      <c r="BHI1" s="432" t="s">
        <v>41</v>
      </c>
      <c r="BHJ1" s="404"/>
      <c r="BHK1" s="404"/>
      <c r="BHL1" s="404"/>
      <c r="BHM1" s="404"/>
      <c r="BHN1" s="404"/>
      <c r="BHO1" s="404"/>
      <c r="BHP1" s="405"/>
      <c r="BHQ1" s="432" t="s">
        <v>41</v>
      </c>
      <c r="BHR1" s="404"/>
      <c r="BHS1" s="404"/>
      <c r="BHT1" s="404"/>
      <c r="BHU1" s="404"/>
      <c r="BHV1" s="404"/>
      <c r="BHW1" s="404"/>
      <c r="BHX1" s="405"/>
      <c r="BHY1" s="432" t="s">
        <v>41</v>
      </c>
      <c r="BHZ1" s="404"/>
      <c r="BIA1" s="404"/>
      <c r="BIB1" s="404"/>
      <c r="BIC1" s="404"/>
      <c r="BID1" s="404"/>
      <c r="BIE1" s="404"/>
      <c r="BIF1" s="405"/>
      <c r="BIG1" s="432" t="s">
        <v>41</v>
      </c>
      <c r="BIH1" s="404"/>
      <c r="BII1" s="404"/>
      <c r="BIJ1" s="404"/>
      <c r="BIK1" s="404"/>
      <c r="BIL1" s="404"/>
      <c r="BIM1" s="404"/>
      <c r="BIN1" s="405"/>
      <c r="BIO1" s="432" t="s">
        <v>41</v>
      </c>
      <c r="BIP1" s="404"/>
      <c r="BIQ1" s="404"/>
      <c r="BIR1" s="404"/>
      <c r="BIS1" s="404"/>
      <c r="BIT1" s="404"/>
      <c r="BIU1" s="404"/>
      <c r="BIV1" s="405"/>
      <c r="BIW1" s="432" t="s">
        <v>41</v>
      </c>
      <c r="BIX1" s="404"/>
      <c r="BIY1" s="404"/>
      <c r="BIZ1" s="404"/>
      <c r="BJA1" s="404"/>
      <c r="BJB1" s="404"/>
      <c r="BJC1" s="404"/>
      <c r="BJD1" s="405"/>
      <c r="BJE1" s="432" t="s">
        <v>41</v>
      </c>
      <c r="BJF1" s="404"/>
      <c r="BJG1" s="404"/>
      <c r="BJH1" s="404"/>
      <c r="BJI1" s="404"/>
      <c r="BJJ1" s="404"/>
      <c r="BJK1" s="404"/>
      <c r="BJL1" s="405"/>
      <c r="BJM1" s="432" t="s">
        <v>41</v>
      </c>
      <c r="BJN1" s="404"/>
      <c r="BJO1" s="404"/>
      <c r="BJP1" s="404"/>
      <c r="BJQ1" s="404"/>
      <c r="BJR1" s="404"/>
      <c r="BJS1" s="404"/>
      <c r="BJT1" s="405"/>
      <c r="BJU1" s="432" t="s">
        <v>41</v>
      </c>
      <c r="BJV1" s="404"/>
      <c r="BJW1" s="404"/>
      <c r="BJX1" s="404"/>
      <c r="BJY1" s="404"/>
      <c r="BJZ1" s="404"/>
      <c r="BKA1" s="404"/>
      <c r="BKB1" s="405"/>
      <c r="BKC1" s="432" t="s">
        <v>41</v>
      </c>
      <c r="BKD1" s="404"/>
      <c r="BKE1" s="404"/>
      <c r="BKF1" s="404"/>
      <c r="BKG1" s="404"/>
      <c r="BKH1" s="404"/>
      <c r="BKI1" s="404"/>
      <c r="BKJ1" s="405"/>
      <c r="BKK1" s="432" t="s">
        <v>41</v>
      </c>
      <c r="BKL1" s="404"/>
      <c r="BKM1" s="404"/>
      <c r="BKN1" s="404"/>
      <c r="BKO1" s="404"/>
      <c r="BKP1" s="404"/>
      <c r="BKQ1" s="404"/>
      <c r="BKR1" s="405"/>
      <c r="BKS1" s="432" t="s">
        <v>41</v>
      </c>
      <c r="BKT1" s="404"/>
      <c r="BKU1" s="404"/>
      <c r="BKV1" s="404"/>
      <c r="BKW1" s="404"/>
      <c r="BKX1" s="404"/>
      <c r="BKY1" s="404"/>
      <c r="BKZ1" s="405"/>
      <c r="BLA1" s="432" t="s">
        <v>41</v>
      </c>
      <c r="BLB1" s="404"/>
      <c r="BLC1" s="404"/>
      <c r="BLD1" s="404"/>
      <c r="BLE1" s="404"/>
      <c r="BLF1" s="404"/>
      <c r="BLG1" s="404"/>
      <c r="BLH1" s="405"/>
      <c r="BLI1" s="432" t="s">
        <v>41</v>
      </c>
      <c r="BLJ1" s="404"/>
      <c r="BLK1" s="404"/>
      <c r="BLL1" s="404"/>
      <c r="BLM1" s="404"/>
      <c r="BLN1" s="404"/>
      <c r="BLO1" s="404"/>
      <c r="BLP1" s="405"/>
      <c r="BLQ1" s="432" t="s">
        <v>41</v>
      </c>
      <c r="BLR1" s="404"/>
      <c r="BLS1" s="404"/>
      <c r="BLT1" s="404"/>
      <c r="BLU1" s="404"/>
      <c r="BLV1" s="404"/>
      <c r="BLW1" s="404"/>
      <c r="BLX1" s="405"/>
      <c r="BLY1" s="432" t="s">
        <v>41</v>
      </c>
      <c r="BLZ1" s="404"/>
      <c r="BMA1" s="404"/>
      <c r="BMB1" s="404"/>
      <c r="BMC1" s="404"/>
      <c r="BMD1" s="404"/>
      <c r="BME1" s="404"/>
      <c r="BMF1" s="405"/>
      <c r="BMG1" s="432" t="s">
        <v>41</v>
      </c>
      <c r="BMH1" s="404"/>
      <c r="BMI1" s="404"/>
      <c r="BMJ1" s="404"/>
      <c r="BMK1" s="404"/>
      <c r="BML1" s="404"/>
      <c r="BMM1" s="404"/>
      <c r="BMN1" s="405"/>
      <c r="BMO1" s="432" t="s">
        <v>41</v>
      </c>
      <c r="BMP1" s="404"/>
      <c r="BMQ1" s="404"/>
      <c r="BMR1" s="404"/>
      <c r="BMS1" s="404"/>
      <c r="BMT1" s="404"/>
      <c r="BMU1" s="404"/>
      <c r="BMV1" s="405"/>
      <c r="BMW1" s="432" t="s">
        <v>41</v>
      </c>
      <c r="BMX1" s="404"/>
      <c r="BMY1" s="404"/>
      <c r="BMZ1" s="404"/>
      <c r="BNA1" s="404"/>
      <c r="BNB1" s="404"/>
      <c r="BNC1" s="404"/>
      <c r="BND1" s="405"/>
      <c r="BNE1" s="432" t="s">
        <v>41</v>
      </c>
      <c r="BNF1" s="404"/>
      <c r="BNG1" s="404"/>
      <c r="BNH1" s="404"/>
      <c r="BNI1" s="404"/>
      <c r="BNJ1" s="404"/>
      <c r="BNK1" s="404"/>
      <c r="BNL1" s="405"/>
      <c r="BNM1" s="432" t="s">
        <v>41</v>
      </c>
      <c r="BNN1" s="404"/>
      <c r="BNO1" s="404"/>
      <c r="BNP1" s="404"/>
      <c r="BNQ1" s="404"/>
      <c r="BNR1" s="404"/>
      <c r="BNS1" s="404"/>
      <c r="BNT1" s="405"/>
      <c r="BNU1" s="432" t="s">
        <v>41</v>
      </c>
      <c r="BNV1" s="404"/>
      <c r="BNW1" s="404"/>
      <c r="BNX1" s="404"/>
      <c r="BNY1" s="404"/>
      <c r="BNZ1" s="404"/>
      <c r="BOA1" s="404"/>
      <c r="BOB1" s="405"/>
      <c r="BOC1" s="432" t="s">
        <v>41</v>
      </c>
      <c r="BOD1" s="404"/>
      <c r="BOE1" s="404"/>
      <c r="BOF1" s="404"/>
      <c r="BOG1" s="404"/>
      <c r="BOH1" s="404"/>
      <c r="BOI1" s="404"/>
      <c r="BOJ1" s="405"/>
      <c r="BOK1" s="432" t="s">
        <v>41</v>
      </c>
      <c r="BOL1" s="404"/>
      <c r="BOM1" s="404"/>
      <c r="BON1" s="404"/>
      <c r="BOO1" s="404"/>
      <c r="BOP1" s="404"/>
      <c r="BOQ1" s="404"/>
      <c r="BOR1" s="405"/>
      <c r="BOS1" s="432" t="s">
        <v>41</v>
      </c>
      <c r="BOT1" s="404"/>
      <c r="BOU1" s="404"/>
      <c r="BOV1" s="404"/>
      <c r="BOW1" s="404"/>
      <c r="BOX1" s="404"/>
      <c r="BOY1" s="404"/>
      <c r="BOZ1" s="405"/>
      <c r="BPA1" s="432" t="s">
        <v>41</v>
      </c>
      <c r="BPB1" s="404"/>
      <c r="BPC1" s="404"/>
      <c r="BPD1" s="404"/>
      <c r="BPE1" s="404"/>
      <c r="BPF1" s="404"/>
      <c r="BPG1" s="404"/>
      <c r="BPH1" s="405"/>
      <c r="BPI1" s="432" t="s">
        <v>41</v>
      </c>
      <c r="BPJ1" s="404"/>
      <c r="BPK1" s="404"/>
      <c r="BPL1" s="404"/>
      <c r="BPM1" s="404"/>
      <c r="BPN1" s="404"/>
      <c r="BPO1" s="404"/>
      <c r="BPP1" s="405"/>
      <c r="BPQ1" s="432" t="s">
        <v>41</v>
      </c>
      <c r="BPR1" s="404"/>
      <c r="BPS1" s="404"/>
      <c r="BPT1" s="404"/>
      <c r="BPU1" s="404"/>
      <c r="BPV1" s="404"/>
      <c r="BPW1" s="404"/>
      <c r="BPX1" s="405"/>
      <c r="BPY1" s="432" t="s">
        <v>41</v>
      </c>
      <c r="BPZ1" s="404"/>
      <c r="BQA1" s="404"/>
      <c r="BQB1" s="404"/>
      <c r="BQC1" s="404"/>
      <c r="BQD1" s="404"/>
      <c r="BQE1" s="404"/>
      <c r="BQF1" s="405"/>
      <c r="BQG1" s="432" t="s">
        <v>41</v>
      </c>
      <c r="BQH1" s="404"/>
      <c r="BQI1" s="404"/>
      <c r="BQJ1" s="404"/>
      <c r="BQK1" s="404"/>
      <c r="BQL1" s="404"/>
      <c r="BQM1" s="404"/>
      <c r="BQN1" s="405"/>
      <c r="BQO1" s="432" t="s">
        <v>41</v>
      </c>
      <c r="BQP1" s="404"/>
      <c r="BQQ1" s="404"/>
      <c r="BQR1" s="404"/>
      <c r="BQS1" s="404"/>
      <c r="BQT1" s="404"/>
      <c r="BQU1" s="404"/>
      <c r="BQV1" s="405"/>
      <c r="BQW1" s="432" t="s">
        <v>41</v>
      </c>
      <c r="BQX1" s="404"/>
      <c r="BQY1" s="404"/>
      <c r="BQZ1" s="404"/>
      <c r="BRA1" s="404"/>
      <c r="BRB1" s="404"/>
      <c r="BRC1" s="404"/>
      <c r="BRD1" s="405"/>
      <c r="BRE1" s="432" t="s">
        <v>41</v>
      </c>
      <c r="BRF1" s="404"/>
      <c r="BRG1" s="404"/>
      <c r="BRH1" s="404"/>
      <c r="BRI1" s="404"/>
      <c r="BRJ1" s="404"/>
      <c r="BRK1" s="404"/>
      <c r="BRL1" s="405"/>
      <c r="BRM1" s="432" t="s">
        <v>41</v>
      </c>
      <c r="BRN1" s="404"/>
      <c r="BRO1" s="404"/>
      <c r="BRP1" s="404"/>
      <c r="BRQ1" s="404"/>
      <c r="BRR1" s="404"/>
      <c r="BRS1" s="404"/>
      <c r="BRT1" s="405"/>
      <c r="BRU1" s="432" t="s">
        <v>41</v>
      </c>
      <c r="BRV1" s="404"/>
      <c r="BRW1" s="404"/>
      <c r="BRX1" s="404"/>
      <c r="BRY1" s="404"/>
      <c r="BRZ1" s="404"/>
      <c r="BSA1" s="404"/>
      <c r="BSB1" s="405"/>
      <c r="BSC1" s="432" t="s">
        <v>41</v>
      </c>
      <c r="BSD1" s="404"/>
      <c r="BSE1" s="404"/>
      <c r="BSF1" s="404"/>
      <c r="BSG1" s="404"/>
      <c r="BSH1" s="404"/>
      <c r="BSI1" s="404"/>
      <c r="BSJ1" s="405"/>
      <c r="BSK1" s="432" t="s">
        <v>41</v>
      </c>
      <c r="BSL1" s="404"/>
      <c r="BSM1" s="404"/>
      <c r="BSN1" s="404"/>
      <c r="BSO1" s="404"/>
      <c r="BSP1" s="404"/>
      <c r="BSQ1" s="404"/>
      <c r="BSR1" s="405"/>
      <c r="BSS1" s="432" t="s">
        <v>41</v>
      </c>
      <c r="BST1" s="404"/>
      <c r="BSU1" s="404"/>
      <c r="BSV1" s="404"/>
      <c r="BSW1" s="404"/>
      <c r="BSX1" s="404"/>
      <c r="BSY1" s="404"/>
      <c r="BSZ1" s="405"/>
      <c r="BTA1" s="432" t="s">
        <v>41</v>
      </c>
      <c r="BTB1" s="404"/>
      <c r="BTC1" s="404"/>
      <c r="BTD1" s="404"/>
      <c r="BTE1" s="404"/>
      <c r="BTF1" s="404"/>
      <c r="BTG1" s="404"/>
      <c r="BTH1" s="405"/>
      <c r="BTI1" s="432" t="s">
        <v>41</v>
      </c>
      <c r="BTJ1" s="404"/>
      <c r="BTK1" s="404"/>
      <c r="BTL1" s="404"/>
      <c r="BTM1" s="404"/>
      <c r="BTN1" s="404"/>
      <c r="BTO1" s="404"/>
      <c r="BTP1" s="405"/>
      <c r="BTQ1" s="432" t="s">
        <v>41</v>
      </c>
      <c r="BTR1" s="404"/>
      <c r="BTS1" s="404"/>
      <c r="BTT1" s="404"/>
      <c r="BTU1" s="404"/>
      <c r="BTV1" s="404"/>
      <c r="BTW1" s="404"/>
      <c r="BTX1" s="405"/>
      <c r="BTY1" s="432" t="s">
        <v>41</v>
      </c>
      <c r="BTZ1" s="404"/>
      <c r="BUA1" s="404"/>
      <c r="BUB1" s="404"/>
      <c r="BUC1" s="404"/>
      <c r="BUD1" s="404"/>
      <c r="BUE1" s="404"/>
      <c r="BUF1" s="405"/>
      <c r="BUG1" s="432" t="s">
        <v>41</v>
      </c>
      <c r="BUH1" s="404"/>
      <c r="BUI1" s="404"/>
      <c r="BUJ1" s="404"/>
      <c r="BUK1" s="404"/>
      <c r="BUL1" s="404"/>
      <c r="BUM1" s="404"/>
      <c r="BUN1" s="405"/>
      <c r="BUO1" s="432" t="s">
        <v>41</v>
      </c>
      <c r="BUP1" s="404"/>
      <c r="BUQ1" s="404"/>
      <c r="BUR1" s="404"/>
      <c r="BUS1" s="404"/>
      <c r="BUT1" s="404"/>
      <c r="BUU1" s="404"/>
      <c r="BUV1" s="405"/>
      <c r="BUW1" s="432" t="s">
        <v>41</v>
      </c>
      <c r="BUX1" s="404"/>
      <c r="BUY1" s="404"/>
      <c r="BUZ1" s="404"/>
      <c r="BVA1" s="404"/>
      <c r="BVB1" s="404"/>
      <c r="BVC1" s="404"/>
      <c r="BVD1" s="405"/>
      <c r="BVE1" s="432" t="s">
        <v>41</v>
      </c>
      <c r="BVF1" s="404"/>
      <c r="BVG1" s="404"/>
      <c r="BVH1" s="404"/>
      <c r="BVI1" s="404"/>
      <c r="BVJ1" s="404"/>
      <c r="BVK1" s="404"/>
      <c r="BVL1" s="405"/>
      <c r="BVM1" s="432" t="s">
        <v>41</v>
      </c>
      <c r="BVN1" s="404"/>
      <c r="BVO1" s="404"/>
      <c r="BVP1" s="404"/>
      <c r="BVQ1" s="404"/>
      <c r="BVR1" s="404"/>
      <c r="BVS1" s="404"/>
      <c r="BVT1" s="405"/>
      <c r="BVU1" s="432" t="s">
        <v>41</v>
      </c>
      <c r="BVV1" s="404"/>
      <c r="BVW1" s="404"/>
      <c r="BVX1" s="404"/>
      <c r="BVY1" s="404"/>
      <c r="BVZ1" s="404"/>
      <c r="BWA1" s="404"/>
      <c r="BWB1" s="405"/>
      <c r="BWC1" s="432" t="s">
        <v>41</v>
      </c>
      <c r="BWD1" s="404"/>
      <c r="BWE1" s="404"/>
      <c r="BWF1" s="404"/>
      <c r="BWG1" s="404"/>
      <c r="BWH1" s="404"/>
      <c r="BWI1" s="404"/>
      <c r="BWJ1" s="405"/>
      <c r="BWK1" s="432" t="s">
        <v>41</v>
      </c>
      <c r="BWL1" s="404"/>
      <c r="BWM1" s="404"/>
      <c r="BWN1" s="404"/>
      <c r="BWO1" s="404"/>
      <c r="BWP1" s="404"/>
      <c r="BWQ1" s="404"/>
      <c r="BWR1" s="405"/>
      <c r="BWS1" s="432" t="s">
        <v>41</v>
      </c>
      <c r="BWT1" s="404"/>
      <c r="BWU1" s="404"/>
      <c r="BWV1" s="404"/>
      <c r="BWW1" s="404"/>
      <c r="BWX1" s="404"/>
      <c r="BWY1" s="404"/>
      <c r="BWZ1" s="405"/>
      <c r="BXA1" s="432" t="s">
        <v>41</v>
      </c>
      <c r="BXB1" s="404"/>
      <c r="BXC1" s="404"/>
      <c r="BXD1" s="404"/>
      <c r="BXE1" s="404"/>
      <c r="BXF1" s="404"/>
      <c r="BXG1" s="404"/>
      <c r="BXH1" s="405"/>
      <c r="BXI1" s="432" t="s">
        <v>41</v>
      </c>
      <c r="BXJ1" s="404"/>
      <c r="BXK1" s="404"/>
      <c r="BXL1" s="404"/>
      <c r="BXM1" s="404"/>
      <c r="BXN1" s="404"/>
      <c r="BXO1" s="404"/>
      <c r="BXP1" s="405"/>
      <c r="BXQ1" s="432" t="s">
        <v>41</v>
      </c>
      <c r="BXR1" s="404"/>
      <c r="BXS1" s="404"/>
      <c r="BXT1" s="404"/>
      <c r="BXU1" s="404"/>
      <c r="BXV1" s="404"/>
      <c r="BXW1" s="404"/>
      <c r="BXX1" s="405"/>
      <c r="BXY1" s="432" t="s">
        <v>41</v>
      </c>
      <c r="BXZ1" s="404"/>
      <c r="BYA1" s="404"/>
      <c r="BYB1" s="404"/>
      <c r="BYC1" s="404"/>
      <c r="BYD1" s="404"/>
      <c r="BYE1" s="404"/>
      <c r="BYF1" s="405"/>
      <c r="BYG1" s="432" t="s">
        <v>41</v>
      </c>
      <c r="BYH1" s="404"/>
      <c r="BYI1" s="404"/>
      <c r="BYJ1" s="404"/>
      <c r="BYK1" s="404"/>
      <c r="BYL1" s="404"/>
      <c r="BYM1" s="404"/>
      <c r="BYN1" s="405"/>
      <c r="BYO1" s="432" t="s">
        <v>41</v>
      </c>
      <c r="BYP1" s="404"/>
      <c r="BYQ1" s="404"/>
      <c r="BYR1" s="404"/>
      <c r="BYS1" s="404"/>
      <c r="BYT1" s="404"/>
      <c r="BYU1" s="404"/>
      <c r="BYV1" s="405"/>
      <c r="BYW1" s="432" t="s">
        <v>41</v>
      </c>
      <c r="BYX1" s="404"/>
      <c r="BYY1" s="404"/>
      <c r="BYZ1" s="404"/>
      <c r="BZA1" s="404"/>
      <c r="BZB1" s="404"/>
      <c r="BZC1" s="404"/>
      <c r="BZD1" s="405"/>
      <c r="BZE1" s="432" t="s">
        <v>41</v>
      </c>
      <c r="BZF1" s="404"/>
      <c r="BZG1" s="404"/>
      <c r="BZH1" s="404"/>
      <c r="BZI1" s="404"/>
      <c r="BZJ1" s="404"/>
      <c r="BZK1" s="404"/>
      <c r="BZL1" s="405"/>
      <c r="BZM1" s="432" t="s">
        <v>41</v>
      </c>
      <c r="BZN1" s="404"/>
      <c r="BZO1" s="404"/>
      <c r="BZP1" s="404"/>
      <c r="BZQ1" s="404"/>
      <c r="BZR1" s="404"/>
      <c r="BZS1" s="404"/>
      <c r="BZT1" s="405"/>
      <c r="BZU1" s="432" t="s">
        <v>41</v>
      </c>
      <c r="BZV1" s="404"/>
      <c r="BZW1" s="404"/>
      <c r="BZX1" s="404"/>
      <c r="BZY1" s="404"/>
      <c r="BZZ1" s="404"/>
      <c r="CAA1" s="404"/>
      <c r="CAB1" s="405"/>
      <c r="CAC1" s="432" t="s">
        <v>41</v>
      </c>
      <c r="CAD1" s="404"/>
      <c r="CAE1" s="404"/>
      <c r="CAF1" s="404"/>
      <c r="CAG1" s="404"/>
      <c r="CAH1" s="404"/>
      <c r="CAI1" s="404"/>
      <c r="CAJ1" s="405"/>
      <c r="CAK1" s="432" t="s">
        <v>41</v>
      </c>
      <c r="CAL1" s="404"/>
      <c r="CAM1" s="404"/>
      <c r="CAN1" s="404"/>
      <c r="CAO1" s="404"/>
      <c r="CAP1" s="404"/>
      <c r="CAQ1" s="404"/>
      <c r="CAR1" s="405"/>
      <c r="CAS1" s="432" t="s">
        <v>41</v>
      </c>
      <c r="CAT1" s="404"/>
      <c r="CAU1" s="404"/>
      <c r="CAV1" s="404"/>
      <c r="CAW1" s="404"/>
      <c r="CAX1" s="404"/>
      <c r="CAY1" s="404"/>
      <c r="CAZ1" s="405"/>
      <c r="CBA1" s="432" t="s">
        <v>41</v>
      </c>
      <c r="CBB1" s="404"/>
      <c r="CBC1" s="404"/>
      <c r="CBD1" s="404"/>
      <c r="CBE1" s="404"/>
      <c r="CBF1" s="404"/>
      <c r="CBG1" s="404"/>
      <c r="CBH1" s="405"/>
      <c r="CBI1" s="432" t="s">
        <v>41</v>
      </c>
      <c r="CBJ1" s="404"/>
      <c r="CBK1" s="404"/>
      <c r="CBL1" s="404"/>
      <c r="CBM1" s="404"/>
      <c r="CBN1" s="404"/>
      <c r="CBO1" s="404"/>
      <c r="CBP1" s="405"/>
      <c r="CBQ1" s="432" t="s">
        <v>41</v>
      </c>
      <c r="CBR1" s="404"/>
      <c r="CBS1" s="404"/>
      <c r="CBT1" s="404"/>
      <c r="CBU1" s="404"/>
      <c r="CBV1" s="404"/>
      <c r="CBW1" s="404"/>
      <c r="CBX1" s="405"/>
      <c r="CBY1" s="432" t="s">
        <v>41</v>
      </c>
      <c r="CBZ1" s="404"/>
      <c r="CCA1" s="404"/>
      <c r="CCB1" s="404"/>
      <c r="CCC1" s="404"/>
      <c r="CCD1" s="404"/>
      <c r="CCE1" s="404"/>
      <c r="CCF1" s="405"/>
      <c r="CCG1" s="432" t="s">
        <v>41</v>
      </c>
      <c r="CCH1" s="404"/>
      <c r="CCI1" s="404"/>
      <c r="CCJ1" s="404"/>
      <c r="CCK1" s="404"/>
      <c r="CCL1" s="404"/>
      <c r="CCM1" s="404"/>
      <c r="CCN1" s="405"/>
      <c r="CCO1" s="432" t="s">
        <v>41</v>
      </c>
      <c r="CCP1" s="404"/>
      <c r="CCQ1" s="404"/>
      <c r="CCR1" s="404"/>
      <c r="CCS1" s="404"/>
      <c r="CCT1" s="404"/>
      <c r="CCU1" s="404"/>
      <c r="CCV1" s="405"/>
      <c r="CCW1" s="432" t="s">
        <v>41</v>
      </c>
      <c r="CCX1" s="404"/>
      <c r="CCY1" s="404"/>
      <c r="CCZ1" s="404"/>
      <c r="CDA1" s="404"/>
      <c r="CDB1" s="404"/>
      <c r="CDC1" s="404"/>
      <c r="CDD1" s="405"/>
      <c r="CDE1" s="432" t="s">
        <v>41</v>
      </c>
      <c r="CDF1" s="404"/>
      <c r="CDG1" s="404"/>
      <c r="CDH1" s="404"/>
      <c r="CDI1" s="404"/>
      <c r="CDJ1" s="404"/>
      <c r="CDK1" s="404"/>
      <c r="CDL1" s="405"/>
      <c r="CDM1" s="432" t="s">
        <v>41</v>
      </c>
      <c r="CDN1" s="404"/>
      <c r="CDO1" s="404"/>
      <c r="CDP1" s="404"/>
      <c r="CDQ1" s="404"/>
      <c r="CDR1" s="404"/>
      <c r="CDS1" s="404"/>
      <c r="CDT1" s="405"/>
      <c r="CDU1" s="432" t="s">
        <v>41</v>
      </c>
      <c r="CDV1" s="404"/>
      <c r="CDW1" s="404"/>
      <c r="CDX1" s="404"/>
      <c r="CDY1" s="404"/>
      <c r="CDZ1" s="404"/>
      <c r="CEA1" s="404"/>
      <c r="CEB1" s="405"/>
      <c r="CEC1" s="432" t="s">
        <v>41</v>
      </c>
      <c r="CED1" s="404"/>
      <c r="CEE1" s="404"/>
      <c r="CEF1" s="404"/>
      <c r="CEG1" s="404"/>
      <c r="CEH1" s="404"/>
      <c r="CEI1" s="404"/>
      <c r="CEJ1" s="405"/>
      <c r="CEK1" s="432" t="s">
        <v>41</v>
      </c>
      <c r="CEL1" s="404"/>
      <c r="CEM1" s="404"/>
      <c r="CEN1" s="404"/>
      <c r="CEO1" s="404"/>
      <c r="CEP1" s="404"/>
      <c r="CEQ1" s="404"/>
      <c r="CER1" s="405"/>
      <c r="CES1" s="432" t="s">
        <v>41</v>
      </c>
      <c r="CET1" s="404"/>
      <c r="CEU1" s="404"/>
      <c r="CEV1" s="404"/>
      <c r="CEW1" s="404"/>
      <c r="CEX1" s="404"/>
      <c r="CEY1" s="404"/>
      <c r="CEZ1" s="405"/>
      <c r="CFA1" s="432" t="s">
        <v>41</v>
      </c>
      <c r="CFB1" s="404"/>
      <c r="CFC1" s="404"/>
      <c r="CFD1" s="404"/>
      <c r="CFE1" s="404"/>
      <c r="CFF1" s="404"/>
      <c r="CFG1" s="404"/>
      <c r="CFH1" s="405"/>
      <c r="CFI1" s="432" t="s">
        <v>41</v>
      </c>
      <c r="CFJ1" s="404"/>
      <c r="CFK1" s="404"/>
      <c r="CFL1" s="404"/>
      <c r="CFM1" s="404"/>
      <c r="CFN1" s="404"/>
      <c r="CFO1" s="404"/>
      <c r="CFP1" s="405"/>
      <c r="CFQ1" s="432" t="s">
        <v>41</v>
      </c>
      <c r="CFR1" s="404"/>
      <c r="CFS1" s="404"/>
      <c r="CFT1" s="404"/>
      <c r="CFU1" s="404"/>
      <c r="CFV1" s="404"/>
      <c r="CFW1" s="404"/>
      <c r="CFX1" s="405"/>
      <c r="CFY1" s="432" t="s">
        <v>41</v>
      </c>
      <c r="CFZ1" s="404"/>
      <c r="CGA1" s="404"/>
      <c r="CGB1" s="404"/>
      <c r="CGC1" s="404"/>
      <c r="CGD1" s="404"/>
      <c r="CGE1" s="404"/>
      <c r="CGF1" s="405"/>
      <c r="CGG1" s="432" t="s">
        <v>41</v>
      </c>
      <c r="CGH1" s="404"/>
      <c r="CGI1" s="404"/>
      <c r="CGJ1" s="404"/>
      <c r="CGK1" s="404"/>
      <c r="CGL1" s="404"/>
      <c r="CGM1" s="404"/>
      <c r="CGN1" s="405"/>
      <c r="CGO1" s="432" t="s">
        <v>41</v>
      </c>
      <c r="CGP1" s="404"/>
      <c r="CGQ1" s="404"/>
      <c r="CGR1" s="404"/>
      <c r="CGS1" s="404"/>
      <c r="CGT1" s="404"/>
      <c r="CGU1" s="404"/>
      <c r="CGV1" s="405"/>
      <c r="CGW1" s="432" t="s">
        <v>41</v>
      </c>
      <c r="CGX1" s="404"/>
      <c r="CGY1" s="404"/>
      <c r="CGZ1" s="404"/>
      <c r="CHA1" s="404"/>
      <c r="CHB1" s="404"/>
      <c r="CHC1" s="404"/>
      <c r="CHD1" s="405"/>
      <c r="CHE1" s="432" t="s">
        <v>41</v>
      </c>
      <c r="CHF1" s="404"/>
      <c r="CHG1" s="404"/>
      <c r="CHH1" s="404"/>
      <c r="CHI1" s="404"/>
      <c r="CHJ1" s="404"/>
      <c r="CHK1" s="404"/>
      <c r="CHL1" s="405"/>
      <c r="CHM1" s="432" t="s">
        <v>41</v>
      </c>
      <c r="CHN1" s="404"/>
      <c r="CHO1" s="404"/>
      <c r="CHP1" s="404"/>
      <c r="CHQ1" s="404"/>
      <c r="CHR1" s="404"/>
      <c r="CHS1" s="404"/>
      <c r="CHT1" s="405"/>
      <c r="CHU1" s="432" t="s">
        <v>41</v>
      </c>
      <c r="CHV1" s="404"/>
      <c r="CHW1" s="404"/>
      <c r="CHX1" s="404"/>
      <c r="CHY1" s="404"/>
      <c r="CHZ1" s="404"/>
      <c r="CIA1" s="404"/>
      <c r="CIB1" s="405"/>
      <c r="CIC1" s="432" t="s">
        <v>41</v>
      </c>
      <c r="CID1" s="404"/>
      <c r="CIE1" s="404"/>
      <c r="CIF1" s="404"/>
      <c r="CIG1" s="404"/>
      <c r="CIH1" s="404"/>
      <c r="CII1" s="404"/>
      <c r="CIJ1" s="405"/>
      <c r="CIK1" s="432" t="s">
        <v>41</v>
      </c>
      <c r="CIL1" s="404"/>
      <c r="CIM1" s="404"/>
      <c r="CIN1" s="404"/>
      <c r="CIO1" s="404"/>
      <c r="CIP1" s="404"/>
      <c r="CIQ1" s="404"/>
      <c r="CIR1" s="405"/>
      <c r="CIS1" s="432" t="s">
        <v>41</v>
      </c>
      <c r="CIT1" s="404"/>
      <c r="CIU1" s="404"/>
      <c r="CIV1" s="404"/>
      <c r="CIW1" s="404"/>
      <c r="CIX1" s="404"/>
      <c r="CIY1" s="404"/>
      <c r="CIZ1" s="405"/>
      <c r="CJA1" s="432" t="s">
        <v>41</v>
      </c>
      <c r="CJB1" s="404"/>
      <c r="CJC1" s="404"/>
      <c r="CJD1" s="404"/>
      <c r="CJE1" s="404"/>
      <c r="CJF1" s="404"/>
      <c r="CJG1" s="404"/>
      <c r="CJH1" s="405"/>
      <c r="CJI1" s="432" t="s">
        <v>41</v>
      </c>
      <c r="CJJ1" s="404"/>
      <c r="CJK1" s="404"/>
      <c r="CJL1" s="404"/>
      <c r="CJM1" s="404"/>
      <c r="CJN1" s="404"/>
      <c r="CJO1" s="404"/>
      <c r="CJP1" s="405"/>
      <c r="CJQ1" s="432" t="s">
        <v>41</v>
      </c>
      <c r="CJR1" s="404"/>
      <c r="CJS1" s="404"/>
      <c r="CJT1" s="404"/>
      <c r="CJU1" s="404"/>
      <c r="CJV1" s="404"/>
      <c r="CJW1" s="404"/>
      <c r="CJX1" s="405"/>
      <c r="CJY1" s="432" t="s">
        <v>41</v>
      </c>
      <c r="CJZ1" s="404"/>
      <c r="CKA1" s="404"/>
      <c r="CKB1" s="404"/>
      <c r="CKC1" s="404"/>
      <c r="CKD1" s="404"/>
      <c r="CKE1" s="404"/>
      <c r="CKF1" s="405"/>
      <c r="CKG1" s="432" t="s">
        <v>41</v>
      </c>
      <c r="CKH1" s="404"/>
      <c r="CKI1" s="404"/>
      <c r="CKJ1" s="404"/>
      <c r="CKK1" s="404"/>
      <c r="CKL1" s="404"/>
      <c r="CKM1" s="404"/>
      <c r="CKN1" s="405"/>
      <c r="CKO1" s="432" t="s">
        <v>41</v>
      </c>
      <c r="CKP1" s="404"/>
      <c r="CKQ1" s="404"/>
      <c r="CKR1" s="404"/>
      <c r="CKS1" s="404"/>
      <c r="CKT1" s="404"/>
      <c r="CKU1" s="404"/>
      <c r="CKV1" s="405"/>
      <c r="CKW1" s="432" t="s">
        <v>41</v>
      </c>
      <c r="CKX1" s="404"/>
      <c r="CKY1" s="404"/>
      <c r="CKZ1" s="404"/>
      <c r="CLA1" s="404"/>
      <c r="CLB1" s="404"/>
      <c r="CLC1" s="404"/>
      <c r="CLD1" s="405"/>
      <c r="CLE1" s="432" t="s">
        <v>41</v>
      </c>
      <c r="CLF1" s="404"/>
      <c r="CLG1" s="404"/>
      <c r="CLH1" s="404"/>
      <c r="CLI1" s="404"/>
      <c r="CLJ1" s="404"/>
      <c r="CLK1" s="404"/>
      <c r="CLL1" s="405"/>
      <c r="CLM1" s="432" t="s">
        <v>41</v>
      </c>
      <c r="CLN1" s="404"/>
      <c r="CLO1" s="404"/>
      <c r="CLP1" s="404"/>
      <c r="CLQ1" s="404"/>
      <c r="CLR1" s="404"/>
      <c r="CLS1" s="404"/>
      <c r="CLT1" s="405"/>
      <c r="CLU1" s="432" t="s">
        <v>41</v>
      </c>
      <c r="CLV1" s="404"/>
      <c r="CLW1" s="404"/>
      <c r="CLX1" s="404"/>
      <c r="CLY1" s="404"/>
      <c r="CLZ1" s="404"/>
      <c r="CMA1" s="404"/>
      <c r="CMB1" s="405"/>
      <c r="CMC1" s="432" t="s">
        <v>41</v>
      </c>
      <c r="CMD1" s="404"/>
      <c r="CME1" s="404"/>
      <c r="CMF1" s="404"/>
      <c r="CMG1" s="404"/>
      <c r="CMH1" s="404"/>
      <c r="CMI1" s="404"/>
      <c r="CMJ1" s="405"/>
      <c r="CMK1" s="432" t="s">
        <v>41</v>
      </c>
      <c r="CML1" s="404"/>
      <c r="CMM1" s="404"/>
      <c r="CMN1" s="404"/>
      <c r="CMO1" s="404"/>
      <c r="CMP1" s="404"/>
      <c r="CMQ1" s="404"/>
      <c r="CMR1" s="405"/>
      <c r="CMS1" s="432" t="s">
        <v>41</v>
      </c>
      <c r="CMT1" s="404"/>
      <c r="CMU1" s="404"/>
      <c r="CMV1" s="404"/>
      <c r="CMW1" s="404"/>
      <c r="CMX1" s="404"/>
      <c r="CMY1" s="404"/>
      <c r="CMZ1" s="405"/>
      <c r="CNA1" s="432" t="s">
        <v>41</v>
      </c>
      <c r="CNB1" s="404"/>
      <c r="CNC1" s="404"/>
      <c r="CND1" s="404"/>
      <c r="CNE1" s="404"/>
      <c r="CNF1" s="404"/>
      <c r="CNG1" s="404"/>
      <c r="CNH1" s="405"/>
      <c r="CNI1" s="432" t="s">
        <v>41</v>
      </c>
      <c r="CNJ1" s="404"/>
      <c r="CNK1" s="404"/>
      <c r="CNL1" s="404"/>
      <c r="CNM1" s="404"/>
      <c r="CNN1" s="404"/>
      <c r="CNO1" s="404"/>
      <c r="CNP1" s="405"/>
      <c r="CNQ1" s="432" t="s">
        <v>41</v>
      </c>
      <c r="CNR1" s="404"/>
      <c r="CNS1" s="404"/>
      <c r="CNT1" s="404"/>
      <c r="CNU1" s="404"/>
      <c r="CNV1" s="404"/>
      <c r="CNW1" s="404"/>
      <c r="CNX1" s="405"/>
      <c r="CNY1" s="432" t="s">
        <v>41</v>
      </c>
      <c r="CNZ1" s="404"/>
      <c r="COA1" s="404"/>
      <c r="COB1" s="404"/>
      <c r="COC1" s="404"/>
      <c r="COD1" s="404"/>
      <c r="COE1" s="404"/>
      <c r="COF1" s="405"/>
      <c r="COG1" s="432" t="s">
        <v>41</v>
      </c>
      <c r="COH1" s="404"/>
      <c r="COI1" s="404"/>
      <c r="COJ1" s="404"/>
      <c r="COK1" s="404"/>
      <c r="COL1" s="404"/>
      <c r="COM1" s="404"/>
      <c r="CON1" s="405"/>
      <c r="COO1" s="432" t="s">
        <v>41</v>
      </c>
      <c r="COP1" s="404"/>
      <c r="COQ1" s="404"/>
      <c r="COR1" s="404"/>
      <c r="COS1" s="404"/>
      <c r="COT1" s="404"/>
      <c r="COU1" s="404"/>
      <c r="COV1" s="405"/>
      <c r="COW1" s="432" t="s">
        <v>41</v>
      </c>
      <c r="COX1" s="404"/>
      <c r="COY1" s="404"/>
      <c r="COZ1" s="404"/>
      <c r="CPA1" s="404"/>
      <c r="CPB1" s="404"/>
      <c r="CPC1" s="404"/>
      <c r="CPD1" s="405"/>
      <c r="CPE1" s="432" t="s">
        <v>41</v>
      </c>
      <c r="CPF1" s="404"/>
      <c r="CPG1" s="404"/>
      <c r="CPH1" s="404"/>
      <c r="CPI1" s="404"/>
      <c r="CPJ1" s="404"/>
      <c r="CPK1" s="404"/>
      <c r="CPL1" s="405"/>
      <c r="CPM1" s="432" t="s">
        <v>41</v>
      </c>
      <c r="CPN1" s="404"/>
      <c r="CPO1" s="404"/>
      <c r="CPP1" s="404"/>
      <c r="CPQ1" s="404"/>
      <c r="CPR1" s="404"/>
      <c r="CPS1" s="404"/>
      <c r="CPT1" s="405"/>
      <c r="CPU1" s="432" t="s">
        <v>41</v>
      </c>
      <c r="CPV1" s="404"/>
      <c r="CPW1" s="404"/>
      <c r="CPX1" s="404"/>
      <c r="CPY1" s="404"/>
      <c r="CPZ1" s="404"/>
      <c r="CQA1" s="404"/>
      <c r="CQB1" s="405"/>
      <c r="CQC1" s="432" t="s">
        <v>41</v>
      </c>
      <c r="CQD1" s="404"/>
      <c r="CQE1" s="404"/>
      <c r="CQF1" s="404"/>
      <c r="CQG1" s="404"/>
      <c r="CQH1" s="404"/>
      <c r="CQI1" s="404"/>
      <c r="CQJ1" s="405"/>
      <c r="CQK1" s="432" t="s">
        <v>41</v>
      </c>
      <c r="CQL1" s="404"/>
      <c r="CQM1" s="404"/>
      <c r="CQN1" s="404"/>
      <c r="CQO1" s="404"/>
      <c r="CQP1" s="404"/>
      <c r="CQQ1" s="404"/>
      <c r="CQR1" s="405"/>
      <c r="CQS1" s="432" t="s">
        <v>41</v>
      </c>
      <c r="CQT1" s="404"/>
      <c r="CQU1" s="404"/>
      <c r="CQV1" s="404"/>
      <c r="CQW1" s="404"/>
      <c r="CQX1" s="404"/>
      <c r="CQY1" s="404"/>
      <c r="CQZ1" s="405"/>
      <c r="CRA1" s="432" t="s">
        <v>41</v>
      </c>
      <c r="CRB1" s="404"/>
      <c r="CRC1" s="404"/>
      <c r="CRD1" s="404"/>
      <c r="CRE1" s="404"/>
      <c r="CRF1" s="404"/>
      <c r="CRG1" s="404"/>
      <c r="CRH1" s="405"/>
      <c r="CRI1" s="432" t="s">
        <v>41</v>
      </c>
      <c r="CRJ1" s="404"/>
      <c r="CRK1" s="404"/>
      <c r="CRL1" s="404"/>
      <c r="CRM1" s="404"/>
      <c r="CRN1" s="404"/>
      <c r="CRO1" s="404"/>
      <c r="CRP1" s="405"/>
      <c r="CRQ1" s="432" t="s">
        <v>41</v>
      </c>
      <c r="CRR1" s="404"/>
      <c r="CRS1" s="404"/>
      <c r="CRT1" s="404"/>
      <c r="CRU1" s="404"/>
      <c r="CRV1" s="404"/>
      <c r="CRW1" s="404"/>
      <c r="CRX1" s="405"/>
      <c r="CRY1" s="432" t="s">
        <v>41</v>
      </c>
      <c r="CRZ1" s="404"/>
      <c r="CSA1" s="404"/>
      <c r="CSB1" s="404"/>
      <c r="CSC1" s="404"/>
      <c r="CSD1" s="404"/>
      <c r="CSE1" s="404"/>
      <c r="CSF1" s="405"/>
      <c r="CSG1" s="432" t="s">
        <v>41</v>
      </c>
      <c r="CSH1" s="404"/>
      <c r="CSI1" s="404"/>
      <c r="CSJ1" s="404"/>
      <c r="CSK1" s="404"/>
      <c r="CSL1" s="404"/>
      <c r="CSM1" s="404"/>
      <c r="CSN1" s="405"/>
      <c r="CSO1" s="432" t="s">
        <v>41</v>
      </c>
      <c r="CSP1" s="404"/>
      <c r="CSQ1" s="404"/>
      <c r="CSR1" s="404"/>
      <c r="CSS1" s="404"/>
      <c r="CST1" s="404"/>
      <c r="CSU1" s="404"/>
      <c r="CSV1" s="405"/>
      <c r="CSW1" s="432" t="s">
        <v>41</v>
      </c>
      <c r="CSX1" s="404"/>
      <c r="CSY1" s="404"/>
      <c r="CSZ1" s="404"/>
      <c r="CTA1" s="404"/>
      <c r="CTB1" s="404"/>
      <c r="CTC1" s="404"/>
      <c r="CTD1" s="405"/>
      <c r="CTE1" s="432" t="s">
        <v>41</v>
      </c>
      <c r="CTF1" s="404"/>
      <c r="CTG1" s="404"/>
      <c r="CTH1" s="404"/>
      <c r="CTI1" s="404"/>
      <c r="CTJ1" s="404"/>
      <c r="CTK1" s="404"/>
      <c r="CTL1" s="405"/>
      <c r="CTM1" s="432" t="s">
        <v>41</v>
      </c>
      <c r="CTN1" s="404"/>
      <c r="CTO1" s="404"/>
      <c r="CTP1" s="404"/>
      <c r="CTQ1" s="404"/>
      <c r="CTR1" s="404"/>
      <c r="CTS1" s="404"/>
      <c r="CTT1" s="405"/>
      <c r="CTU1" s="432" t="s">
        <v>41</v>
      </c>
      <c r="CTV1" s="404"/>
      <c r="CTW1" s="404"/>
      <c r="CTX1" s="404"/>
      <c r="CTY1" s="404"/>
      <c r="CTZ1" s="404"/>
      <c r="CUA1" s="404"/>
      <c r="CUB1" s="405"/>
      <c r="CUC1" s="432" t="s">
        <v>41</v>
      </c>
      <c r="CUD1" s="404"/>
      <c r="CUE1" s="404"/>
      <c r="CUF1" s="404"/>
      <c r="CUG1" s="404"/>
      <c r="CUH1" s="404"/>
      <c r="CUI1" s="404"/>
      <c r="CUJ1" s="405"/>
      <c r="CUK1" s="432" t="s">
        <v>41</v>
      </c>
      <c r="CUL1" s="404"/>
      <c r="CUM1" s="404"/>
      <c r="CUN1" s="404"/>
      <c r="CUO1" s="404"/>
      <c r="CUP1" s="404"/>
      <c r="CUQ1" s="404"/>
      <c r="CUR1" s="405"/>
      <c r="CUS1" s="432" t="s">
        <v>41</v>
      </c>
      <c r="CUT1" s="404"/>
      <c r="CUU1" s="404"/>
      <c r="CUV1" s="404"/>
      <c r="CUW1" s="404"/>
      <c r="CUX1" s="404"/>
      <c r="CUY1" s="404"/>
      <c r="CUZ1" s="405"/>
      <c r="CVA1" s="432" t="s">
        <v>41</v>
      </c>
      <c r="CVB1" s="404"/>
      <c r="CVC1" s="404"/>
      <c r="CVD1" s="404"/>
      <c r="CVE1" s="404"/>
      <c r="CVF1" s="404"/>
      <c r="CVG1" s="404"/>
      <c r="CVH1" s="405"/>
      <c r="CVI1" s="432" t="s">
        <v>41</v>
      </c>
      <c r="CVJ1" s="404"/>
      <c r="CVK1" s="404"/>
      <c r="CVL1" s="404"/>
      <c r="CVM1" s="404"/>
      <c r="CVN1" s="404"/>
      <c r="CVO1" s="404"/>
      <c r="CVP1" s="405"/>
      <c r="CVQ1" s="432" t="s">
        <v>41</v>
      </c>
      <c r="CVR1" s="404"/>
      <c r="CVS1" s="404"/>
      <c r="CVT1" s="404"/>
      <c r="CVU1" s="404"/>
      <c r="CVV1" s="404"/>
      <c r="CVW1" s="404"/>
      <c r="CVX1" s="405"/>
      <c r="CVY1" s="432" t="s">
        <v>41</v>
      </c>
      <c r="CVZ1" s="404"/>
      <c r="CWA1" s="404"/>
      <c r="CWB1" s="404"/>
      <c r="CWC1" s="404"/>
      <c r="CWD1" s="404"/>
      <c r="CWE1" s="404"/>
      <c r="CWF1" s="405"/>
      <c r="CWG1" s="432" t="s">
        <v>41</v>
      </c>
      <c r="CWH1" s="404"/>
      <c r="CWI1" s="404"/>
      <c r="CWJ1" s="404"/>
      <c r="CWK1" s="404"/>
      <c r="CWL1" s="404"/>
      <c r="CWM1" s="404"/>
      <c r="CWN1" s="405"/>
      <c r="CWO1" s="432" t="s">
        <v>41</v>
      </c>
      <c r="CWP1" s="404"/>
      <c r="CWQ1" s="404"/>
      <c r="CWR1" s="404"/>
      <c r="CWS1" s="404"/>
      <c r="CWT1" s="404"/>
      <c r="CWU1" s="404"/>
      <c r="CWV1" s="405"/>
      <c r="CWW1" s="432" t="s">
        <v>41</v>
      </c>
      <c r="CWX1" s="404"/>
      <c r="CWY1" s="404"/>
      <c r="CWZ1" s="404"/>
      <c r="CXA1" s="404"/>
      <c r="CXB1" s="404"/>
      <c r="CXC1" s="404"/>
      <c r="CXD1" s="405"/>
      <c r="CXE1" s="432" t="s">
        <v>41</v>
      </c>
      <c r="CXF1" s="404"/>
      <c r="CXG1" s="404"/>
      <c r="CXH1" s="404"/>
      <c r="CXI1" s="404"/>
      <c r="CXJ1" s="404"/>
      <c r="CXK1" s="404"/>
      <c r="CXL1" s="405"/>
      <c r="CXM1" s="432" t="s">
        <v>41</v>
      </c>
      <c r="CXN1" s="404"/>
      <c r="CXO1" s="404"/>
      <c r="CXP1" s="404"/>
      <c r="CXQ1" s="404"/>
      <c r="CXR1" s="404"/>
      <c r="CXS1" s="404"/>
      <c r="CXT1" s="405"/>
      <c r="CXU1" s="432" t="s">
        <v>41</v>
      </c>
      <c r="CXV1" s="404"/>
      <c r="CXW1" s="404"/>
      <c r="CXX1" s="404"/>
      <c r="CXY1" s="404"/>
      <c r="CXZ1" s="404"/>
      <c r="CYA1" s="404"/>
      <c r="CYB1" s="405"/>
      <c r="CYC1" s="432" t="s">
        <v>41</v>
      </c>
      <c r="CYD1" s="404"/>
      <c r="CYE1" s="404"/>
      <c r="CYF1" s="404"/>
      <c r="CYG1" s="404"/>
      <c r="CYH1" s="404"/>
      <c r="CYI1" s="404"/>
      <c r="CYJ1" s="405"/>
      <c r="CYK1" s="432" t="s">
        <v>41</v>
      </c>
      <c r="CYL1" s="404"/>
      <c r="CYM1" s="404"/>
      <c r="CYN1" s="404"/>
      <c r="CYO1" s="404"/>
      <c r="CYP1" s="404"/>
      <c r="CYQ1" s="404"/>
      <c r="CYR1" s="405"/>
      <c r="CYS1" s="432" t="s">
        <v>41</v>
      </c>
      <c r="CYT1" s="404"/>
      <c r="CYU1" s="404"/>
      <c r="CYV1" s="404"/>
      <c r="CYW1" s="404"/>
      <c r="CYX1" s="404"/>
      <c r="CYY1" s="404"/>
      <c r="CYZ1" s="405"/>
      <c r="CZA1" s="432" t="s">
        <v>41</v>
      </c>
      <c r="CZB1" s="404"/>
      <c r="CZC1" s="404"/>
      <c r="CZD1" s="404"/>
      <c r="CZE1" s="404"/>
      <c r="CZF1" s="404"/>
      <c r="CZG1" s="404"/>
      <c r="CZH1" s="405"/>
      <c r="CZI1" s="432" t="s">
        <v>41</v>
      </c>
      <c r="CZJ1" s="404"/>
      <c r="CZK1" s="404"/>
      <c r="CZL1" s="404"/>
      <c r="CZM1" s="404"/>
      <c r="CZN1" s="404"/>
      <c r="CZO1" s="404"/>
      <c r="CZP1" s="405"/>
      <c r="CZQ1" s="432" t="s">
        <v>41</v>
      </c>
      <c r="CZR1" s="404"/>
      <c r="CZS1" s="404"/>
      <c r="CZT1" s="404"/>
      <c r="CZU1" s="404"/>
      <c r="CZV1" s="404"/>
      <c r="CZW1" s="404"/>
      <c r="CZX1" s="405"/>
      <c r="CZY1" s="432" t="s">
        <v>41</v>
      </c>
      <c r="CZZ1" s="404"/>
      <c r="DAA1" s="404"/>
      <c r="DAB1" s="404"/>
      <c r="DAC1" s="404"/>
      <c r="DAD1" s="404"/>
      <c r="DAE1" s="404"/>
      <c r="DAF1" s="405"/>
      <c r="DAG1" s="432" t="s">
        <v>41</v>
      </c>
      <c r="DAH1" s="404"/>
      <c r="DAI1" s="404"/>
      <c r="DAJ1" s="404"/>
      <c r="DAK1" s="404"/>
      <c r="DAL1" s="404"/>
      <c r="DAM1" s="404"/>
      <c r="DAN1" s="405"/>
      <c r="DAO1" s="432" t="s">
        <v>41</v>
      </c>
      <c r="DAP1" s="404"/>
      <c r="DAQ1" s="404"/>
      <c r="DAR1" s="404"/>
      <c r="DAS1" s="404"/>
      <c r="DAT1" s="404"/>
      <c r="DAU1" s="404"/>
      <c r="DAV1" s="405"/>
      <c r="DAW1" s="432" t="s">
        <v>41</v>
      </c>
      <c r="DAX1" s="404"/>
      <c r="DAY1" s="404"/>
      <c r="DAZ1" s="404"/>
      <c r="DBA1" s="404"/>
      <c r="DBB1" s="404"/>
      <c r="DBC1" s="404"/>
      <c r="DBD1" s="405"/>
      <c r="DBE1" s="432" t="s">
        <v>41</v>
      </c>
      <c r="DBF1" s="404"/>
      <c r="DBG1" s="404"/>
      <c r="DBH1" s="404"/>
      <c r="DBI1" s="404"/>
      <c r="DBJ1" s="404"/>
      <c r="DBK1" s="404"/>
      <c r="DBL1" s="405"/>
      <c r="DBM1" s="432" t="s">
        <v>41</v>
      </c>
      <c r="DBN1" s="404"/>
      <c r="DBO1" s="404"/>
      <c r="DBP1" s="404"/>
      <c r="DBQ1" s="404"/>
      <c r="DBR1" s="404"/>
      <c r="DBS1" s="404"/>
      <c r="DBT1" s="405"/>
      <c r="DBU1" s="432" t="s">
        <v>41</v>
      </c>
      <c r="DBV1" s="404"/>
      <c r="DBW1" s="404"/>
      <c r="DBX1" s="404"/>
      <c r="DBY1" s="404"/>
      <c r="DBZ1" s="404"/>
      <c r="DCA1" s="404"/>
      <c r="DCB1" s="405"/>
      <c r="DCC1" s="432" t="s">
        <v>41</v>
      </c>
      <c r="DCD1" s="404"/>
      <c r="DCE1" s="404"/>
      <c r="DCF1" s="404"/>
      <c r="DCG1" s="404"/>
      <c r="DCH1" s="404"/>
      <c r="DCI1" s="404"/>
      <c r="DCJ1" s="405"/>
      <c r="DCK1" s="432" t="s">
        <v>41</v>
      </c>
      <c r="DCL1" s="404"/>
      <c r="DCM1" s="404"/>
      <c r="DCN1" s="404"/>
      <c r="DCO1" s="404"/>
      <c r="DCP1" s="404"/>
      <c r="DCQ1" s="404"/>
      <c r="DCR1" s="405"/>
      <c r="DCS1" s="432" t="s">
        <v>41</v>
      </c>
      <c r="DCT1" s="404"/>
      <c r="DCU1" s="404"/>
      <c r="DCV1" s="404"/>
      <c r="DCW1" s="404"/>
      <c r="DCX1" s="404"/>
      <c r="DCY1" s="404"/>
      <c r="DCZ1" s="405"/>
      <c r="DDA1" s="432" t="s">
        <v>41</v>
      </c>
      <c r="DDB1" s="404"/>
      <c r="DDC1" s="404"/>
      <c r="DDD1" s="404"/>
      <c r="DDE1" s="404"/>
      <c r="DDF1" s="404"/>
      <c r="DDG1" s="404"/>
      <c r="DDH1" s="405"/>
      <c r="DDI1" s="432" t="s">
        <v>41</v>
      </c>
      <c r="DDJ1" s="404"/>
      <c r="DDK1" s="404"/>
      <c r="DDL1" s="404"/>
      <c r="DDM1" s="404"/>
      <c r="DDN1" s="404"/>
      <c r="DDO1" s="404"/>
      <c r="DDP1" s="405"/>
      <c r="DDQ1" s="432" t="s">
        <v>41</v>
      </c>
      <c r="DDR1" s="404"/>
      <c r="DDS1" s="404"/>
      <c r="DDT1" s="404"/>
      <c r="DDU1" s="404"/>
      <c r="DDV1" s="404"/>
      <c r="DDW1" s="404"/>
      <c r="DDX1" s="405"/>
      <c r="DDY1" s="432" t="s">
        <v>41</v>
      </c>
      <c r="DDZ1" s="404"/>
      <c r="DEA1" s="404"/>
      <c r="DEB1" s="404"/>
      <c r="DEC1" s="404"/>
      <c r="DED1" s="404"/>
      <c r="DEE1" s="404"/>
      <c r="DEF1" s="405"/>
      <c r="DEG1" s="432" t="s">
        <v>41</v>
      </c>
      <c r="DEH1" s="404"/>
      <c r="DEI1" s="404"/>
      <c r="DEJ1" s="404"/>
      <c r="DEK1" s="404"/>
      <c r="DEL1" s="404"/>
      <c r="DEM1" s="404"/>
      <c r="DEN1" s="405"/>
      <c r="DEO1" s="432" t="s">
        <v>41</v>
      </c>
      <c r="DEP1" s="404"/>
      <c r="DEQ1" s="404"/>
      <c r="DER1" s="404"/>
      <c r="DES1" s="404"/>
      <c r="DET1" s="404"/>
      <c r="DEU1" s="404"/>
      <c r="DEV1" s="405"/>
      <c r="DEW1" s="432" t="s">
        <v>41</v>
      </c>
      <c r="DEX1" s="404"/>
      <c r="DEY1" s="404"/>
      <c r="DEZ1" s="404"/>
      <c r="DFA1" s="404"/>
      <c r="DFB1" s="404"/>
      <c r="DFC1" s="404"/>
      <c r="DFD1" s="405"/>
      <c r="DFE1" s="432" t="s">
        <v>41</v>
      </c>
      <c r="DFF1" s="404"/>
      <c r="DFG1" s="404"/>
      <c r="DFH1" s="404"/>
      <c r="DFI1" s="404"/>
      <c r="DFJ1" s="404"/>
      <c r="DFK1" s="404"/>
      <c r="DFL1" s="405"/>
      <c r="DFM1" s="432" t="s">
        <v>41</v>
      </c>
      <c r="DFN1" s="404"/>
      <c r="DFO1" s="404"/>
      <c r="DFP1" s="404"/>
      <c r="DFQ1" s="404"/>
      <c r="DFR1" s="404"/>
      <c r="DFS1" s="404"/>
      <c r="DFT1" s="405"/>
      <c r="DFU1" s="432" t="s">
        <v>41</v>
      </c>
      <c r="DFV1" s="404"/>
      <c r="DFW1" s="404"/>
      <c r="DFX1" s="404"/>
      <c r="DFY1" s="404"/>
      <c r="DFZ1" s="404"/>
      <c r="DGA1" s="404"/>
      <c r="DGB1" s="405"/>
      <c r="DGC1" s="432" t="s">
        <v>41</v>
      </c>
      <c r="DGD1" s="404"/>
      <c r="DGE1" s="404"/>
      <c r="DGF1" s="404"/>
      <c r="DGG1" s="404"/>
      <c r="DGH1" s="404"/>
      <c r="DGI1" s="404"/>
      <c r="DGJ1" s="405"/>
      <c r="DGK1" s="432" t="s">
        <v>41</v>
      </c>
      <c r="DGL1" s="404"/>
      <c r="DGM1" s="404"/>
      <c r="DGN1" s="404"/>
      <c r="DGO1" s="404"/>
      <c r="DGP1" s="404"/>
      <c r="DGQ1" s="404"/>
      <c r="DGR1" s="405"/>
      <c r="DGS1" s="432" t="s">
        <v>41</v>
      </c>
      <c r="DGT1" s="404"/>
      <c r="DGU1" s="404"/>
      <c r="DGV1" s="404"/>
      <c r="DGW1" s="404"/>
      <c r="DGX1" s="404"/>
      <c r="DGY1" s="404"/>
      <c r="DGZ1" s="405"/>
      <c r="DHA1" s="432" t="s">
        <v>41</v>
      </c>
      <c r="DHB1" s="404"/>
      <c r="DHC1" s="404"/>
      <c r="DHD1" s="404"/>
      <c r="DHE1" s="404"/>
      <c r="DHF1" s="404"/>
      <c r="DHG1" s="404"/>
      <c r="DHH1" s="405"/>
      <c r="DHI1" s="432" t="s">
        <v>41</v>
      </c>
      <c r="DHJ1" s="404"/>
      <c r="DHK1" s="404"/>
      <c r="DHL1" s="404"/>
      <c r="DHM1" s="404"/>
      <c r="DHN1" s="404"/>
      <c r="DHO1" s="404"/>
      <c r="DHP1" s="405"/>
      <c r="DHQ1" s="432" t="s">
        <v>41</v>
      </c>
      <c r="DHR1" s="404"/>
      <c r="DHS1" s="404"/>
      <c r="DHT1" s="404"/>
      <c r="DHU1" s="404"/>
      <c r="DHV1" s="404"/>
      <c r="DHW1" s="404"/>
      <c r="DHX1" s="405"/>
      <c r="DHY1" s="432" t="s">
        <v>41</v>
      </c>
      <c r="DHZ1" s="404"/>
      <c r="DIA1" s="404"/>
      <c r="DIB1" s="404"/>
      <c r="DIC1" s="404"/>
      <c r="DID1" s="404"/>
      <c r="DIE1" s="404"/>
      <c r="DIF1" s="405"/>
      <c r="DIG1" s="432" t="s">
        <v>41</v>
      </c>
      <c r="DIH1" s="404"/>
      <c r="DII1" s="404"/>
      <c r="DIJ1" s="404"/>
      <c r="DIK1" s="404"/>
      <c r="DIL1" s="404"/>
      <c r="DIM1" s="404"/>
      <c r="DIN1" s="405"/>
      <c r="DIO1" s="432" t="s">
        <v>41</v>
      </c>
      <c r="DIP1" s="404"/>
      <c r="DIQ1" s="404"/>
      <c r="DIR1" s="404"/>
      <c r="DIS1" s="404"/>
      <c r="DIT1" s="404"/>
      <c r="DIU1" s="404"/>
      <c r="DIV1" s="405"/>
      <c r="DIW1" s="432" t="s">
        <v>41</v>
      </c>
      <c r="DIX1" s="404"/>
      <c r="DIY1" s="404"/>
      <c r="DIZ1" s="404"/>
      <c r="DJA1" s="404"/>
      <c r="DJB1" s="404"/>
      <c r="DJC1" s="404"/>
      <c r="DJD1" s="405"/>
      <c r="DJE1" s="432" t="s">
        <v>41</v>
      </c>
      <c r="DJF1" s="404"/>
      <c r="DJG1" s="404"/>
      <c r="DJH1" s="404"/>
      <c r="DJI1" s="404"/>
      <c r="DJJ1" s="404"/>
      <c r="DJK1" s="404"/>
      <c r="DJL1" s="405"/>
      <c r="DJM1" s="432" t="s">
        <v>41</v>
      </c>
      <c r="DJN1" s="404"/>
      <c r="DJO1" s="404"/>
      <c r="DJP1" s="404"/>
      <c r="DJQ1" s="404"/>
      <c r="DJR1" s="404"/>
      <c r="DJS1" s="404"/>
      <c r="DJT1" s="405"/>
      <c r="DJU1" s="432" t="s">
        <v>41</v>
      </c>
      <c r="DJV1" s="404"/>
      <c r="DJW1" s="404"/>
      <c r="DJX1" s="404"/>
      <c r="DJY1" s="404"/>
      <c r="DJZ1" s="404"/>
      <c r="DKA1" s="404"/>
      <c r="DKB1" s="405"/>
      <c r="DKC1" s="432" t="s">
        <v>41</v>
      </c>
      <c r="DKD1" s="404"/>
      <c r="DKE1" s="404"/>
      <c r="DKF1" s="404"/>
      <c r="DKG1" s="404"/>
      <c r="DKH1" s="404"/>
      <c r="DKI1" s="404"/>
      <c r="DKJ1" s="405"/>
      <c r="DKK1" s="432" t="s">
        <v>41</v>
      </c>
      <c r="DKL1" s="404"/>
      <c r="DKM1" s="404"/>
      <c r="DKN1" s="404"/>
      <c r="DKO1" s="404"/>
      <c r="DKP1" s="404"/>
      <c r="DKQ1" s="404"/>
      <c r="DKR1" s="405"/>
      <c r="DKS1" s="432" t="s">
        <v>41</v>
      </c>
      <c r="DKT1" s="404"/>
      <c r="DKU1" s="404"/>
      <c r="DKV1" s="404"/>
      <c r="DKW1" s="404"/>
      <c r="DKX1" s="404"/>
      <c r="DKY1" s="404"/>
      <c r="DKZ1" s="405"/>
      <c r="DLA1" s="432" t="s">
        <v>41</v>
      </c>
      <c r="DLB1" s="404"/>
      <c r="DLC1" s="404"/>
      <c r="DLD1" s="404"/>
      <c r="DLE1" s="404"/>
      <c r="DLF1" s="404"/>
      <c r="DLG1" s="404"/>
      <c r="DLH1" s="405"/>
      <c r="DLI1" s="432" t="s">
        <v>41</v>
      </c>
      <c r="DLJ1" s="404"/>
      <c r="DLK1" s="404"/>
      <c r="DLL1" s="404"/>
      <c r="DLM1" s="404"/>
      <c r="DLN1" s="404"/>
      <c r="DLO1" s="404"/>
      <c r="DLP1" s="405"/>
      <c r="DLQ1" s="432" t="s">
        <v>41</v>
      </c>
      <c r="DLR1" s="404"/>
      <c r="DLS1" s="404"/>
      <c r="DLT1" s="404"/>
      <c r="DLU1" s="404"/>
      <c r="DLV1" s="404"/>
      <c r="DLW1" s="404"/>
      <c r="DLX1" s="405"/>
      <c r="DLY1" s="432" t="s">
        <v>41</v>
      </c>
      <c r="DLZ1" s="404"/>
      <c r="DMA1" s="404"/>
      <c r="DMB1" s="404"/>
      <c r="DMC1" s="404"/>
      <c r="DMD1" s="404"/>
      <c r="DME1" s="404"/>
      <c r="DMF1" s="405"/>
      <c r="DMG1" s="432" t="s">
        <v>41</v>
      </c>
      <c r="DMH1" s="404"/>
      <c r="DMI1" s="404"/>
      <c r="DMJ1" s="404"/>
      <c r="DMK1" s="404"/>
      <c r="DML1" s="404"/>
      <c r="DMM1" s="404"/>
      <c r="DMN1" s="405"/>
      <c r="DMO1" s="432" t="s">
        <v>41</v>
      </c>
      <c r="DMP1" s="404"/>
      <c r="DMQ1" s="404"/>
      <c r="DMR1" s="404"/>
      <c r="DMS1" s="404"/>
      <c r="DMT1" s="404"/>
      <c r="DMU1" s="404"/>
      <c r="DMV1" s="405"/>
      <c r="DMW1" s="432" t="s">
        <v>41</v>
      </c>
      <c r="DMX1" s="404"/>
      <c r="DMY1" s="404"/>
      <c r="DMZ1" s="404"/>
      <c r="DNA1" s="404"/>
      <c r="DNB1" s="404"/>
      <c r="DNC1" s="404"/>
      <c r="DND1" s="405"/>
      <c r="DNE1" s="432" t="s">
        <v>41</v>
      </c>
      <c r="DNF1" s="404"/>
      <c r="DNG1" s="404"/>
      <c r="DNH1" s="404"/>
      <c r="DNI1" s="404"/>
      <c r="DNJ1" s="404"/>
      <c r="DNK1" s="404"/>
      <c r="DNL1" s="405"/>
      <c r="DNM1" s="432" t="s">
        <v>41</v>
      </c>
      <c r="DNN1" s="404"/>
      <c r="DNO1" s="404"/>
      <c r="DNP1" s="404"/>
      <c r="DNQ1" s="404"/>
      <c r="DNR1" s="404"/>
      <c r="DNS1" s="404"/>
      <c r="DNT1" s="405"/>
      <c r="DNU1" s="432" t="s">
        <v>41</v>
      </c>
      <c r="DNV1" s="404"/>
      <c r="DNW1" s="404"/>
      <c r="DNX1" s="404"/>
      <c r="DNY1" s="404"/>
      <c r="DNZ1" s="404"/>
      <c r="DOA1" s="404"/>
      <c r="DOB1" s="405"/>
      <c r="DOC1" s="432" t="s">
        <v>41</v>
      </c>
      <c r="DOD1" s="404"/>
      <c r="DOE1" s="404"/>
      <c r="DOF1" s="404"/>
      <c r="DOG1" s="404"/>
      <c r="DOH1" s="404"/>
      <c r="DOI1" s="404"/>
      <c r="DOJ1" s="405"/>
      <c r="DOK1" s="432" t="s">
        <v>41</v>
      </c>
      <c r="DOL1" s="404"/>
      <c r="DOM1" s="404"/>
      <c r="DON1" s="404"/>
      <c r="DOO1" s="404"/>
      <c r="DOP1" s="404"/>
      <c r="DOQ1" s="404"/>
      <c r="DOR1" s="405"/>
      <c r="DOS1" s="432" t="s">
        <v>41</v>
      </c>
      <c r="DOT1" s="404"/>
      <c r="DOU1" s="404"/>
      <c r="DOV1" s="404"/>
      <c r="DOW1" s="404"/>
      <c r="DOX1" s="404"/>
      <c r="DOY1" s="404"/>
      <c r="DOZ1" s="405"/>
      <c r="DPA1" s="432" t="s">
        <v>41</v>
      </c>
      <c r="DPB1" s="404"/>
      <c r="DPC1" s="404"/>
      <c r="DPD1" s="404"/>
      <c r="DPE1" s="404"/>
      <c r="DPF1" s="404"/>
      <c r="DPG1" s="404"/>
      <c r="DPH1" s="405"/>
      <c r="DPI1" s="432" t="s">
        <v>41</v>
      </c>
      <c r="DPJ1" s="404"/>
      <c r="DPK1" s="404"/>
      <c r="DPL1" s="404"/>
      <c r="DPM1" s="404"/>
      <c r="DPN1" s="404"/>
      <c r="DPO1" s="404"/>
      <c r="DPP1" s="405"/>
      <c r="DPQ1" s="432" t="s">
        <v>41</v>
      </c>
      <c r="DPR1" s="404"/>
      <c r="DPS1" s="404"/>
      <c r="DPT1" s="404"/>
      <c r="DPU1" s="404"/>
      <c r="DPV1" s="404"/>
      <c r="DPW1" s="404"/>
      <c r="DPX1" s="405"/>
      <c r="DPY1" s="432" t="s">
        <v>41</v>
      </c>
      <c r="DPZ1" s="404"/>
      <c r="DQA1" s="404"/>
      <c r="DQB1" s="404"/>
      <c r="DQC1" s="404"/>
      <c r="DQD1" s="404"/>
      <c r="DQE1" s="404"/>
      <c r="DQF1" s="405"/>
      <c r="DQG1" s="432" t="s">
        <v>41</v>
      </c>
      <c r="DQH1" s="404"/>
      <c r="DQI1" s="404"/>
      <c r="DQJ1" s="404"/>
      <c r="DQK1" s="404"/>
      <c r="DQL1" s="404"/>
      <c r="DQM1" s="404"/>
      <c r="DQN1" s="405"/>
      <c r="DQO1" s="432" t="s">
        <v>41</v>
      </c>
      <c r="DQP1" s="404"/>
      <c r="DQQ1" s="404"/>
      <c r="DQR1" s="404"/>
      <c r="DQS1" s="404"/>
      <c r="DQT1" s="404"/>
      <c r="DQU1" s="404"/>
      <c r="DQV1" s="405"/>
      <c r="DQW1" s="432" t="s">
        <v>41</v>
      </c>
      <c r="DQX1" s="404"/>
      <c r="DQY1" s="404"/>
      <c r="DQZ1" s="404"/>
      <c r="DRA1" s="404"/>
      <c r="DRB1" s="404"/>
      <c r="DRC1" s="404"/>
      <c r="DRD1" s="405"/>
      <c r="DRE1" s="432" t="s">
        <v>41</v>
      </c>
      <c r="DRF1" s="404"/>
      <c r="DRG1" s="404"/>
      <c r="DRH1" s="404"/>
      <c r="DRI1" s="404"/>
      <c r="DRJ1" s="404"/>
      <c r="DRK1" s="404"/>
      <c r="DRL1" s="405"/>
      <c r="DRM1" s="432" t="s">
        <v>41</v>
      </c>
      <c r="DRN1" s="404"/>
      <c r="DRO1" s="404"/>
      <c r="DRP1" s="404"/>
      <c r="DRQ1" s="404"/>
      <c r="DRR1" s="404"/>
      <c r="DRS1" s="404"/>
      <c r="DRT1" s="405"/>
      <c r="DRU1" s="432" t="s">
        <v>41</v>
      </c>
      <c r="DRV1" s="404"/>
      <c r="DRW1" s="404"/>
      <c r="DRX1" s="404"/>
      <c r="DRY1" s="404"/>
      <c r="DRZ1" s="404"/>
      <c r="DSA1" s="404"/>
      <c r="DSB1" s="405"/>
      <c r="DSC1" s="432" t="s">
        <v>41</v>
      </c>
      <c r="DSD1" s="404"/>
      <c r="DSE1" s="404"/>
      <c r="DSF1" s="404"/>
      <c r="DSG1" s="404"/>
      <c r="DSH1" s="404"/>
      <c r="DSI1" s="404"/>
      <c r="DSJ1" s="405"/>
      <c r="DSK1" s="432" t="s">
        <v>41</v>
      </c>
      <c r="DSL1" s="404"/>
      <c r="DSM1" s="404"/>
      <c r="DSN1" s="404"/>
      <c r="DSO1" s="404"/>
      <c r="DSP1" s="404"/>
      <c r="DSQ1" s="404"/>
      <c r="DSR1" s="405"/>
      <c r="DSS1" s="432" t="s">
        <v>41</v>
      </c>
      <c r="DST1" s="404"/>
      <c r="DSU1" s="404"/>
      <c r="DSV1" s="404"/>
      <c r="DSW1" s="404"/>
      <c r="DSX1" s="404"/>
      <c r="DSY1" s="404"/>
      <c r="DSZ1" s="405"/>
      <c r="DTA1" s="432" t="s">
        <v>41</v>
      </c>
      <c r="DTB1" s="404"/>
      <c r="DTC1" s="404"/>
      <c r="DTD1" s="404"/>
      <c r="DTE1" s="404"/>
      <c r="DTF1" s="404"/>
      <c r="DTG1" s="404"/>
      <c r="DTH1" s="405"/>
      <c r="DTI1" s="432" t="s">
        <v>41</v>
      </c>
      <c r="DTJ1" s="404"/>
      <c r="DTK1" s="404"/>
      <c r="DTL1" s="404"/>
      <c r="DTM1" s="404"/>
      <c r="DTN1" s="404"/>
      <c r="DTO1" s="404"/>
      <c r="DTP1" s="405"/>
      <c r="DTQ1" s="432" t="s">
        <v>41</v>
      </c>
      <c r="DTR1" s="404"/>
      <c r="DTS1" s="404"/>
      <c r="DTT1" s="404"/>
      <c r="DTU1" s="404"/>
      <c r="DTV1" s="404"/>
      <c r="DTW1" s="404"/>
      <c r="DTX1" s="405"/>
      <c r="DTY1" s="432" t="s">
        <v>41</v>
      </c>
      <c r="DTZ1" s="404"/>
      <c r="DUA1" s="404"/>
      <c r="DUB1" s="404"/>
      <c r="DUC1" s="404"/>
      <c r="DUD1" s="404"/>
      <c r="DUE1" s="404"/>
      <c r="DUF1" s="405"/>
      <c r="DUG1" s="432" t="s">
        <v>41</v>
      </c>
      <c r="DUH1" s="404"/>
      <c r="DUI1" s="404"/>
      <c r="DUJ1" s="404"/>
      <c r="DUK1" s="404"/>
      <c r="DUL1" s="404"/>
      <c r="DUM1" s="404"/>
      <c r="DUN1" s="405"/>
      <c r="DUO1" s="432" t="s">
        <v>41</v>
      </c>
      <c r="DUP1" s="404"/>
      <c r="DUQ1" s="404"/>
      <c r="DUR1" s="404"/>
      <c r="DUS1" s="404"/>
      <c r="DUT1" s="404"/>
      <c r="DUU1" s="404"/>
      <c r="DUV1" s="405"/>
      <c r="DUW1" s="432" t="s">
        <v>41</v>
      </c>
      <c r="DUX1" s="404"/>
      <c r="DUY1" s="404"/>
      <c r="DUZ1" s="404"/>
      <c r="DVA1" s="404"/>
      <c r="DVB1" s="404"/>
      <c r="DVC1" s="404"/>
      <c r="DVD1" s="405"/>
      <c r="DVE1" s="432" t="s">
        <v>41</v>
      </c>
      <c r="DVF1" s="404"/>
      <c r="DVG1" s="404"/>
      <c r="DVH1" s="404"/>
      <c r="DVI1" s="404"/>
      <c r="DVJ1" s="404"/>
      <c r="DVK1" s="404"/>
      <c r="DVL1" s="405"/>
      <c r="DVM1" s="432" t="s">
        <v>41</v>
      </c>
      <c r="DVN1" s="404"/>
      <c r="DVO1" s="404"/>
      <c r="DVP1" s="404"/>
      <c r="DVQ1" s="404"/>
      <c r="DVR1" s="404"/>
      <c r="DVS1" s="404"/>
      <c r="DVT1" s="405"/>
      <c r="DVU1" s="432" t="s">
        <v>41</v>
      </c>
      <c r="DVV1" s="404"/>
      <c r="DVW1" s="404"/>
      <c r="DVX1" s="404"/>
      <c r="DVY1" s="404"/>
      <c r="DVZ1" s="404"/>
      <c r="DWA1" s="404"/>
      <c r="DWB1" s="405"/>
      <c r="DWC1" s="432" t="s">
        <v>41</v>
      </c>
      <c r="DWD1" s="404"/>
      <c r="DWE1" s="404"/>
      <c r="DWF1" s="404"/>
      <c r="DWG1" s="404"/>
      <c r="DWH1" s="404"/>
      <c r="DWI1" s="404"/>
      <c r="DWJ1" s="405"/>
      <c r="DWK1" s="432" t="s">
        <v>41</v>
      </c>
      <c r="DWL1" s="404"/>
      <c r="DWM1" s="404"/>
      <c r="DWN1" s="404"/>
      <c r="DWO1" s="404"/>
      <c r="DWP1" s="404"/>
      <c r="DWQ1" s="404"/>
      <c r="DWR1" s="405"/>
      <c r="DWS1" s="432" t="s">
        <v>41</v>
      </c>
      <c r="DWT1" s="404"/>
      <c r="DWU1" s="404"/>
      <c r="DWV1" s="404"/>
      <c r="DWW1" s="404"/>
      <c r="DWX1" s="404"/>
      <c r="DWY1" s="404"/>
      <c r="DWZ1" s="405"/>
      <c r="DXA1" s="432" t="s">
        <v>41</v>
      </c>
      <c r="DXB1" s="404"/>
      <c r="DXC1" s="404"/>
      <c r="DXD1" s="404"/>
      <c r="DXE1" s="404"/>
      <c r="DXF1" s="404"/>
      <c r="DXG1" s="404"/>
      <c r="DXH1" s="405"/>
      <c r="DXI1" s="432" t="s">
        <v>41</v>
      </c>
      <c r="DXJ1" s="404"/>
      <c r="DXK1" s="404"/>
      <c r="DXL1" s="404"/>
      <c r="DXM1" s="404"/>
      <c r="DXN1" s="404"/>
      <c r="DXO1" s="404"/>
      <c r="DXP1" s="405"/>
      <c r="DXQ1" s="432" t="s">
        <v>41</v>
      </c>
      <c r="DXR1" s="404"/>
      <c r="DXS1" s="404"/>
      <c r="DXT1" s="404"/>
      <c r="DXU1" s="404"/>
      <c r="DXV1" s="404"/>
      <c r="DXW1" s="404"/>
      <c r="DXX1" s="405"/>
      <c r="DXY1" s="432" t="s">
        <v>41</v>
      </c>
      <c r="DXZ1" s="404"/>
      <c r="DYA1" s="404"/>
      <c r="DYB1" s="404"/>
      <c r="DYC1" s="404"/>
      <c r="DYD1" s="404"/>
      <c r="DYE1" s="404"/>
      <c r="DYF1" s="405"/>
      <c r="DYG1" s="432" t="s">
        <v>41</v>
      </c>
      <c r="DYH1" s="404"/>
      <c r="DYI1" s="404"/>
      <c r="DYJ1" s="404"/>
      <c r="DYK1" s="404"/>
      <c r="DYL1" s="404"/>
      <c r="DYM1" s="404"/>
      <c r="DYN1" s="405"/>
      <c r="DYO1" s="432" t="s">
        <v>41</v>
      </c>
      <c r="DYP1" s="404"/>
      <c r="DYQ1" s="404"/>
      <c r="DYR1" s="404"/>
      <c r="DYS1" s="404"/>
      <c r="DYT1" s="404"/>
      <c r="DYU1" s="404"/>
      <c r="DYV1" s="405"/>
      <c r="DYW1" s="432" t="s">
        <v>41</v>
      </c>
      <c r="DYX1" s="404"/>
      <c r="DYY1" s="404"/>
      <c r="DYZ1" s="404"/>
      <c r="DZA1" s="404"/>
      <c r="DZB1" s="404"/>
      <c r="DZC1" s="404"/>
      <c r="DZD1" s="405"/>
      <c r="DZE1" s="432" t="s">
        <v>41</v>
      </c>
      <c r="DZF1" s="404"/>
      <c r="DZG1" s="404"/>
      <c r="DZH1" s="404"/>
      <c r="DZI1" s="404"/>
      <c r="DZJ1" s="404"/>
      <c r="DZK1" s="404"/>
      <c r="DZL1" s="405"/>
      <c r="DZM1" s="432" t="s">
        <v>41</v>
      </c>
      <c r="DZN1" s="404"/>
      <c r="DZO1" s="404"/>
      <c r="DZP1" s="404"/>
      <c r="DZQ1" s="404"/>
      <c r="DZR1" s="404"/>
      <c r="DZS1" s="404"/>
      <c r="DZT1" s="405"/>
      <c r="DZU1" s="432" t="s">
        <v>41</v>
      </c>
      <c r="DZV1" s="404"/>
      <c r="DZW1" s="404"/>
      <c r="DZX1" s="404"/>
      <c r="DZY1" s="404"/>
      <c r="DZZ1" s="404"/>
      <c r="EAA1" s="404"/>
      <c r="EAB1" s="405"/>
      <c r="EAC1" s="432" t="s">
        <v>41</v>
      </c>
      <c r="EAD1" s="404"/>
      <c r="EAE1" s="404"/>
      <c r="EAF1" s="404"/>
      <c r="EAG1" s="404"/>
      <c r="EAH1" s="404"/>
      <c r="EAI1" s="404"/>
      <c r="EAJ1" s="405"/>
      <c r="EAK1" s="432" t="s">
        <v>41</v>
      </c>
      <c r="EAL1" s="404"/>
      <c r="EAM1" s="404"/>
      <c r="EAN1" s="404"/>
      <c r="EAO1" s="404"/>
      <c r="EAP1" s="404"/>
      <c r="EAQ1" s="404"/>
      <c r="EAR1" s="405"/>
      <c r="EAS1" s="432" t="s">
        <v>41</v>
      </c>
      <c r="EAT1" s="404"/>
      <c r="EAU1" s="404"/>
      <c r="EAV1" s="404"/>
      <c r="EAW1" s="404"/>
      <c r="EAX1" s="404"/>
      <c r="EAY1" s="404"/>
      <c r="EAZ1" s="405"/>
      <c r="EBA1" s="432" t="s">
        <v>41</v>
      </c>
      <c r="EBB1" s="404"/>
      <c r="EBC1" s="404"/>
      <c r="EBD1" s="404"/>
      <c r="EBE1" s="404"/>
      <c r="EBF1" s="404"/>
      <c r="EBG1" s="404"/>
      <c r="EBH1" s="405"/>
      <c r="EBI1" s="432" t="s">
        <v>41</v>
      </c>
      <c r="EBJ1" s="404"/>
      <c r="EBK1" s="404"/>
      <c r="EBL1" s="404"/>
      <c r="EBM1" s="404"/>
      <c r="EBN1" s="404"/>
      <c r="EBO1" s="404"/>
      <c r="EBP1" s="405"/>
      <c r="EBQ1" s="432" t="s">
        <v>41</v>
      </c>
      <c r="EBR1" s="404"/>
      <c r="EBS1" s="404"/>
      <c r="EBT1" s="404"/>
      <c r="EBU1" s="404"/>
      <c r="EBV1" s="404"/>
      <c r="EBW1" s="404"/>
      <c r="EBX1" s="405"/>
      <c r="EBY1" s="432" t="s">
        <v>41</v>
      </c>
      <c r="EBZ1" s="404"/>
      <c r="ECA1" s="404"/>
      <c r="ECB1" s="404"/>
      <c r="ECC1" s="404"/>
      <c r="ECD1" s="404"/>
      <c r="ECE1" s="404"/>
      <c r="ECF1" s="405"/>
      <c r="ECG1" s="432" t="s">
        <v>41</v>
      </c>
      <c r="ECH1" s="404"/>
      <c r="ECI1" s="404"/>
      <c r="ECJ1" s="404"/>
      <c r="ECK1" s="404"/>
      <c r="ECL1" s="404"/>
      <c r="ECM1" s="404"/>
      <c r="ECN1" s="405"/>
      <c r="ECO1" s="432" t="s">
        <v>41</v>
      </c>
      <c r="ECP1" s="404"/>
      <c r="ECQ1" s="404"/>
      <c r="ECR1" s="404"/>
      <c r="ECS1" s="404"/>
      <c r="ECT1" s="404"/>
      <c r="ECU1" s="404"/>
      <c r="ECV1" s="405"/>
      <c r="ECW1" s="432" t="s">
        <v>41</v>
      </c>
      <c r="ECX1" s="404"/>
      <c r="ECY1" s="404"/>
      <c r="ECZ1" s="404"/>
      <c r="EDA1" s="404"/>
      <c r="EDB1" s="404"/>
      <c r="EDC1" s="404"/>
      <c r="EDD1" s="405"/>
      <c r="EDE1" s="432" t="s">
        <v>41</v>
      </c>
      <c r="EDF1" s="404"/>
      <c r="EDG1" s="404"/>
      <c r="EDH1" s="404"/>
      <c r="EDI1" s="404"/>
      <c r="EDJ1" s="404"/>
      <c r="EDK1" s="404"/>
      <c r="EDL1" s="405"/>
      <c r="EDM1" s="432" t="s">
        <v>41</v>
      </c>
      <c r="EDN1" s="404"/>
      <c r="EDO1" s="404"/>
      <c r="EDP1" s="404"/>
      <c r="EDQ1" s="404"/>
      <c r="EDR1" s="404"/>
      <c r="EDS1" s="404"/>
      <c r="EDT1" s="405"/>
      <c r="EDU1" s="432" t="s">
        <v>41</v>
      </c>
      <c r="EDV1" s="404"/>
      <c r="EDW1" s="404"/>
      <c r="EDX1" s="404"/>
      <c r="EDY1" s="404"/>
      <c r="EDZ1" s="404"/>
      <c r="EEA1" s="404"/>
      <c r="EEB1" s="405"/>
      <c r="EEC1" s="432" t="s">
        <v>41</v>
      </c>
      <c r="EED1" s="404"/>
      <c r="EEE1" s="404"/>
      <c r="EEF1" s="404"/>
      <c r="EEG1" s="404"/>
      <c r="EEH1" s="404"/>
      <c r="EEI1" s="404"/>
      <c r="EEJ1" s="405"/>
      <c r="EEK1" s="432" t="s">
        <v>41</v>
      </c>
      <c r="EEL1" s="404"/>
      <c r="EEM1" s="404"/>
      <c r="EEN1" s="404"/>
      <c r="EEO1" s="404"/>
      <c r="EEP1" s="404"/>
      <c r="EEQ1" s="404"/>
      <c r="EER1" s="405"/>
      <c r="EES1" s="432" t="s">
        <v>41</v>
      </c>
      <c r="EET1" s="404"/>
      <c r="EEU1" s="404"/>
      <c r="EEV1" s="404"/>
      <c r="EEW1" s="404"/>
      <c r="EEX1" s="404"/>
      <c r="EEY1" s="404"/>
      <c r="EEZ1" s="405"/>
      <c r="EFA1" s="432" t="s">
        <v>41</v>
      </c>
      <c r="EFB1" s="404"/>
      <c r="EFC1" s="404"/>
      <c r="EFD1" s="404"/>
      <c r="EFE1" s="404"/>
      <c r="EFF1" s="404"/>
      <c r="EFG1" s="404"/>
      <c r="EFH1" s="405"/>
      <c r="EFI1" s="432" t="s">
        <v>41</v>
      </c>
      <c r="EFJ1" s="404"/>
      <c r="EFK1" s="404"/>
      <c r="EFL1" s="404"/>
      <c r="EFM1" s="404"/>
      <c r="EFN1" s="404"/>
      <c r="EFO1" s="404"/>
      <c r="EFP1" s="405"/>
      <c r="EFQ1" s="432" t="s">
        <v>41</v>
      </c>
      <c r="EFR1" s="404"/>
      <c r="EFS1" s="404"/>
      <c r="EFT1" s="404"/>
      <c r="EFU1" s="404"/>
      <c r="EFV1" s="404"/>
      <c r="EFW1" s="404"/>
      <c r="EFX1" s="405"/>
      <c r="EFY1" s="432" t="s">
        <v>41</v>
      </c>
      <c r="EFZ1" s="404"/>
      <c r="EGA1" s="404"/>
      <c r="EGB1" s="404"/>
      <c r="EGC1" s="404"/>
      <c r="EGD1" s="404"/>
      <c r="EGE1" s="404"/>
      <c r="EGF1" s="405"/>
      <c r="EGG1" s="432" t="s">
        <v>41</v>
      </c>
      <c r="EGH1" s="404"/>
      <c r="EGI1" s="404"/>
      <c r="EGJ1" s="404"/>
      <c r="EGK1" s="404"/>
      <c r="EGL1" s="404"/>
      <c r="EGM1" s="404"/>
      <c r="EGN1" s="405"/>
      <c r="EGO1" s="432" t="s">
        <v>41</v>
      </c>
      <c r="EGP1" s="404"/>
      <c r="EGQ1" s="404"/>
      <c r="EGR1" s="404"/>
      <c r="EGS1" s="404"/>
      <c r="EGT1" s="404"/>
      <c r="EGU1" s="404"/>
      <c r="EGV1" s="405"/>
      <c r="EGW1" s="432" t="s">
        <v>41</v>
      </c>
      <c r="EGX1" s="404"/>
      <c r="EGY1" s="404"/>
      <c r="EGZ1" s="404"/>
      <c r="EHA1" s="404"/>
      <c r="EHB1" s="404"/>
      <c r="EHC1" s="404"/>
      <c r="EHD1" s="405"/>
      <c r="EHE1" s="432" t="s">
        <v>41</v>
      </c>
      <c r="EHF1" s="404"/>
      <c r="EHG1" s="404"/>
      <c r="EHH1" s="404"/>
      <c r="EHI1" s="404"/>
      <c r="EHJ1" s="404"/>
      <c r="EHK1" s="404"/>
      <c r="EHL1" s="405"/>
      <c r="EHM1" s="432" t="s">
        <v>41</v>
      </c>
      <c r="EHN1" s="404"/>
      <c r="EHO1" s="404"/>
      <c r="EHP1" s="404"/>
      <c r="EHQ1" s="404"/>
      <c r="EHR1" s="404"/>
      <c r="EHS1" s="404"/>
      <c r="EHT1" s="405"/>
      <c r="EHU1" s="432" t="s">
        <v>41</v>
      </c>
      <c r="EHV1" s="404"/>
      <c r="EHW1" s="404"/>
      <c r="EHX1" s="404"/>
      <c r="EHY1" s="404"/>
      <c r="EHZ1" s="404"/>
      <c r="EIA1" s="404"/>
      <c r="EIB1" s="405"/>
      <c r="EIC1" s="432" t="s">
        <v>41</v>
      </c>
      <c r="EID1" s="404"/>
      <c r="EIE1" s="404"/>
      <c r="EIF1" s="404"/>
      <c r="EIG1" s="404"/>
      <c r="EIH1" s="404"/>
      <c r="EII1" s="404"/>
      <c r="EIJ1" s="405"/>
      <c r="EIK1" s="432" t="s">
        <v>41</v>
      </c>
      <c r="EIL1" s="404"/>
      <c r="EIM1" s="404"/>
      <c r="EIN1" s="404"/>
      <c r="EIO1" s="404"/>
      <c r="EIP1" s="404"/>
      <c r="EIQ1" s="404"/>
      <c r="EIR1" s="405"/>
      <c r="EIS1" s="432" t="s">
        <v>41</v>
      </c>
      <c r="EIT1" s="404"/>
      <c r="EIU1" s="404"/>
      <c r="EIV1" s="404"/>
      <c r="EIW1" s="404"/>
      <c r="EIX1" s="404"/>
      <c r="EIY1" s="404"/>
      <c r="EIZ1" s="405"/>
      <c r="EJA1" s="432" t="s">
        <v>41</v>
      </c>
      <c r="EJB1" s="404"/>
      <c r="EJC1" s="404"/>
      <c r="EJD1" s="404"/>
      <c r="EJE1" s="404"/>
      <c r="EJF1" s="404"/>
      <c r="EJG1" s="404"/>
      <c r="EJH1" s="405"/>
      <c r="EJI1" s="432" t="s">
        <v>41</v>
      </c>
      <c r="EJJ1" s="404"/>
      <c r="EJK1" s="404"/>
      <c r="EJL1" s="404"/>
      <c r="EJM1" s="404"/>
      <c r="EJN1" s="404"/>
      <c r="EJO1" s="404"/>
      <c r="EJP1" s="405"/>
      <c r="EJQ1" s="432" t="s">
        <v>41</v>
      </c>
      <c r="EJR1" s="404"/>
      <c r="EJS1" s="404"/>
      <c r="EJT1" s="404"/>
      <c r="EJU1" s="404"/>
      <c r="EJV1" s="404"/>
      <c r="EJW1" s="404"/>
      <c r="EJX1" s="405"/>
      <c r="EJY1" s="432" t="s">
        <v>41</v>
      </c>
      <c r="EJZ1" s="404"/>
      <c r="EKA1" s="404"/>
      <c r="EKB1" s="404"/>
      <c r="EKC1" s="404"/>
      <c r="EKD1" s="404"/>
      <c r="EKE1" s="404"/>
      <c r="EKF1" s="405"/>
      <c r="EKG1" s="432" t="s">
        <v>41</v>
      </c>
      <c r="EKH1" s="404"/>
      <c r="EKI1" s="404"/>
      <c r="EKJ1" s="404"/>
      <c r="EKK1" s="404"/>
      <c r="EKL1" s="404"/>
      <c r="EKM1" s="404"/>
      <c r="EKN1" s="405"/>
      <c r="EKO1" s="432" t="s">
        <v>41</v>
      </c>
      <c r="EKP1" s="404"/>
      <c r="EKQ1" s="404"/>
      <c r="EKR1" s="404"/>
      <c r="EKS1" s="404"/>
      <c r="EKT1" s="404"/>
      <c r="EKU1" s="404"/>
      <c r="EKV1" s="405"/>
      <c r="EKW1" s="432" t="s">
        <v>41</v>
      </c>
      <c r="EKX1" s="404"/>
      <c r="EKY1" s="404"/>
      <c r="EKZ1" s="404"/>
      <c r="ELA1" s="404"/>
      <c r="ELB1" s="404"/>
      <c r="ELC1" s="404"/>
      <c r="ELD1" s="405"/>
      <c r="ELE1" s="432" t="s">
        <v>41</v>
      </c>
      <c r="ELF1" s="404"/>
      <c r="ELG1" s="404"/>
      <c r="ELH1" s="404"/>
      <c r="ELI1" s="404"/>
      <c r="ELJ1" s="404"/>
      <c r="ELK1" s="404"/>
      <c r="ELL1" s="405"/>
      <c r="ELM1" s="432" t="s">
        <v>41</v>
      </c>
      <c r="ELN1" s="404"/>
      <c r="ELO1" s="404"/>
      <c r="ELP1" s="404"/>
      <c r="ELQ1" s="404"/>
      <c r="ELR1" s="404"/>
      <c r="ELS1" s="404"/>
      <c r="ELT1" s="405"/>
      <c r="ELU1" s="432" t="s">
        <v>41</v>
      </c>
      <c r="ELV1" s="404"/>
      <c r="ELW1" s="404"/>
      <c r="ELX1" s="404"/>
      <c r="ELY1" s="404"/>
      <c r="ELZ1" s="404"/>
      <c r="EMA1" s="404"/>
      <c r="EMB1" s="405"/>
      <c r="EMC1" s="432" t="s">
        <v>41</v>
      </c>
      <c r="EMD1" s="404"/>
      <c r="EME1" s="404"/>
      <c r="EMF1" s="404"/>
      <c r="EMG1" s="404"/>
      <c r="EMH1" s="404"/>
      <c r="EMI1" s="404"/>
      <c r="EMJ1" s="405"/>
      <c r="EMK1" s="432" t="s">
        <v>41</v>
      </c>
      <c r="EML1" s="404"/>
      <c r="EMM1" s="404"/>
      <c r="EMN1" s="404"/>
      <c r="EMO1" s="404"/>
      <c r="EMP1" s="404"/>
      <c r="EMQ1" s="404"/>
      <c r="EMR1" s="405"/>
      <c r="EMS1" s="432" t="s">
        <v>41</v>
      </c>
      <c r="EMT1" s="404"/>
      <c r="EMU1" s="404"/>
      <c r="EMV1" s="404"/>
      <c r="EMW1" s="404"/>
      <c r="EMX1" s="404"/>
      <c r="EMY1" s="404"/>
      <c r="EMZ1" s="405"/>
      <c r="ENA1" s="432" t="s">
        <v>41</v>
      </c>
      <c r="ENB1" s="404"/>
      <c r="ENC1" s="404"/>
      <c r="END1" s="404"/>
      <c r="ENE1" s="404"/>
      <c r="ENF1" s="404"/>
      <c r="ENG1" s="404"/>
      <c r="ENH1" s="405"/>
      <c r="ENI1" s="432" t="s">
        <v>41</v>
      </c>
      <c r="ENJ1" s="404"/>
      <c r="ENK1" s="404"/>
      <c r="ENL1" s="404"/>
      <c r="ENM1" s="404"/>
      <c r="ENN1" s="404"/>
      <c r="ENO1" s="404"/>
      <c r="ENP1" s="405"/>
      <c r="ENQ1" s="432" t="s">
        <v>41</v>
      </c>
      <c r="ENR1" s="404"/>
      <c r="ENS1" s="404"/>
      <c r="ENT1" s="404"/>
      <c r="ENU1" s="404"/>
      <c r="ENV1" s="404"/>
      <c r="ENW1" s="404"/>
      <c r="ENX1" s="405"/>
      <c r="ENY1" s="432" t="s">
        <v>41</v>
      </c>
      <c r="ENZ1" s="404"/>
      <c r="EOA1" s="404"/>
      <c r="EOB1" s="404"/>
      <c r="EOC1" s="404"/>
      <c r="EOD1" s="404"/>
      <c r="EOE1" s="404"/>
      <c r="EOF1" s="405"/>
      <c r="EOG1" s="432" t="s">
        <v>41</v>
      </c>
      <c r="EOH1" s="404"/>
      <c r="EOI1" s="404"/>
      <c r="EOJ1" s="404"/>
      <c r="EOK1" s="404"/>
      <c r="EOL1" s="404"/>
      <c r="EOM1" s="404"/>
      <c r="EON1" s="405"/>
      <c r="EOO1" s="432" t="s">
        <v>41</v>
      </c>
      <c r="EOP1" s="404"/>
      <c r="EOQ1" s="404"/>
      <c r="EOR1" s="404"/>
      <c r="EOS1" s="404"/>
      <c r="EOT1" s="404"/>
      <c r="EOU1" s="404"/>
      <c r="EOV1" s="405"/>
      <c r="EOW1" s="432" t="s">
        <v>41</v>
      </c>
      <c r="EOX1" s="404"/>
      <c r="EOY1" s="404"/>
      <c r="EOZ1" s="404"/>
      <c r="EPA1" s="404"/>
      <c r="EPB1" s="404"/>
      <c r="EPC1" s="404"/>
      <c r="EPD1" s="405"/>
      <c r="EPE1" s="432" t="s">
        <v>41</v>
      </c>
      <c r="EPF1" s="404"/>
      <c r="EPG1" s="404"/>
      <c r="EPH1" s="404"/>
      <c r="EPI1" s="404"/>
      <c r="EPJ1" s="404"/>
      <c r="EPK1" s="404"/>
      <c r="EPL1" s="405"/>
      <c r="EPM1" s="432" t="s">
        <v>41</v>
      </c>
      <c r="EPN1" s="404"/>
      <c r="EPO1" s="404"/>
      <c r="EPP1" s="404"/>
      <c r="EPQ1" s="404"/>
      <c r="EPR1" s="404"/>
      <c r="EPS1" s="404"/>
      <c r="EPT1" s="405"/>
      <c r="EPU1" s="432" t="s">
        <v>41</v>
      </c>
      <c r="EPV1" s="404"/>
      <c r="EPW1" s="404"/>
      <c r="EPX1" s="404"/>
      <c r="EPY1" s="404"/>
      <c r="EPZ1" s="404"/>
      <c r="EQA1" s="404"/>
      <c r="EQB1" s="405"/>
      <c r="EQC1" s="432" t="s">
        <v>41</v>
      </c>
      <c r="EQD1" s="404"/>
      <c r="EQE1" s="404"/>
      <c r="EQF1" s="404"/>
      <c r="EQG1" s="404"/>
      <c r="EQH1" s="404"/>
      <c r="EQI1" s="404"/>
      <c r="EQJ1" s="405"/>
      <c r="EQK1" s="432" t="s">
        <v>41</v>
      </c>
      <c r="EQL1" s="404"/>
      <c r="EQM1" s="404"/>
      <c r="EQN1" s="404"/>
      <c r="EQO1" s="404"/>
      <c r="EQP1" s="404"/>
      <c r="EQQ1" s="404"/>
      <c r="EQR1" s="405"/>
      <c r="EQS1" s="432" t="s">
        <v>41</v>
      </c>
      <c r="EQT1" s="404"/>
      <c r="EQU1" s="404"/>
      <c r="EQV1" s="404"/>
      <c r="EQW1" s="404"/>
      <c r="EQX1" s="404"/>
      <c r="EQY1" s="404"/>
      <c r="EQZ1" s="405"/>
      <c r="ERA1" s="432" t="s">
        <v>41</v>
      </c>
      <c r="ERB1" s="404"/>
      <c r="ERC1" s="404"/>
      <c r="ERD1" s="404"/>
      <c r="ERE1" s="404"/>
      <c r="ERF1" s="404"/>
      <c r="ERG1" s="404"/>
      <c r="ERH1" s="405"/>
      <c r="ERI1" s="432" t="s">
        <v>41</v>
      </c>
      <c r="ERJ1" s="404"/>
      <c r="ERK1" s="404"/>
      <c r="ERL1" s="404"/>
      <c r="ERM1" s="404"/>
      <c r="ERN1" s="404"/>
      <c r="ERO1" s="404"/>
      <c r="ERP1" s="405"/>
      <c r="ERQ1" s="432" t="s">
        <v>41</v>
      </c>
      <c r="ERR1" s="404"/>
      <c r="ERS1" s="404"/>
      <c r="ERT1" s="404"/>
      <c r="ERU1" s="404"/>
      <c r="ERV1" s="404"/>
      <c r="ERW1" s="404"/>
      <c r="ERX1" s="405"/>
      <c r="ERY1" s="432" t="s">
        <v>41</v>
      </c>
      <c r="ERZ1" s="404"/>
      <c r="ESA1" s="404"/>
      <c r="ESB1" s="404"/>
      <c r="ESC1" s="404"/>
      <c r="ESD1" s="404"/>
      <c r="ESE1" s="404"/>
      <c r="ESF1" s="405"/>
      <c r="ESG1" s="432" t="s">
        <v>41</v>
      </c>
      <c r="ESH1" s="404"/>
      <c r="ESI1" s="404"/>
      <c r="ESJ1" s="404"/>
      <c r="ESK1" s="404"/>
      <c r="ESL1" s="404"/>
      <c r="ESM1" s="404"/>
      <c r="ESN1" s="405"/>
      <c r="ESO1" s="432" t="s">
        <v>41</v>
      </c>
      <c r="ESP1" s="404"/>
      <c r="ESQ1" s="404"/>
      <c r="ESR1" s="404"/>
      <c r="ESS1" s="404"/>
      <c r="EST1" s="404"/>
      <c r="ESU1" s="404"/>
      <c r="ESV1" s="405"/>
      <c r="ESW1" s="432" t="s">
        <v>41</v>
      </c>
      <c r="ESX1" s="404"/>
      <c r="ESY1" s="404"/>
      <c r="ESZ1" s="404"/>
      <c r="ETA1" s="404"/>
      <c r="ETB1" s="404"/>
      <c r="ETC1" s="404"/>
      <c r="ETD1" s="405"/>
      <c r="ETE1" s="432" t="s">
        <v>41</v>
      </c>
      <c r="ETF1" s="404"/>
      <c r="ETG1" s="404"/>
      <c r="ETH1" s="404"/>
      <c r="ETI1" s="404"/>
      <c r="ETJ1" s="404"/>
      <c r="ETK1" s="404"/>
      <c r="ETL1" s="405"/>
      <c r="ETM1" s="432" t="s">
        <v>41</v>
      </c>
      <c r="ETN1" s="404"/>
      <c r="ETO1" s="404"/>
      <c r="ETP1" s="404"/>
      <c r="ETQ1" s="404"/>
      <c r="ETR1" s="404"/>
      <c r="ETS1" s="404"/>
      <c r="ETT1" s="405"/>
      <c r="ETU1" s="432" t="s">
        <v>41</v>
      </c>
      <c r="ETV1" s="404"/>
      <c r="ETW1" s="404"/>
      <c r="ETX1" s="404"/>
      <c r="ETY1" s="404"/>
      <c r="ETZ1" s="404"/>
      <c r="EUA1" s="404"/>
      <c r="EUB1" s="405"/>
      <c r="EUC1" s="432" t="s">
        <v>41</v>
      </c>
      <c r="EUD1" s="404"/>
      <c r="EUE1" s="404"/>
      <c r="EUF1" s="404"/>
      <c r="EUG1" s="404"/>
      <c r="EUH1" s="404"/>
      <c r="EUI1" s="404"/>
      <c r="EUJ1" s="405"/>
      <c r="EUK1" s="432" t="s">
        <v>41</v>
      </c>
      <c r="EUL1" s="404"/>
      <c r="EUM1" s="404"/>
      <c r="EUN1" s="404"/>
      <c r="EUO1" s="404"/>
      <c r="EUP1" s="404"/>
      <c r="EUQ1" s="404"/>
      <c r="EUR1" s="405"/>
      <c r="EUS1" s="432" t="s">
        <v>41</v>
      </c>
      <c r="EUT1" s="404"/>
      <c r="EUU1" s="404"/>
      <c r="EUV1" s="404"/>
      <c r="EUW1" s="404"/>
      <c r="EUX1" s="404"/>
      <c r="EUY1" s="404"/>
      <c r="EUZ1" s="405"/>
      <c r="EVA1" s="432" t="s">
        <v>41</v>
      </c>
      <c r="EVB1" s="404"/>
      <c r="EVC1" s="404"/>
      <c r="EVD1" s="404"/>
      <c r="EVE1" s="404"/>
      <c r="EVF1" s="404"/>
      <c r="EVG1" s="404"/>
      <c r="EVH1" s="405"/>
      <c r="EVI1" s="432" t="s">
        <v>41</v>
      </c>
      <c r="EVJ1" s="404"/>
      <c r="EVK1" s="404"/>
      <c r="EVL1" s="404"/>
      <c r="EVM1" s="404"/>
      <c r="EVN1" s="404"/>
      <c r="EVO1" s="404"/>
      <c r="EVP1" s="405"/>
      <c r="EVQ1" s="432" t="s">
        <v>41</v>
      </c>
      <c r="EVR1" s="404"/>
      <c r="EVS1" s="404"/>
      <c r="EVT1" s="404"/>
      <c r="EVU1" s="404"/>
      <c r="EVV1" s="404"/>
      <c r="EVW1" s="404"/>
      <c r="EVX1" s="405"/>
      <c r="EVY1" s="432" t="s">
        <v>41</v>
      </c>
      <c r="EVZ1" s="404"/>
      <c r="EWA1" s="404"/>
      <c r="EWB1" s="404"/>
      <c r="EWC1" s="404"/>
      <c r="EWD1" s="404"/>
      <c r="EWE1" s="404"/>
      <c r="EWF1" s="405"/>
      <c r="EWG1" s="432" t="s">
        <v>41</v>
      </c>
      <c r="EWH1" s="404"/>
      <c r="EWI1" s="404"/>
      <c r="EWJ1" s="404"/>
      <c r="EWK1" s="404"/>
      <c r="EWL1" s="404"/>
      <c r="EWM1" s="404"/>
      <c r="EWN1" s="405"/>
      <c r="EWO1" s="432" t="s">
        <v>41</v>
      </c>
      <c r="EWP1" s="404"/>
      <c r="EWQ1" s="404"/>
      <c r="EWR1" s="404"/>
      <c r="EWS1" s="404"/>
      <c r="EWT1" s="404"/>
      <c r="EWU1" s="404"/>
      <c r="EWV1" s="405"/>
      <c r="EWW1" s="432" t="s">
        <v>41</v>
      </c>
      <c r="EWX1" s="404"/>
      <c r="EWY1" s="404"/>
      <c r="EWZ1" s="404"/>
      <c r="EXA1" s="404"/>
      <c r="EXB1" s="404"/>
      <c r="EXC1" s="404"/>
      <c r="EXD1" s="405"/>
      <c r="EXE1" s="432" t="s">
        <v>41</v>
      </c>
      <c r="EXF1" s="404"/>
      <c r="EXG1" s="404"/>
      <c r="EXH1" s="404"/>
      <c r="EXI1" s="404"/>
      <c r="EXJ1" s="404"/>
      <c r="EXK1" s="404"/>
      <c r="EXL1" s="405"/>
      <c r="EXM1" s="432" t="s">
        <v>41</v>
      </c>
      <c r="EXN1" s="404"/>
      <c r="EXO1" s="404"/>
      <c r="EXP1" s="404"/>
      <c r="EXQ1" s="404"/>
      <c r="EXR1" s="404"/>
      <c r="EXS1" s="404"/>
      <c r="EXT1" s="405"/>
      <c r="EXU1" s="432" t="s">
        <v>41</v>
      </c>
      <c r="EXV1" s="404"/>
      <c r="EXW1" s="404"/>
      <c r="EXX1" s="404"/>
      <c r="EXY1" s="404"/>
      <c r="EXZ1" s="404"/>
      <c r="EYA1" s="404"/>
      <c r="EYB1" s="405"/>
      <c r="EYC1" s="432" t="s">
        <v>41</v>
      </c>
      <c r="EYD1" s="404"/>
      <c r="EYE1" s="404"/>
      <c r="EYF1" s="404"/>
      <c r="EYG1" s="404"/>
      <c r="EYH1" s="404"/>
      <c r="EYI1" s="404"/>
      <c r="EYJ1" s="405"/>
      <c r="EYK1" s="432" t="s">
        <v>41</v>
      </c>
      <c r="EYL1" s="404"/>
      <c r="EYM1" s="404"/>
      <c r="EYN1" s="404"/>
      <c r="EYO1" s="404"/>
      <c r="EYP1" s="404"/>
      <c r="EYQ1" s="404"/>
      <c r="EYR1" s="405"/>
      <c r="EYS1" s="432" t="s">
        <v>41</v>
      </c>
      <c r="EYT1" s="404"/>
      <c r="EYU1" s="404"/>
      <c r="EYV1" s="404"/>
      <c r="EYW1" s="404"/>
      <c r="EYX1" s="404"/>
      <c r="EYY1" s="404"/>
      <c r="EYZ1" s="405"/>
      <c r="EZA1" s="432" t="s">
        <v>41</v>
      </c>
      <c r="EZB1" s="404"/>
      <c r="EZC1" s="404"/>
      <c r="EZD1" s="404"/>
      <c r="EZE1" s="404"/>
      <c r="EZF1" s="404"/>
      <c r="EZG1" s="404"/>
      <c r="EZH1" s="405"/>
      <c r="EZI1" s="432" t="s">
        <v>41</v>
      </c>
      <c r="EZJ1" s="404"/>
      <c r="EZK1" s="404"/>
      <c r="EZL1" s="404"/>
      <c r="EZM1" s="404"/>
      <c r="EZN1" s="404"/>
      <c r="EZO1" s="404"/>
      <c r="EZP1" s="405"/>
      <c r="EZQ1" s="432" t="s">
        <v>41</v>
      </c>
      <c r="EZR1" s="404"/>
      <c r="EZS1" s="404"/>
      <c r="EZT1" s="404"/>
      <c r="EZU1" s="404"/>
      <c r="EZV1" s="404"/>
      <c r="EZW1" s="404"/>
      <c r="EZX1" s="405"/>
      <c r="EZY1" s="432" t="s">
        <v>41</v>
      </c>
      <c r="EZZ1" s="404"/>
      <c r="FAA1" s="404"/>
      <c r="FAB1" s="404"/>
      <c r="FAC1" s="404"/>
      <c r="FAD1" s="404"/>
      <c r="FAE1" s="404"/>
      <c r="FAF1" s="405"/>
      <c r="FAG1" s="432" t="s">
        <v>41</v>
      </c>
      <c r="FAH1" s="404"/>
      <c r="FAI1" s="404"/>
      <c r="FAJ1" s="404"/>
      <c r="FAK1" s="404"/>
      <c r="FAL1" s="404"/>
      <c r="FAM1" s="404"/>
      <c r="FAN1" s="405"/>
      <c r="FAO1" s="432" t="s">
        <v>41</v>
      </c>
      <c r="FAP1" s="404"/>
      <c r="FAQ1" s="404"/>
      <c r="FAR1" s="404"/>
      <c r="FAS1" s="404"/>
      <c r="FAT1" s="404"/>
      <c r="FAU1" s="404"/>
      <c r="FAV1" s="405"/>
      <c r="FAW1" s="432" t="s">
        <v>41</v>
      </c>
      <c r="FAX1" s="404"/>
      <c r="FAY1" s="404"/>
      <c r="FAZ1" s="404"/>
      <c r="FBA1" s="404"/>
      <c r="FBB1" s="404"/>
      <c r="FBC1" s="404"/>
      <c r="FBD1" s="405"/>
      <c r="FBE1" s="432" t="s">
        <v>41</v>
      </c>
      <c r="FBF1" s="404"/>
      <c r="FBG1" s="404"/>
      <c r="FBH1" s="404"/>
      <c r="FBI1" s="404"/>
      <c r="FBJ1" s="404"/>
      <c r="FBK1" s="404"/>
      <c r="FBL1" s="405"/>
      <c r="FBM1" s="432" t="s">
        <v>41</v>
      </c>
      <c r="FBN1" s="404"/>
      <c r="FBO1" s="404"/>
      <c r="FBP1" s="404"/>
      <c r="FBQ1" s="404"/>
      <c r="FBR1" s="404"/>
      <c r="FBS1" s="404"/>
      <c r="FBT1" s="405"/>
      <c r="FBU1" s="432" t="s">
        <v>41</v>
      </c>
      <c r="FBV1" s="404"/>
      <c r="FBW1" s="404"/>
      <c r="FBX1" s="404"/>
      <c r="FBY1" s="404"/>
      <c r="FBZ1" s="404"/>
      <c r="FCA1" s="404"/>
      <c r="FCB1" s="405"/>
      <c r="FCC1" s="432" t="s">
        <v>41</v>
      </c>
      <c r="FCD1" s="404"/>
      <c r="FCE1" s="404"/>
      <c r="FCF1" s="404"/>
      <c r="FCG1" s="404"/>
      <c r="FCH1" s="404"/>
      <c r="FCI1" s="404"/>
      <c r="FCJ1" s="405"/>
      <c r="FCK1" s="432" t="s">
        <v>41</v>
      </c>
      <c r="FCL1" s="404"/>
      <c r="FCM1" s="404"/>
      <c r="FCN1" s="404"/>
      <c r="FCO1" s="404"/>
      <c r="FCP1" s="404"/>
      <c r="FCQ1" s="404"/>
      <c r="FCR1" s="405"/>
      <c r="FCS1" s="432" t="s">
        <v>41</v>
      </c>
      <c r="FCT1" s="404"/>
      <c r="FCU1" s="404"/>
      <c r="FCV1" s="404"/>
      <c r="FCW1" s="404"/>
      <c r="FCX1" s="404"/>
      <c r="FCY1" s="404"/>
      <c r="FCZ1" s="405"/>
      <c r="FDA1" s="432" t="s">
        <v>41</v>
      </c>
      <c r="FDB1" s="404"/>
      <c r="FDC1" s="404"/>
      <c r="FDD1" s="404"/>
      <c r="FDE1" s="404"/>
      <c r="FDF1" s="404"/>
      <c r="FDG1" s="404"/>
      <c r="FDH1" s="405"/>
      <c r="FDI1" s="432" t="s">
        <v>41</v>
      </c>
      <c r="FDJ1" s="404"/>
      <c r="FDK1" s="404"/>
      <c r="FDL1" s="404"/>
      <c r="FDM1" s="404"/>
      <c r="FDN1" s="404"/>
      <c r="FDO1" s="404"/>
      <c r="FDP1" s="405"/>
      <c r="FDQ1" s="432" t="s">
        <v>41</v>
      </c>
      <c r="FDR1" s="404"/>
      <c r="FDS1" s="404"/>
      <c r="FDT1" s="404"/>
      <c r="FDU1" s="404"/>
      <c r="FDV1" s="404"/>
      <c r="FDW1" s="404"/>
      <c r="FDX1" s="405"/>
      <c r="FDY1" s="432" t="s">
        <v>41</v>
      </c>
      <c r="FDZ1" s="404"/>
      <c r="FEA1" s="404"/>
      <c r="FEB1" s="404"/>
      <c r="FEC1" s="404"/>
      <c r="FED1" s="404"/>
      <c r="FEE1" s="404"/>
      <c r="FEF1" s="405"/>
      <c r="FEG1" s="432" t="s">
        <v>41</v>
      </c>
      <c r="FEH1" s="404"/>
      <c r="FEI1" s="404"/>
      <c r="FEJ1" s="404"/>
      <c r="FEK1" s="404"/>
      <c r="FEL1" s="404"/>
      <c r="FEM1" s="404"/>
      <c r="FEN1" s="405"/>
      <c r="FEO1" s="432" t="s">
        <v>41</v>
      </c>
      <c r="FEP1" s="404"/>
      <c r="FEQ1" s="404"/>
      <c r="FER1" s="404"/>
      <c r="FES1" s="404"/>
      <c r="FET1" s="404"/>
      <c r="FEU1" s="404"/>
      <c r="FEV1" s="405"/>
      <c r="FEW1" s="432" t="s">
        <v>41</v>
      </c>
      <c r="FEX1" s="404"/>
      <c r="FEY1" s="404"/>
      <c r="FEZ1" s="404"/>
      <c r="FFA1" s="404"/>
      <c r="FFB1" s="404"/>
      <c r="FFC1" s="404"/>
      <c r="FFD1" s="405"/>
      <c r="FFE1" s="432" t="s">
        <v>41</v>
      </c>
      <c r="FFF1" s="404"/>
      <c r="FFG1" s="404"/>
      <c r="FFH1" s="404"/>
      <c r="FFI1" s="404"/>
      <c r="FFJ1" s="404"/>
      <c r="FFK1" s="404"/>
      <c r="FFL1" s="405"/>
      <c r="FFM1" s="432" t="s">
        <v>41</v>
      </c>
      <c r="FFN1" s="404"/>
      <c r="FFO1" s="404"/>
      <c r="FFP1" s="404"/>
      <c r="FFQ1" s="404"/>
      <c r="FFR1" s="404"/>
      <c r="FFS1" s="404"/>
      <c r="FFT1" s="405"/>
      <c r="FFU1" s="432" t="s">
        <v>41</v>
      </c>
      <c r="FFV1" s="404"/>
      <c r="FFW1" s="404"/>
      <c r="FFX1" s="404"/>
      <c r="FFY1" s="404"/>
      <c r="FFZ1" s="404"/>
      <c r="FGA1" s="404"/>
      <c r="FGB1" s="405"/>
      <c r="FGC1" s="432" t="s">
        <v>41</v>
      </c>
      <c r="FGD1" s="404"/>
      <c r="FGE1" s="404"/>
      <c r="FGF1" s="404"/>
      <c r="FGG1" s="404"/>
      <c r="FGH1" s="404"/>
      <c r="FGI1" s="404"/>
      <c r="FGJ1" s="405"/>
      <c r="FGK1" s="432" t="s">
        <v>41</v>
      </c>
      <c r="FGL1" s="404"/>
      <c r="FGM1" s="404"/>
      <c r="FGN1" s="404"/>
      <c r="FGO1" s="404"/>
      <c r="FGP1" s="404"/>
      <c r="FGQ1" s="404"/>
      <c r="FGR1" s="405"/>
      <c r="FGS1" s="432" t="s">
        <v>41</v>
      </c>
      <c r="FGT1" s="404"/>
      <c r="FGU1" s="404"/>
      <c r="FGV1" s="404"/>
      <c r="FGW1" s="404"/>
      <c r="FGX1" s="404"/>
      <c r="FGY1" s="404"/>
      <c r="FGZ1" s="405"/>
      <c r="FHA1" s="432" t="s">
        <v>41</v>
      </c>
      <c r="FHB1" s="404"/>
      <c r="FHC1" s="404"/>
      <c r="FHD1" s="404"/>
      <c r="FHE1" s="404"/>
      <c r="FHF1" s="404"/>
      <c r="FHG1" s="404"/>
      <c r="FHH1" s="405"/>
      <c r="FHI1" s="432" t="s">
        <v>41</v>
      </c>
      <c r="FHJ1" s="404"/>
      <c r="FHK1" s="404"/>
      <c r="FHL1" s="404"/>
      <c r="FHM1" s="404"/>
      <c r="FHN1" s="404"/>
      <c r="FHO1" s="404"/>
      <c r="FHP1" s="405"/>
      <c r="FHQ1" s="432" t="s">
        <v>41</v>
      </c>
      <c r="FHR1" s="404"/>
      <c r="FHS1" s="404"/>
      <c r="FHT1" s="404"/>
      <c r="FHU1" s="404"/>
      <c r="FHV1" s="404"/>
      <c r="FHW1" s="404"/>
      <c r="FHX1" s="405"/>
      <c r="FHY1" s="432" t="s">
        <v>41</v>
      </c>
      <c r="FHZ1" s="404"/>
      <c r="FIA1" s="404"/>
      <c r="FIB1" s="404"/>
      <c r="FIC1" s="404"/>
      <c r="FID1" s="404"/>
      <c r="FIE1" s="404"/>
      <c r="FIF1" s="405"/>
      <c r="FIG1" s="432" t="s">
        <v>41</v>
      </c>
      <c r="FIH1" s="404"/>
      <c r="FII1" s="404"/>
      <c r="FIJ1" s="404"/>
      <c r="FIK1" s="404"/>
      <c r="FIL1" s="404"/>
      <c r="FIM1" s="404"/>
      <c r="FIN1" s="405"/>
      <c r="FIO1" s="432" t="s">
        <v>41</v>
      </c>
      <c r="FIP1" s="404"/>
      <c r="FIQ1" s="404"/>
      <c r="FIR1" s="404"/>
      <c r="FIS1" s="404"/>
      <c r="FIT1" s="404"/>
      <c r="FIU1" s="404"/>
      <c r="FIV1" s="405"/>
      <c r="FIW1" s="432" t="s">
        <v>41</v>
      </c>
      <c r="FIX1" s="404"/>
      <c r="FIY1" s="404"/>
      <c r="FIZ1" s="404"/>
      <c r="FJA1" s="404"/>
      <c r="FJB1" s="404"/>
      <c r="FJC1" s="404"/>
      <c r="FJD1" s="405"/>
      <c r="FJE1" s="432" t="s">
        <v>41</v>
      </c>
      <c r="FJF1" s="404"/>
      <c r="FJG1" s="404"/>
      <c r="FJH1" s="404"/>
      <c r="FJI1" s="404"/>
      <c r="FJJ1" s="404"/>
      <c r="FJK1" s="404"/>
      <c r="FJL1" s="405"/>
      <c r="FJM1" s="432" t="s">
        <v>41</v>
      </c>
      <c r="FJN1" s="404"/>
      <c r="FJO1" s="404"/>
      <c r="FJP1" s="404"/>
      <c r="FJQ1" s="404"/>
      <c r="FJR1" s="404"/>
      <c r="FJS1" s="404"/>
      <c r="FJT1" s="405"/>
      <c r="FJU1" s="432" t="s">
        <v>41</v>
      </c>
      <c r="FJV1" s="404"/>
      <c r="FJW1" s="404"/>
      <c r="FJX1" s="404"/>
      <c r="FJY1" s="404"/>
      <c r="FJZ1" s="404"/>
      <c r="FKA1" s="404"/>
      <c r="FKB1" s="405"/>
      <c r="FKC1" s="432" t="s">
        <v>41</v>
      </c>
      <c r="FKD1" s="404"/>
      <c r="FKE1" s="404"/>
      <c r="FKF1" s="404"/>
      <c r="FKG1" s="404"/>
      <c r="FKH1" s="404"/>
      <c r="FKI1" s="404"/>
      <c r="FKJ1" s="405"/>
      <c r="FKK1" s="432" t="s">
        <v>41</v>
      </c>
      <c r="FKL1" s="404"/>
      <c r="FKM1" s="404"/>
      <c r="FKN1" s="404"/>
      <c r="FKO1" s="404"/>
      <c r="FKP1" s="404"/>
      <c r="FKQ1" s="404"/>
      <c r="FKR1" s="405"/>
      <c r="FKS1" s="432" t="s">
        <v>41</v>
      </c>
      <c r="FKT1" s="404"/>
      <c r="FKU1" s="404"/>
      <c r="FKV1" s="404"/>
      <c r="FKW1" s="404"/>
      <c r="FKX1" s="404"/>
      <c r="FKY1" s="404"/>
      <c r="FKZ1" s="405"/>
      <c r="FLA1" s="432" t="s">
        <v>41</v>
      </c>
      <c r="FLB1" s="404"/>
      <c r="FLC1" s="404"/>
      <c r="FLD1" s="404"/>
      <c r="FLE1" s="404"/>
      <c r="FLF1" s="404"/>
      <c r="FLG1" s="404"/>
      <c r="FLH1" s="405"/>
      <c r="FLI1" s="432" t="s">
        <v>41</v>
      </c>
      <c r="FLJ1" s="404"/>
      <c r="FLK1" s="404"/>
      <c r="FLL1" s="404"/>
      <c r="FLM1" s="404"/>
      <c r="FLN1" s="404"/>
      <c r="FLO1" s="404"/>
      <c r="FLP1" s="405"/>
      <c r="FLQ1" s="432" t="s">
        <v>41</v>
      </c>
      <c r="FLR1" s="404"/>
      <c r="FLS1" s="404"/>
      <c r="FLT1" s="404"/>
      <c r="FLU1" s="404"/>
      <c r="FLV1" s="404"/>
      <c r="FLW1" s="404"/>
      <c r="FLX1" s="405"/>
      <c r="FLY1" s="432" t="s">
        <v>41</v>
      </c>
      <c r="FLZ1" s="404"/>
      <c r="FMA1" s="404"/>
      <c r="FMB1" s="404"/>
      <c r="FMC1" s="404"/>
      <c r="FMD1" s="404"/>
      <c r="FME1" s="404"/>
      <c r="FMF1" s="405"/>
      <c r="FMG1" s="432" t="s">
        <v>41</v>
      </c>
      <c r="FMH1" s="404"/>
      <c r="FMI1" s="404"/>
      <c r="FMJ1" s="404"/>
      <c r="FMK1" s="404"/>
      <c r="FML1" s="404"/>
      <c r="FMM1" s="404"/>
      <c r="FMN1" s="405"/>
      <c r="FMO1" s="432" t="s">
        <v>41</v>
      </c>
      <c r="FMP1" s="404"/>
      <c r="FMQ1" s="404"/>
      <c r="FMR1" s="404"/>
      <c r="FMS1" s="404"/>
      <c r="FMT1" s="404"/>
      <c r="FMU1" s="404"/>
      <c r="FMV1" s="405"/>
      <c r="FMW1" s="432" t="s">
        <v>41</v>
      </c>
      <c r="FMX1" s="404"/>
      <c r="FMY1" s="404"/>
      <c r="FMZ1" s="404"/>
      <c r="FNA1" s="404"/>
      <c r="FNB1" s="404"/>
      <c r="FNC1" s="404"/>
      <c r="FND1" s="405"/>
      <c r="FNE1" s="432" t="s">
        <v>41</v>
      </c>
      <c r="FNF1" s="404"/>
      <c r="FNG1" s="404"/>
      <c r="FNH1" s="404"/>
      <c r="FNI1" s="404"/>
      <c r="FNJ1" s="404"/>
      <c r="FNK1" s="404"/>
      <c r="FNL1" s="405"/>
      <c r="FNM1" s="432" t="s">
        <v>41</v>
      </c>
      <c r="FNN1" s="404"/>
      <c r="FNO1" s="404"/>
      <c r="FNP1" s="404"/>
      <c r="FNQ1" s="404"/>
      <c r="FNR1" s="404"/>
      <c r="FNS1" s="404"/>
      <c r="FNT1" s="405"/>
      <c r="FNU1" s="432" t="s">
        <v>41</v>
      </c>
      <c r="FNV1" s="404"/>
      <c r="FNW1" s="404"/>
      <c r="FNX1" s="404"/>
      <c r="FNY1" s="404"/>
      <c r="FNZ1" s="404"/>
      <c r="FOA1" s="404"/>
      <c r="FOB1" s="405"/>
      <c r="FOC1" s="432" t="s">
        <v>41</v>
      </c>
      <c r="FOD1" s="404"/>
      <c r="FOE1" s="404"/>
      <c r="FOF1" s="404"/>
      <c r="FOG1" s="404"/>
      <c r="FOH1" s="404"/>
      <c r="FOI1" s="404"/>
      <c r="FOJ1" s="405"/>
      <c r="FOK1" s="432" t="s">
        <v>41</v>
      </c>
      <c r="FOL1" s="404"/>
      <c r="FOM1" s="404"/>
      <c r="FON1" s="404"/>
      <c r="FOO1" s="404"/>
      <c r="FOP1" s="404"/>
      <c r="FOQ1" s="404"/>
      <c r="FOR1" s="405"/>
      <c r="FOS1" s="432" t="s">
        <v>41</v>
      </c>
      <c r="FOT1" s="404"/>
      <c r="FOU1" s="404"/>
      <c r="FOV1" s="404"/>
      <c r="FOW1" s="404"/>
      <c r="FOX1" s="404"/>
      <c r="FOY1" s="404"/>
      <c r="FOZ1" s="405"/>
      <c r="FPA1" s="432" t="s">
        <v>41</v>
      </c>
      <c r="FPB1" s="404"/>
      <c r="FPC1" s="404"/>
      <c r="FPD1" s="404"/>
      <c r="FPE1" s="404"/>
      <c r="FPF1" s="404"/>
      <c r="FPG1" s="404"/>
      <c r="FPH1" s="405"/>
      <c r="FPI1" s="432" t="s">
        <v>41</v>
      </c>
      <c r="FPJ1" s="404"/>
      <c r="FPK1" s="404"/>
      <c r="FPL1" s="404"/>
      <c r="FPM1" s="404"/>
      <c r="FPN1" s="404"/>
      <c r="FPO1" s="404"/>
      <c r="FPP1" s="405"/>
      <c r="FPQ1" s="432" t="s">
        <v>41</v>
      </c>
      <c r="FPR1" s="404"/>
      <c r="FPS1" s="404"/>
      <c r="FPT1" s="404"/>
      <c r="FPU1" s="404"/>
      <c r="FPV1" s="404"/>
      <c r="FPW1" s="404"/>
      <c r="FPX1" s="405"/>
      <c r="FPY1" s="432" t="s">
        <v>41</v>
      </c>
      <c r="FPZ1" s="404"/>
      <c r="FQA1" s="404"/>
      <c r="FQB1" s="404"/>
      <c r="FQC1" s="404"/>
      <c r="FQD1" s="404"/>
      <c r="FQE1" s="404"/>
      <c r="FQF1" s="405"/>
      <c r="FQG1" s="432" t="s">
        <v>41</v>
      </c>
      <c r="FQH1" s="404"/>
      <c r="FQI1" s="404"/>
      <c r="FQJ1" s="404"/>
      <c r="FQK1" s="404"/>
      <c r="FQL1" s="404"/>
      <c r="FQM1" s="404"/>
      <c r="FQN1" s="405"/>
      <c r="FQO1" s="432" t="s">
        <v>41</v>
      </c>
      <c r="FQP1" s="404"/>
      <c r="FQQ1" s="404"/>
      <c r="FQR1" s="404"/>
      <c r="FQS1" s="404"/>
      <c r="FQT1" s="404"/>
      <c r="FQU1" s="404"/>
      <c r="FQV1" s="405"/>
      <c r="FQW1" s="432" t="s">
        <v>41</v>
      </c>
      <c r="FQX1" s="404"/>
      <c r="FQY1" s="404"/>
      <c r="FQZ1" s="404"/>
      <c r="FRA1" s="404"/>
      <c r="FRB1" s="404"/>
      <c r="FRC1" s="404"/>
      <c r="FRD1" s="405"/>
      <c r="FRE1" s="432" t="s">
        <v>41</v>
      </c>
      <c r="FRF1" s="404"/>
      <c r="FRG1" s="404"/>
      <c r="FRH1" s="404"/>
      <c r="FRI1" s="404"/>
      <c r="FRJ1" s="404"/>
      <c r="FRK1" s="404"/>
      <c r="FRL1" s="405"/>
      <c r="FRM1" s="432" t="s">
        <v>41</v>
      </c>
      <c r="FRN1" s="404"/>
      <c r="FRO1" s="404"/>
      <c r="FRP1" s="404"/>
      <c r="FRQ1" s="404"/>
      <c r="FRR1" s="404"/>
      <c r="FRS1" s="404"/>
      <c r="FRT1" s="405"/>
      <c r="FRU1" s="432" t="s">
        <v>41</v>
      </c>
      <c r="FRV1" s="404"/>
      <c r="FRW1" s="404"/>
      <c r="FRX1" s="404"/>
      <c r="FRY1" s="404"/>
      <c r="FRZ1" s="404"/>
      <c r="FSA1" s="404"/>
      <c r="FSB1" s="405"/>
      <c r="FSC1" s="432" t="s">
        <v>41</v>
      </c>
      <c r="FSD1" s="404"/>
      <c r="FSE1" s="404"/>
      <c r="FSF1" s="404"/>
      <c r="FSG1" s="404"/>
      <c r="FSH1" s="404"/>
      <c r="FSI1" s="404"/>
      <c r="FSJ1" s="405"/>
      <c r="FSK1" s="432" t="s">
        <v>41</v>
      </c>
      <c r="FSL1" s="404"/>
      <c r="FSM1" s="404"/>
      <c r="FSN1" s="404"/>
      <c r="FSO1" s="404"/>
      <c r="FSP1" s="404"/>
      <c r="FSQ1" s="404"/>
      <c r="FSR1" s="405"/>
      <c r="FSS1" s="432" t="s">
        <v>41</v>
      </c>
      <c r="FST1" s="404"/>
      <c r="FSU1" s="404"/>
      <c r="FSV1" s="404"/>
      <c r="FSW1" s="404"/>
      <c r="FSX1" s="404"/>
      <c r="FSY1" s="404"/>
      <c r="FSZ1" s="405"/>
      <c r="FTA1" s="432" t="s">
        <v>41</v>
      </c>
      <c r="FTB1" s="404"/>
      <c r="FTC1" s="404"/>
      <c r="FTD1" s="404"/>
      <c r="FTE1" s="404"/>
      <c r="FTF1" s="404"/>
      <c r="FTG1" s="404"/>
      <c r="FTH1" s="405"/>
      <c r="FTI1" s="432" t="s">
        <v>41</v>
      </c>
      <c r="FTJ1" s="404"/>
      <c r="FTK1" s="404"/>
      <c r="FTL1" s="404"/>
      <c r="FTM1" s="404"/>
      <c r="FTN1" s="404"/>
      <c r="FTO1" s="404"/>
      <c r="FTP1" s="405"/>
      <c r="FTQ1" s="432" t="s">
        <v>41</v>
      </c>
      <c r="FTR1" s="404"/>
      <c r="FTS1" s="404"/>
      <c r="FTT1" s="404"/>
      <c r="FTU1" s="404"/>
      <c r="FTV1" s="404"/>
      <c r="FTW1" s="404"/>
      <c r="FTX1" s="405"/>
      <c r="FTY1" s="432" t="s">
        <v>41</v>
      </c>
      <c r="FTZ1" s="404"/>
      <c r="FUA1" s="404"/>
      <c r="FUB1" s="404"/>
      <c r="FUC1" s="404"/>
      <c r="FUD1" s="404"/>
      <c r="FUE1" s="404"/>
      <c r="FUF1" s="405"/>
      <c r="FUG1" s="432" t="s">
        <v>41</v>
      </c>
      <c r="FUH1" s="404"/>
      <c r="FUI1" s="404"/>
      <c r="FUJ1" s="404"/>
      <c r="FUK1" s="404"/>
      <c r="FUL1" s="404"/>
      <c r="FUM1" s="404"/>
      <c r="FUN1" s="405"/>
      <c r="FUO1" s="432" t="s">
        <v>41</v>
      </c>
      <c r="FUP1" s="404"/>
      <c r="FUQ1" s="404"/>
      <c r="FUR1" s="404"/>
      <c r="FUS1" s="404"/>
      <c r="FUT1" s="404"/>
      <c r="FUU1" s="404"/>
      <c r="FUV1" s="405"/>
      <c r="FUW1" s="432" t="s">
        <v>41</v>
      </c>
      <c r="FUX1" s="404"/>
      <c r="FUY1" s="404"/>
      <c r="FUZ1" s="404"/>
      <c r="FVA1" s="404"/>
      <c r="FVB1" s="404"/>
      <c r="FVC1" s="404"/>
      <c r="FVD1" s="405"/>
      <c r="FVE1" s="432" t="s">
        <v>41</v>
      </c>
      <c r="FVF1" s="404"/>
      <c r="FVG1" s="404"/>
      <c r="FVH1" s="404"/>
      <c r="FVI1" s="404"/>
      <c r="FVJ1" s="404"/>
      <c r="FVK1" s="404"/>
      <c r="FVL1" s="405"/>
      <c r="FVM1" s="432" t="s">
        <v>41</v>
      </c>
      <c r="FVN1" s="404"/>
      <c r="FVO1" s="404"/>
      <c r="FVP1" s="404"/>
      <c r="FVQ1" s="404"/>
      <c r="FVR1" s="404"/>
      <c r="FVS1" s="404"/>
      <c r="FVT1" s="405"/>
      <c r="FVU1" s="432" t="s">
        <v>41</v>
      </c>
      <c r="FVV1" s="404"/>
      <c r="FVW1" s="404"/>
      <c r="FVX1" s="404"/>
      <c r="FVY1" s="404"/>
      <c r="FVZ1" s="404"/>
      <c r="FWA1" s="404"/>
      <c r="FWB1" s="405"/>
      <c r="FWC1" s="432" t="s">
        <v>41</v>
      </c>
      <c r="FWD1" s="404"/>
      <c r="FWE1" s="404"/>
      <c r="FWF1" s="404"/>
      <c r="FWG1" s="404"/>
      <c r="FWH1" s="404"/>
      <c r="FWI1" s="404"/>
      <c r="FWJ1" s="405"/>
      <c r="FWK1" s="432" t="s">
        <v>41</v>
      </c>
      <c r="FWL1" s="404"/>
      <c r="FWM1" s="404"/>
      <c r="FWN1" s="404"/>
      <c r="FWO1" s="404"/>
      <c r="FWP1" s="404"/>
      <c r="FWQ1" s="404"/>
      <c r="FWR1" s="405"/>
      <c r="FWS1" s="432" t="s">
        <v>41</v>
      </c>
      <c r="FWT1" s="404"/>
      <c r="FWU1" s="404"/>
      <c r="FWV1" s="404"/>
      <c r="FWW1" s="404"/>
      <c r="FWX1" s="404"/>
      <c r="FWY1" s="404"/>
      <c r="FWZ1" s="405"/>
      <c r="FXA1" s="432" t="s">
        <v>41</v>
      </c>
      <c r="FXB1" s="404"/>
      <c r="FXC1" s="404"/>
      <c r="FXD1" s="404"/>
      <c r="FXE1" s="404"/>
      <c r="FXF1" s="404"/>
      <c r="FXG1" s="404"/>
      <c r="FXH1" s="405"/>
      <c r="FXI1" s="432" t="s">
        <v>41</v>
      </c>
      <c r="FXJ1" s="404"/>
      <c r="FXK1" s="404"/>
      <c r="FXL1" s="404"/>
      <c r="FXM1" s="404"/>
      <c r="FXN1" s="404"/>
      <c r="FXO1" s="404"/>
      <c r="FXP1" s="405"/>
      <c r="FXQ1" s="432" t="s">
        <v>41</v>
      </c>
      <c r="FXR1" s="404"/>
      <c r="FXS1" s="404"/>
      <c r="FXT1" s="404"/>
      <c r="FXU1" s="404"/>
      <c r="FXV1" s="404"/>
      <c r="FXW1" s="404"/>
      <c r="FXX1" s="405"/>
      <c r="FXY1" s="432" t="s">
        <v>41</v>
      </c>
      <c r="FXZ1" s="404"/>
      <c r="FYA1" s="404"/>
      <c r="FYB1" s="404"/>
      <c r="FYC1" s="404"/>
      <c r="FYD1" s="404"/>
      <c r="FYE1" s="404"/>
      <c r="FYF1" s="405"/>
      <c r="FYG1" s="432" t="s">
        <v>41</v>
      </c>
      <c r="FYH1" s="404"/>
      <c r="FYI1" s="404"/>
      <c r="FYJ1" s="404"/>
      <c r="FYK1" s="404"/>
      <c r="FYL1" s="404"/>
      <c r="FYM1" s="404"/>
      <c r="FYN1" s="405"/>
      <c r="FYO1" s="432" t="s">
        <v>41</v>
      </c>
      <c r="FYP1" s="404"/>
      <c r="FYQ1" s="404"/>
      <c r="FYR1" s="404"/>
      <c r="FYS1" s="404"/>
      <c r="FYT1" s="404"/>
      <c r="FYU1" s="404"/>
      <c r="FYV1" s="405"/>
      <c r="FYW1" s="432" t="s">
        <v>41</v>
      </c>
      <c r="FYX1" s="404"/>
      <c r="FYY1" s="404"/>
      <c r="FYZ1" s="404"/>
      <c r="FZA1" s="404"/>
      <c r="FZB1" s="404"/>
      <c r="FZC1" s="404"/>
      <c r="FZD1" s="405"/>
      <c r="FZE1" s="432" t="s">
        <v>41</v>
      </c>
      <c r="FZF1" s="404"/>
      <c r="FZG1" s="404"/>
      <c r="FZH1" s="404"/>
      <c r="FZI1" s="404"/>
      <c r="FZJ1" s="404"/>
      <c r="FZK1" s="404"/>
      <c r="FZL1" s="405"/>
      <c r="FZM1" s="432" t="s">
        <v>41</v>
      </c>
      <c r="FZN1" s="404"/>
      <c r="FZO1" s="404"/>
      <c r="FZP1" s="404"/>
      <c r="FZQ1" s="404"/>
      <c r="FZR1" s="404"/>
      <c r="FZS1" s="404"/>
      <c r="FZT1" s="405"/>
      <c r="FZU1" s="432" t="s">
        <v>41</v>
      </c>
      <c r="FZV1" s="404"/>
      <c r="FZW1" s="404"/>
      <c r="FZX1" s="404"/>
      <c r="FZY1" s="404"/>
      <c r="FZZ1" s="404"/>
      <c r="GAA1" s="404"/>
      <c r="GAB1" s="405"/>
      <c r="GAC1" s="432" t="s">
        <v>41</v>
      </c>
      <c r="GAD1" s="404"/>
      <c r="GAE1" s="404"/>
      <c r="GAF1" s="404"/>
      <c r="GAG1" s="404"/>
      <c r="GAH1" s="404"/>
      <c r="GAI1" s="404"/>
      <c r="GAJ1" s="405"/>
      <c r="GAK1" s="432" t="s">
        <v>41</v>
      </c>
      <c r="GAL1" s="404"/>
      <c r="GAM1" s="404"/>
      <c r="GAN1" s="404"/>
      <c r="GAO1" s="404"/>
      <c r="GAP1" s="404"/>
      <c r="GAQ1" s="404"/>
      <c r="GAR1" s="405"/>
      <c r="GAS1" s="432" t="s">
        <v>41</v>
      </c>
      <c r="GAT1" s="404"/>
      <c r="GAU1" s="404"/>
      <c r="GAV1" s="404"/>
      <c r="GAW1" s="404"/>
      <c r="GAX1" s="404"/>
      <c r="GAY1" s="404"/>
      <c r="GAZ1" s="405"/>
      <c r="GBA1" s="432" t="s">
        <v>41</v>
      </c>
      <c r="GBB1" s="404"/>
      <c r="GBC1" s="404"/>
      <c r="GBD1" s="404"/>
      <c r="GBE1" s="404"/>
      <c r="GBF1" s="404"/>
      <c r="GBG1" s="404"/>
      <c r="GBH1" s="405"/>
      <c r="GBI1" s="432" t="s">
        <v>41</v>
      </c>
      <c r="GBJ1" s="404"/>
      <c r="GBK1" s="404"/>
      <c r="GBL1" s="404"/>
      <c r="GBM1" s="404"/>
      <c r="GBN1" s="404"/>
      <c r="GBO1" s="404"/>
      <c r="GBP1" s="405"/>
      <c r="GBQ1" s="432" t="s">
        <v>41</v>
      </c>
      <c r="GBR1" s="404"/>
      <c r="GBS1" s="404"/>
      <c r="GBT1" s="404"/>
      <c r="GBU1" s="404"/>
      <c r="GBV1" s="404"/>
      <c r="GBW1" s="404"/>
      <c r="GBX1" s="405"/>
      <c r="GBY1" s="432" t="s">
        <v>41</v>
      </c>
      <c r="GBZ1" s="404"/>
      <c r="GCA1" s="404"/>
      <c r="GCB1" s="404"/>
      <c r="GCC1" s="404"/>
      <c r="GCD1" s="404"/>
      <c r="GCE1" s="404"/>
      <c r="GCF1" s="405"/>
      <c r="GCG1" s="432" t="s">
        <v>41</v>
      </c>
      <c r="GCH1" s="404"/>
      <c r="GCI1" s="404"/>
      <c r="GCJ1" s="404"/>
      <c r="GCK1" s="404"/>
      <c r="GCL1" s="404"/>
      <c r="GCM1" s="404"/>
      <c r="GCN1" s="405"/>
      <c r="GCO1" s="432" t="s">
        <v>41</v>
      </c>
      <c r="GCP1" s="404"/>
      <c r="GCQ1" s="404"/>
      <c r="GCR1" s="404"/>
      <c r="GCS1" s="404"/>
      <c r="GCT1" s="404"/>
      <c r="GCU1" s="404"/>
      <c r="GCV1" s="405"/>
      <c r="GCW1" s="432" t="s">
        <v>41</v>
      </c>
      <c r="GCX1" s="404"/>
      <c r="GCY1" s="404"/>
      <c r="GCZ1" s="404"/>
      <c r="GDA1" s="404"/>
      <c r="GDB1" s="404"/>
      <c r="GDC1" s="404"/>
      <c r="GDD1" s="405"/>
      <c r="GDE1" s="432" t="s">
        <v>41</v>
      </c>
      <c r="GDF1" s="404"/>
      <c r="GDG1" s="404"/>
      <c r="GDH1" s="404"/>
      <c r="GDI1" s="404"/>
      <c r="GDJ1" s="404"/>
      <c r="GDK1" s="404"/>
      <c r="GDL1" s="405"/>
      <c r="GDM1" s="432" t="s">
        <v>41</v>
      </c>
      <c r="GDN1" s="404"/>
      <c r="GDO1" s="404"/>
      <c r="GDP1" s="404"/>
      <c r="GDQ1" s="404"/>
      <c r="GDR1" s="404"/>
      <c r="GDS1" s="404"/>
      <c r="GDT1" s="405"/>
      <c r="GDU1" s="432" t="s">
        <v>41</v>
      </c>
      <c r="GDV1" s="404"/>
      <c r="GDW1" s="404"/>
      <c r="GDX1" s="404"/>
      <c r="GDY1" s="404"/>
      <c r="GDZ1" s="404"/>
      <c r="GEA1" s="404"/>
      <c r="GEB1" s="405"/>
      <c r="GEC1" s="432" t="s">
        <v>41</v>
      </c>
      <c r="GED1" s="404"/>
      <c r="GEE1" s="404"/>
      <c r="GEF1" s="404"/>
      <c r="GEG1" s="404"/>
      <c r="GEH1" s="404"/>
      <c r="GEI1" s="404"/>
      <c r="GEJ1" s="405"/>
      <c r="GEK1" s="432" t="s">
        <v>41</v>
      </c>
      <c r="GEL1" s="404"/>
      <c r="GEM1" s="404"/>
      <c r="GEN1" s="404"/>
      <c r="GEO1" s="404"/>
      <c r="GEP1" s="404"/>
      <c r="GEQ1" s="404"/>
      <c r="GER1" s="405"/>
      <c r="GES1" s="432" t="s">
        <v>41</v>
      </c>
      <c r="GET1" s="404"/>
      <c r="GEU1" s="404"/>
      <c r="GEV1" s="404"/>
      <c r="GEW1" s="404"/>
      <c r="GEX1" s="404"/>
      <c r="GEY1" s="404"/>
      <c r="GEZ1" s="405"/>
      <c r="GFA1" s="432" t="s">
        <v>41</v>
      </c>
      <c r="GFB1" s="404"/>
      <c r="GFC1" s="404"/>
      <c r="GFD1" s="404"/>
      <c r="GFE1" s="404"/>
      <c r="GFF1" s="404"/>
      <c r="GFG1" s="404"/>
      <c r="GFH1" s="405"/>
      <c r="GFI1" s="432" t="s">
        <v>41</v>
      </c>
      <c r="GFJ1" s="404"/>
      <c r="GFK1" s="404"/>
      <c r="GFL1" s="404"/>
      <c r="GFM1" s="404"/>
      <c r="GFN1" s="404"/>
      <c r="GFO1" s="404"/>
      <c r="GFP1" s="405"/>
      <c r="GFQ1" s="432" t="s">
        <v>41</v>
      </c>
      <c r="GFR1" s="404"/>
      <c r="GFS1" s="404"/>
      <c r="GFT1" s="404"/>
      <c r="GFU1" s="404"/>
      <c r="GFV1" s="404"/>
      <c r="GFW1" s="404"/>
      <c r="GFX1" s="405"/>
      <c r="GFY1" s="432" t="s">
        <v>41</v>
      </c>
      <c r="GFZ1" s="404"/>
      <c r="GGA1" s="404"/>
      <c r="GGB1" s="404"/>
      <c r="GGC1" s="404"/>
      <c r="GGD1" s="404"/>
      <c r="GGE1" s="404"/>
      <c r="GGF1" s="405"/>
      <c r="GGG1" s="432" t="s">
        <v>41</v>
      </c>
      <c r="GGH1" s="404"/>
      <c r="GGI1" s="404"/>
      <c r="GGJ1" s="404"/>
      <c r="GGK1" s="404"/>
      <c r="GGL1" s="404"/>
      <c r="GGM1" s="404"/>
      <c r="GGN1" s="405"/>
      <c r="GGO1" s="432" t="s">
        <v>41</v>
      </c>
      <c r="GGP1" s="404"/>
      <c r="GGQ1" s="404"/>
      <c r="GGR1" s="404"/>
      <c r="GGS1" s="404"/>
      <c r="GGT1" s="404"/>
      <c r="GGU1" s="404"/>
      <c r="GGV1" s="405"/>
      <c r="GGW1" s="432" t="s">
        <v>41</v>
      </c>
      <c r="GGX1" s="404"/>
      <c r="GGY1" s="404"/>
      <c r="GGZ1" s="404"/>
      <c r="GHA1" s="404"/>
      <c r="GHB1" s="404"/>
      <c r="GHC1" s="404"/>
      <c r="GHD1" s="405"/>
      <c r="GHE1" s="432" t="s">
        <v>41</v>
      </c>
      <c r="GHF1" s="404"/>
      <c r="GHG1" s="404"/>
      <c r="GHH1" s="404"/>
      <c r="GHI1" s="404"/>
      <c r="GHJ1" s="404"/>
      <c r="GHK1" s="404"/>
      <c r="GHL1" s="405"/>
      <c r="GHM1" s="432" t="s">
        <v>41</v>
      </c>
      <c r="GHN1" s="404"/>
      <c r="GHO1" s="404"/>
      <c r="GHP1" s="404"/>
      <c r="GHQ1" s="404"/>
      <c r="GHR1" s="404"/>
      <c r="GHS1" s="404"/>
      <c r="GHT1" s="405"/>
      <c r="GHU1" s="432" t="s">
        <v>41</v>
      </c>
      <c r="GHV1" s="404"/>
      <c r="GHW1" s="404"/>
      <c r="GHX1" s="404"/>
      <c r="GHY1" s="404"/>
      <c r="GHZ1" s="404"/>
      <c r="GIA1" s="404"/>
      <c r="GIB1" s="405"/>
      <c r="GIC1" s="432" t="s">
        <v>41</v>
      </c>
      <c r="GID1" s="404"/>
      <c r="GIE1" s="404"/>
      <c r="GIF1" s="404"/>
      <c r="GIG1" s="404"/>
      <c r="GIH1" s="404"/>
      <c r="GII1" s="404"/>
      <c r="GIJ1" s="405"/>
      <c r="GIK1" s="432" t="s">
        <v>41</v>
      </c>
      <c r="GIL1" s="404"/>
      <c r="GIM1" s="404"/>
      <c r="GIN1" s="404"/>
      <c r="GIO1" s="404"/>
      <c r="GIP1" s="404"/>
      <c r="GIQ1" s="404"/>
      <c r="GIR1" s="405"/>
      <c r="GIS1" s="432" t="s">
        <v>41</v>
      </c>
      <c r="GIT1" s="404"/>
      <c r="GIU1" s="404"/>
      <c r="GIV1" s="404"/>
      <c r="GIW1" s="404"/>
      <c r="GIX1" s="404"/>
      <c r="GIY1" s="404"/>
      <c r="GIZ1" s="405"/>
      <c r="GJA1" s="432" t="s">
        <v>41</v>
      </c>
      <c r="GJB1" s="404"/>
      <c r="GJC1" s="404"/>
      <c r="GJD1" s="404"/>
      <c r="GJE1" s="404"/>
      <c r="GJF1" s="404"/>
      <c r="GJG1" s="404"/>
      <c r="GJH1" s="405"/>
      <c r="GJI1" s="432" t="s">
        <v>41</v>
      </c>
      <c r="GJJ1" s="404"/>
      <c r="GJK1" s="404"/>
      <c r="GJL1" s="404"/>
      <c r="GJM1" s="404"/>
      <c r="GJN1" s="404"/>
      <c r="GJO1" s="404"/>
      <c r="GJP1" s="405"/>
      <c r="GJQ1" s="432" t="s">
        <v>41</v>
      </c>
      <c r="GJR1" s="404"/>
      <c r="GJS1" s="404"/>
      <c r="GJT1" s="404"/>
      <c r="GJU1" s="404"/>
      <c r="GJV1" s="404"/>
      <c r="GJW1" s="404"/>
      <c r="GJX1" s="405"/>
      <c r="GJY1" s="432" t="s">
        <v>41</v>
      </c>
      <c r="GJZ1" s="404"/>
      <c r="GKA1" s="404"/>
      <c r="GKB1" s="404"/>
      <c r="GKC1" s="404"/>
      <c r="GKD1" s="404"/>
      <c r="GKE1" s="404"/>
      <c r="GKF1" s="405"/>
      <c r="GKG1" s="432" t="s">
        <v>41</v>
      </c>
      <c r="GKH1" s="404"/>
      <c r="GKI1" s="404"/>
      <c r="GKJ1" s="404"/>
      <c r="GKK1" s="404"/>
      <c r="GKL1" s="404"/>
      <c r="GKM1" s="404"/>
      <c r="GKN1" s="405"/>
      <c r="GKO1" s="432" t="s">
        <v>41</v>
      </c>
      <c r="GKP1" s="404"/>
      <c r="GKQ1" s="404"/>
      <c r="GKR1" s="404"/>
      <c r="GKS1" s="404"/>
      <c r="GKT1" s="404"/>
      <c r="GKU1" s="404"/>
      <c r="GKV1" s="405"/>
      <c r="GKW1" s="432" t="s">
        <v>41</v>
      </c>
      <c r="GKX1" s="404"/>
      <c r="GKY1" s="404"/>
      <c r="GKZ1" s="404"/>
      <c r="GLA1" s="404"/>
      <c r="GLB1" s="404"/>
      <c r="GLC1" s="404"/>
      <c r="GLD1" s="405"/>
      <c r="GLE1" s="432" t="s">
        <v>41</v>
      </c>
      <c r="GLF1" s="404"/>
      <c r="GLG1" s="404"/>
      <c r="GLH1" s="404"/>
      <c r="GLI1" s="404"/>
      <c r="GLJ1" s="404"/>
      <c r="GLK1" s="404"/>
      <c r="GLL1" s="405"/>
      <c r="GLM1" s="432" t="s">
        <v>41</v>
      </c>
      <c r="GLN1" s="404"/>
      <c r="GLO1" s="404"/>
      <c r="GLP1" s="404"/>
      <c r="GLQ1" s="404"/>
      <c r="GLR1" s="404"/>
      <c r="GLS1" s="404"/>
      <c r="GLT1" s="405"/>
      <c r="GLU1" s="432" t="s">
        <v>41</v>
      </c>
      <c r="GLV1" s="404"/>
      <c r="GLW1" s="404"/>
      <c r="GLX1" s="404"/>
      <c r="GLY1" s="404"/>
      <c r="GLZ1" s="404"/>
      <c r="GMA1" s="404"/>
      <c r="GMB1" s="405"/>
      <c r="GMC1" s="432" t="s">
        <v>41</v>
      </c>
      <c r="GMD1" s="404"/>
      <c r="GME1" s="404"/>
      <c r="GMF1" s="404"/>
      <c r="GMG1" s="404"/>
      <c r="GMH1" s="404"/>
      <c r="GMI1" s="404"/>
      <c r="GMJ1" s="405"/>
      <c r="GMK1" s="432" t="s">
        <v>41</v>
      </c>
      <c r="GML1" s="404"/>
      <c r="GMM1" s="404"/>
      <c r="GMN1" s="404"/>
      <c r="GMO1" s="404"/>
      <c r="GMP1" s="404"/>
      <c r="GMQ1" s="404"/>
      <c r="GMR1" s="405"/>
      <c r="GMS1" s="432" t="s">
        <v>41</v>
      </c>
      <c r="GMT1" s="404"/>
      <c r="GMU1" s="404"/>
      <c r="GMV1" s="404"/>
      <c r="GMW1" s="404"/>
      <c r="GMX1" s="404"/>
      <c r="GMY1" s="404"/>
      <c r="GMZ1" s="405"/>
      <c r="GNA1" s="432" t="s">
        <v>41</v>
      </c>
      <c r="GNB1" s="404"/>
      <c r="GNC1" s="404"/>
      <c r="GND1" s="404"/>
      <c r="GNE1" s="404"/>
      <c r="GNF1" s="404"/>
      <c r="GNG1" s="404"/>
      <c r="GNH1" s="405"/>
      <c r="GNI1" s="432" t="s">
        <v>41</v>
      </c>
      <c r="GNJ1" s="404"/>
      <c r="GNK1" s="404"/>
      <c r="GNL1" s="404"/>
      <c r="GNM1" s="404"/>
      <c r="GNN1" s="404"/>
      <c r="GNO1" s="404"/>
      <c r="GNP1" s="405"/>
      <c r="GNQ1" s="432" t="s">
        <v>41</v>
      </c>
      <c r="GNR1" s="404"/>
      <c r="GNS1" s="404"/>
      <c r="GNT1" s="404"/>
      <c r="GNU1" s="404"/>
      <c r="GNV1" s="404"/>
      <c r="GNW1" s="404"/>
      <c r="GNX1" s="405"/>
      <c r="GNY1" s="432" t="s">
        <v>41</v>
      </c>
      <c r="GNZ1" s="404"/>
      <c r="GOA1" s="404"/>
      <c r="GOB1" s="404"/>
      <c r="GOC1" s="404"/>
      <c r="GOD1" s="404"/>
      <c r="GOE1" s="404"/>
      <c r="GOF1" s="405"/>
      <c r="GOG1" s="432" t="s">
        <v>41</v>
      </c>
      <c r="GOH1" s="404"/>
      <c r="GOI1" s="404"/>
      <c r="GOJ1" s="404"/>
      <c r="GOK1" s="404"/>
      <c r="GOL1" s="404"/>
      <c r="GOM1" s="404"/>
      <c r="GON1" s="405"/>
      <c r="GOO1" s="432" t="s">
        <v>41</v>
      </c>
      <c r="GOP1" s="404"/>
      <c r="GOQ1" s="404"/>
      <c r="GOR1" s="404"/>
      <c r="GOS1" s="404"/>
      <c r="GOT1" s="404"/>
      <c r="GOU1" s="404"/>
      <c r="GOV1" s="405"/>
      <c r="GOW1" s="432" t="s">
        <v>41</v>
      </c>
      <c r="GOX1" s="404"/>
      <c r="GOY1" s="404"/>
      <c r="GOZ1" s="404"/>
      <c r="GPA1" s="404"/>
      <c r="GPB1" s="404"/>
      <c r="GPC1" s="404"/>
      <c r="GPD1" s="405"/>
      <c r="GPE1" s="432" t="s">
        <v>41</v>
      </c>
      <c r="GPF1" s="404"/>
      <c r="GPG1" s="404"/>
      <c r="GPH1" s="404"/>
      <c r="GPI1" s="404"/>
      <c r="GPJ1" s="404"/>
      <c r="GPK1" s="404"/>
      <c r="GPL1" s="405"/>
      <c r="GPM1" s="432" t="s">
        <v>41</v>
      </c>
      <c r="GPN1" s="404"/>
      <c r="GPO1" s="404"/>
      <c r="GPP1" s="404"/>
      <c r="GPQ1" s="404"/>
      <c r="GPR1" s="404"/>
      <c r="GPS1" s="404"/>
      <c r="GPT1" s="405"/>
      <c r="GPU1" s="432" t="s">
        <v>41</v>
      </c>
      <c r="GPV1" s="404"/>
      <c r="GPW1" s="404"/>
      <c r="GPX1" s="404"/>
      <c r="GPY1" s="404"/>
      <c r="GPZ1" s="404"/>
      <c r="GQA1" s="404"/>
      <c r="GQB1" s="405"/>
      <c r="GQC1" s="432" t="s">
        <v>41</v>
      </c>
      <c r="GQD1" s="404"/>
      <c r="GQE1" s="404"/>
      <c r="GQF1" s="404"/>
      <c r="GQG1" s="404"/>
      <c r="GQH1" s="404"/>
      <c r="GQI1" s="404"/>
      <c r="GQJ1" s="405"/>
      <c r="GQK1" s="432" t="s">
        <v>41</v>
      </c>
      <c r="GQL1" s="404"/>
      <c r="GQM1" s="404"/>
      <c r="GQN1" s="404"/>
      <c r="GQO1" s="404"/>
      <c r="GQP1" s="404"/>
      <c r="GQQ1" s="404"/>
      <c r="GQR1" s="405"/>
      <c r="GQS1" s="432" t="s">
        <v>41</v>
      </c>
      <c r="GQT1" s="404"/>
      <c r="GQU1" s="404"/>
      <c r="GQV1" s="404"/>
      <c r="GQW1" s="404"/>
      <c r="GQX1" s="404"/>
      <c r="GQY1" s="404"/>
      <c r="GQZ1" s="405"/>
      <c r="GRA1" s="432" t="s">
        <v>41</v>
      </c>
      <c r="GRB1" s="404"/>
      <c r="GRC1" s="404"/>
      <c r="GRD1" s="404"/>
      <c r="GRE1" s="404"/>
      <c r="GRF1" s="404"/>
      <c r="GRG1" s="404"/>
      <c r="GRH1" s="405"/>
      <c r="GRI1" s="432" t="s">
        <v>41</v>
      </c>
      <c r="GRJ1" s="404"/>
      <c r="GRK1" s="404"/>
      <c r="GRL1" s="404"/>
      <c r="GRM1" s="404"/>
      <c r="GRN1" s="404"/>
      <c r="GRO1" s="404"/>
      <c r="GRP1" s="405"/>
      <c r="GRQ1" s="432" t="s">
        <v>41</v>
      </c>
      <c r="GRR1" s="404"/>
      <c r="GRS1" s="404"/>
      <c r="GRT1" s="404"/>
      <c r="GRU1" s="404"/>
      <c r="GRV1" s="404"/>
      <c r="GRW1" s="404"/>
      <c r="GRX1" s="405"/>
      <c r="GRY1" s="432" t="s">
        <v>41</v>
      </c>
      <c r="GRZ1" s="404"/>
      <c r="GSA1" s="404"/>
      <c r="GSB1" s="404"/>
      <c r="GSC1" s="404"/>
      <c r="GSD1" s="404"/>
      <c r="GSE1" s="404"/>
      <c r="GSF1" s="405"/>
      <c r="GSG1" s="432" t="s">
        <v>41</v>
      </c>
      <c r="GSH1" s="404"/>
      <c r="GSI1" s="404"/>
      <c r="GSJ1" s="404"/>
      <c r="GSK1" s="404"/>
      <c r="GSL1" s="404"/>
      <c r="GSM1" s="404"/>
      <c r="GSN1" s="405"/>
      <c r="GSO1" s="432" t="s">
        <v>41</v>
      </c>
      <c r="GSP1" s="404"/>
      <c r="GSQ1" s="404"/>
      <c r="GSR1" s="404"/>
      <c r="GSS1" s="404"/>
      <c r="GST1" s="404"/>
      <c r="GSU1" s="404"/>
      <c r="GSV1" s="405"/>
      <c r="GSW1" s="432" t="s">
        <v>41</v>
      </c>
      <c r="GSX1" s="404"/>
      <c r="GSY1" s="404"/>
      <c r="GSZ1" s="404"/>
      <c r="GTA1" s="404"/>
      <c r="GTB1" s="404"/>
      <c r="GTC1" s="404"/>
      <c r="GTD1" s="405"/>
      <c r="GTE1" s="432" t="s">
        <v>41</v>
      </c>
      <c r="GTF1" s="404"/>
      <c r="GTG1" s="404"/>
      <c r="GTH1" s="404"/>
      <c r="GTI1" s="404"/>
      <c r="GTJ1" s="404"/>
      <c r="GTK1" s="404"/>
      <c r="GTL1" s="405"/>
      <c r="GTM1" s="432" t="s">
        <v>41</v>
      </c>
      <c r="GTN1" s="404"/>
      <c r="GTO1" s="404"/>
      <c r="GTP1" s="404"/>
      <c r="GTQ1" s="404"/>
      <c r="GTR1" s="404"/>
      <c r="GTS1" s="404"/>
      <c r="GTT1" s="405"/>
      <c r="GTU1" s="432" t="s">
        <v>41</v>
      </c>
      <c r="GTV1" s="404"/>
      <c r="GTW1" s="404"/>
      <c r="GTX1" s="404"/>
      <c r="GTY1" s="404"/>
      <c r="GTZ1" s="404"/>
      <c r="GUA1" s="404"/>
      <c r="GUB1" s="405"/>
      <c r="GUC1" s="432" t="s">
        <v>41</v>
      </c>
      <c r="GUD1" s="404"/>
      <c r="GUE1" s="404"/>
      <c r="GUF1" s="404"/>
      <c r="GUG1" s="404"/>
      <c r="GUH1" s="404"/>
      <c r="GUI1" s="404"/>
      <c r="GUJ1" s="405"/>
      <c r="GUK1" s="432" t="s">
        <v>41</v>
      </c>
      <c r="GUL1" s="404"/>
      <c r="GUM1" s="404"/>
      <c r="GUN1" s="404"/>
      <c r="GUO1" s="404"/>
      <c r="GUP1" s="404"/>
      <c r="GUQ1" s="404"/>
      <c r="GUR1" s="405"/>
      <c r="GUS1" s="432" t="s">
        <v>41</v>
      </c>
      <c r="GUT1" s="404"/>
      <c r="GUU1" s="404"/>
      <c r="GUV1" s="404"/>
      <c r="GUW1" s="404"/>
      <c r="GUX1" s="404"/>
      <c r="GUY1" s="404"/>
      <c r="GUZ1" s="405"/>
      <c r="GVA1" s="432" t="s">
        <v>41</v>
      </c>
      <c r="GVB1" s="404"/>
      <c r="GVC1" s="404"/>
      <c r="GVD1" s="404"/>
      <c r="GVE1" s="404"/>
      <c r="GVF1" s="404"/>
      <c r="GVG1" s="404"/>
      <c r="GVH1" s="405"/>
      <c r="GVI1" s="432" t="s">
        <v>41</v>
      </c>
      <c r="GVJ1" s="404"/>
      <c r="GVK1" s="404"/>
      <c r="GVL1" s="404"/>
      <c r="GVM1" s="404"/>
      <c r="GVN1" s="404"/>
      <c r="GVO1" s="404"/>
      <c r="GVP1" s="405"/>
      <c r="GVQ1" s="432" t="s">
        <v>41</v>
      </c>
      <c r="GVR1" s="404"/>
      <c r="GVS1" s="404"/>
      <c r="GVT1" s="404"/>
      <c r="GVU1" s="404"/>
      <c r="GVV1" s="404"/>
      <c r="GVW1" s="404"/>
      <c r="GVX1" s="405"/>
      <c r="GVY1" s="432" t="s">
        <v>41</v>
      </c>
      <c r="GVZ1" s="404"/>
      <c r="GWA1" s="404"/>
      <c r="GWB1" s="404"/>
      <c r="GWC1" s="404"/>
      <c r="GWD1" s="404"/>
      <c r="GWE1" s="404"/>
      <c r="GWF1" s="405"/>
      <c r="GWG1" s="432" t="s">
        <v>41</v>
      </c>
      <c r="GWH1" s="404"/>
      <c r="GWI1" s="404"/>
      <c r="GWJ1" s="404"/>
      <c r="GWK1" s="404"/>
      <c r="GWL1" s="404"/>
      <c r="GWM1" s="404"/>
      <c r="GWN1" s="405"/>
      <c r="GWO1" s="432" t="s">
        <v>41</v>
      </c>
      <c r="GWP1" s="404"/>
      <c r="GWQ1" s="404"/>
      <c r="GWR1" s="404"/>
      <c r="GWS1" s="404"/>
      <c r="GWT1" s="404"/>
      <c r="GWU1" s="404"/>
      <c r="GWV1" s="405"/>
      <c r="GWW1" s="432" t="s">
        <v>41</v>
      </c>
      <c r="GWX1" s="404"/>
      <c r="GWY1" s="404"/>
      <c r="GWZ1" s="404"/>
      <c r="GXA1" s="404"/>
      <c r="GXB1" s="404"/>
      <c r="GXC1" s="404"/>
      <c r="GXD1" s="405"/>
      <c r="GXE1" s="432" t="s">
        <v>41</v>
      </c>
      <c r="GXF1" s="404"/>
      <c r="GXG1" s="404"/>
      <c r="GXH1" s="404"/>
      <c r="GXI1" s="404"/>
      <c r="GXJ1" s="404"/>
      <c r="GXK1" s="404"/>
      <c r="GXL1" s="405"/>
      <c r="GXM1" s="432" t="s">
        <v>41</v>
      </c>
      <c r="GXN1" s="404"/>
      <c r="GXO1" s="404"/>
      <c r="GXP1" s="404"/>
      <c r="GXQ1" s="404"/>
      <c r="GXR1" s="404"/>
      <c r="GXS1" s="404"/>
      <c r="GXT1" s="405"/>
      <c r="GXU1" s="432" t="s">
        <v>41</v>
      </c>
      <c r="GXV1" s="404"/>
      <c r="GXW1" s="404"/>
      <c r="GXX1" s="404"/>
      <c r="GXY1" s="404"/>
      <c r="GXZ1" s="404"/>
      <c r="GYA1" s="404"/>
      <c r="GYB1" s="405"/>
      <c r="GYC1" s="432" t="s">
        <v>41</v>
      </c>
      <c r="GYD1" s="404"/>
      <c r="GYE1" s="404"/>
      <c r="GYF1" s="404"/>
      <c r="GYG1" s="404"/>
      <c r="GYH1" s="404"/>
      <c r="GYI1" s="404"/>
      <c r="GYJ1" s="405"/>
      <c r="GYK1" s="432" t="s">
        <v>41</v>
      </c>
      <c r="GYL1" s="404"/>
      <c r="GYM1" s="404"/>
      <c r="GYN1" s="404"/>
      <c r="GYO1" s="404"/>
      <c r="GYP1" s="404"/>
      <c r="GYQ1" s="404"/>
      <c r="GYR1" s="405"/>
      <c r="GYS1" s="432" t="s">
        <v>41</v>
      </c>
      <c r="GYT1" s="404"/>
      <c r="GYU1" s="404"/>
      <c r="GYV1" s="404"/>
      <c r="GYW1" s="404"/>
      <c r="GYX1" s="404"/>
      <c r="GYY1" s="404"/>
      <c r="GYZ1" s="405"/>
      <c r="GZA1" s="432" t="s">
        <v>41</v>
      </c>
      <c r="GZB1" s="404"/>
      <c r="GZC1" s="404"/>
      <c r="GZD1" s="404"/>
      <c r="GZE1" s="404"/>
      <c r="GZF1" s="404"/>
      <c r="GZG1" s="404"/>
      <c r="GZH1" s="405"/>
      <c r="GZI1" s="432" t="s">
        <v>41</v>
      </c>
      <c r="GZJ1" s="404"/>
      <c r="GZK1" s="404"/>
      <c r="GZL1" s="404"/>
      <c r="GZM1" s="404"/>
      <c r="GZN1" s="404"/>
      <c r="GZO1" s="404"/>
      <c r="GZP1" s="405"/>
      <c r="GZQ1" s="432" t="s">
        <v>41</v>
      </c>
      <c r="GZR1" s="404"/>
      <c r="GZS1" s="404"/>
      <c r="GZT1" s="404"/>
      <c r="GZU1" s="404"/>
      <c r="GZV1" s="404"/>
      <c r="GZW1" s="404"/>
      <c r="GZX1" s="405"/>
      <c r="GZY1" s="432" t="s">
        <v>41</v>
      </c>
      <c r="GZZ1" s="404"/>
      <c r="HAA1" s="404"/>
      <c r="HAB1" s="404"/>
      <c r="HAC1" s="404"/>
      <c r="HAD1" s="404"/>
      <c r="HAE1" s="404"/>
      <c r="HAF1" s="405"/>
      <c r="HAG1" s="432" t="s">
        <v>41</v>
      </c>
      <c r="HAH1" s="404"/>
      <c r="HAI1" s="404"/>
      <c r="HAJ1" s="404"/>
      <c r="HAK1" s="404"/>
      <c r="HAL1" s="404"/>
      <c r="HAM1" s="404"/>
      <c r="HAN1" s="405"/>
      <c r="HAO1" s="432" t="s">
        <v>41</v>
      </c>
      <c r="HAP1" s="404"/>
      <c r="HAQ1" s="404"/>
      <c r="HAR1" s="404"/>
      <c r="HAS1" s="404"/>
      <c r="HAT1" s="404"/>
      <c r="HAU1" s="404"/>
      <c r="HAV1" s="405"/>
      <c r="HAW1" s="432" t="s">
        <v>41</v>
      </c>
      <c r="HAX1" s="404"/>
      <c r="HAY1" s="404"/>
      <c r="HAZ1" s="404"/>
      <c r="HBA1" s="404"/>
      <c r="HBB1" s="404"/>
      <c r="HBC1" s="404"/>
      <c r="HBD1" s="405"/>
      <c r="HBE1" s="432" t="s">
        <v>41</v>
      </c>
      <c r="HBF1" s="404"/>
      <c r="HBG1" s="404"/>
      <c r="HBH1" s="404"/>
      <c r="HBI1" s="404"/>
      <c r="HBJ1" s="404"/>
      <c r="HBK1" s="404"/>
      <c r="HBL1" s="405"/>
      <c r="HBM1" s="432" t="s">
        <v>41</v>
      </c>
      <c r="HBN1" s="404"/>
      <c r="HBO1" s="404"/>
      <c r="HBP1" s="404"/>
      <c r="HBQ1" s="404"/>
      <c r="HBR1" s="404"/>
      <c r="HBS1" s="404"/>
      <c r="HBT1" s="405"/>
      <c r="HBU1" s="432" t="s">
        <v>41</v>
      </c>
      <c r="HBV1" s="404"/>
      <c r="HBW1" s="404"/>
      <c r="HBX1" s="404"/>
      <c r="HBY1" s="404"/>
      <c r="HBZ1" s="404"/>
      <c r="HCA1" s="404"/>
      <c r="HCB1" s="405"/>
      <c r="HCC1" s="432" t="s">
        <v>41</v>
      </c>
      <c r="HCD1" s="404"/>
      <c r="HCE1" s="404"/>
      <c r="HCF1" s="404"/>
      <c r="HCG1" s="404"/>
      <c r="HCH1" s="404"/>
      <c r="HCI1" s="404"/>
      <c r="HCJ1" s="405"/>
      <c r="HCK1" s="432" t="s">
        <v>41</v>
      </c>
      <c r="HCL1" s="404"/>
      <c r="HCM1" s="404"/>
      <c r="HCN1" s="404"/>
      <c r="HCO1" s="404"/>
      <c r="HCP1" s="404"/>
      <c r="HCQ1" s="404"/>
      <c r="HCR1" s="405"/>
      <c r="HCS1" s="432" t="s">
        <v>41</v>
      </c>
      <c r="HCT1" s="404"/>
      <c r="HCU1" s="404"/>
      <c r="HCV1" s="404"/>
      <c r="HCW1" s="404"/>
      <c r="HCX1" s="404"/>
      <c r="HCY1" s="404"/>
      <c r="HCZ1" s="405"/>
      <c r="HDA1" s="432" t="s">
        <v>41</v>
      </c>
      <c r="HDB1" s="404"/>
      <c r="HDC1" s="404"/>
      <c r="HDD1" s="404"/>
      <c r="HDE1" s="404"/>
      <c r="HDF1" s="404"/>
      <c r="HDG1" s="404"/>
      <c r="HDH1" s="405"/>
      <c r="HDI1" s="432" t="s">
        <v>41</v>
      </c>
      <c r="HDJ1" s="404"/>
      <c r="HDK1" s="404"/>
      <c r="HDL1" s="404"/>
      <c r="HDM1" s="404"/>
      <c r="HDN1" s="404"/>
      <c r="HDO1" s="404"/>
      <c r="HDP1" s="405"/>
      <c r="HDQ1" s="432" t="s">
        <v>41</v>
      </c>
      <c r="HDR1" s="404"/>
      <c r="HDS1" s="404"/>
      <c r="HDT1" s="404"/>
      <c r="HDU1" s="404"/>
      <c r="HDV1" s="404"/>
      <c r="HDW1" s="404"/>
      <c r="HDX1" s="405"/>
      <c r="HDY1" s="432" t="s">
        <v>41</v>
      </c>
      <c r="HDZ1" s="404"/>
      <c r="HEA1" s="404"/>
      <c r="HEB1" s="404"/>
      <c r="HEC1" s="404"/>
      <c r="HED1" s="404"/>
      <c r="HEE1" s="404"/>
      <c r="HEF1" s="405"/>
      <c r="HEG1" s="432" t="s">
        <v>41</v>
      </c>
      <c r="HEH1" s="404"/>
      <c r="HEI1" s="404"/>
      <c r="HEJ1" s="404"/>
      <c r="HEK1" s="404"/>
      <c r="HEL1" s="404"/>
      <c r="HEM1" s="404"/>
      <c r="HEN1" s="405"/>
      <c r="HEO1" s="432" t="s">
        <v>41</v>
      </c>
      <c r="HEP1" s="404"/>
      <c r="HEQ1" s="404"/>
      <c r="HER1" s="404"/>
      <c r="HES1" s="404"/>
      <c r="HET1" s="404"/>
      <c r="HEU1" s="404"/>
      <c r="HEV1" s="405"/>
      <c r="HEW1" s="432" t="s">
        <v>41</v>
      </c>
      <c r="HEX1" s="404"/>
      <c r="HEY1" s="404"/>
      <c r="HEZ1" s="404"/>
      <c r="HFA1" s="404"/>
      <c r="HFB1" s="404"/>
      <c r="HFC1" s="404"/>
      <c r="HFD1" s="405"/>
      <c r="HFE1" s="432" t="s">
        <v>41</v>
      </c>
      <c r="HFF1" s="404"/>
      <c r="HFG1" s="404"/>
      <c r="HFH1" s="404"/>
      <c r="HFI1" s="404"/>
      <c r="HFJ1" s="404"/>
      <c r="HFK1" s="404"/>
      <c r="HFL1" s="405"/>
      <c r="HFM1" s="432" t="s">
        <v>41</v>
      </c>
      <c r="HFN1" s="404"/>
      <c r="HFO1" s="404"/>
      <c r="HFP1" s="404"/>
      <c r="HFQ1" s="404"/>
      <c r="HFR1" s="404"/>
      <c r="HFS1" s="404"/>
      <c r="HFT1" s="405"/>
      <c r="HFU1" s="432" t="s">
        <v>41</v>
      </c>
      <c r="HFV1" s="404"/>
      <c r="HFW1" s="404"/>
      <c r="HFX1" s="404"/>
      <c r="HFY1" s="404"/>
      <c r="HFZ1" s="404"/>
      <c r="HGA1" s="404"/>
      <c r="HGB1" s="405"/>
      <c r="HGC1" s="432" t="s">
        <v>41</v>
      </c>
      <c r="HGD1" s="404"/>
      <c r="HGE1" s="404"/>
      <c r="HGF1" s="404"/>
      <c r="HGG1" s="404"/>
      <c r="HGH1" s="404"/>
      <c r="HGI1" s="404"/>
      <c r="HGJ1" s="405"/>
      <c r="HGK1" s="432" t="s">
        <v>41</v>
      </c>
      <c r="HGL1" s="404"/>
      <c r="HGM1" s="404"/>
      <c r="HGN1" s="404"/>
      <c r="HGO1" s="404"/>
      <c r="HGP1" s="404"/>
      <c r="HGQ1" s="404"/>
      <c r="HGR1" s="405"/>
      <c r="HGS1" s="432" t="s">
        <v>41</v>
      </c>
      <c r="HGT1" s="404"/>
      <c r="HGU1" s="404"/>
      <c r="HGV1" s="404"/>
      <c r="HGW1" s="404"/>
      <c r="HGX1" s="404"/>
      <c r="HGY1" s="404"/>
      <c r="HGZ1" s="405"/>
      <c r="HHA1" s="432" t="s">
        <v>41</v>
      </c>
      <c r="HHB1" s="404"/>
      <c r="HHC1" s="404"/>
      <c r="HHD1" s="404"/>
      <c r="HHE1" s="404"/>
      <c r="HHF1" s="404"/>
      <c r="HHG1" s="404"/>
      <c r="HHH1" s="405"/>
      <c r="HHI1" s="432" t="s">
        <v>41</v>
      </c>
      <c r="HHJ1" s="404"/>
      <c r="HHK1" s="404"/>
      <c r="HHL1" s="404"/>
      <c r="HHM1" s="404"/>
      <c r="HHN1" s="404"/>
      <c r="HHO1" s="404"/>
      <c r="HHP1" s="405"/>
      <c r="HHQ1" s="432" t="s">
        <v>41</v>
      </c>
      <c r="HHR1" s="404"/>
      <c r="HHS1" s="404"/>
      <c r="HHT1" s="404"/>
      <c r="HHU1" s="404"/>
      <c r="HHV1" s="404"/>
      <c r="HHW1" s="404"/>
      <c r="HHX1" s="405"/>
      <c r="HHY1" s="432" t="s">
        <v>41</v>
      </c>
      <c r="HHZ1" s="404"/>
      <c r="HIA1" s="404"/>
      <c r="HIB1" s="404"/>
      <c r="HIC1" s="404"/>
      <c r="HID1" s="404"/>
      <c r="HIE1" s="404"/>
      <c r="HIF1" s="405"/>
      <c r="HIG1" s="432" t="s">
        <v>41</v>
      </c>
      <c r="HIH1" s="404"/>
      <c r="HII1" s="404"/>
      <c r="HIJ1" s="404"/>
      <c r="HIK1" s="404"/>
      <c r="HIL1" s="404"/>
      <c r="HIM1" s="404"/>
      <c r="HIN1" s="405"/>
      <c r="HIO1" s="432" t="s">
        <v>41</v>
      </c>
      <c r="HIP1" s="404"/>
      <c r="HIQ1" s="404"/>
      <c r="HIR1" s="404"/>
      <c r="HIS1" s="404"/>
      <c r="HIT1" s="404"/>
      <c r="HIU1" s="404"/>
      <c r="HIV1" s="405"/>
      <c r="HIW1" s="432" t="s">
        <v>41</v>
      </c>
      <c r="HIX1" s="404"/>
      <c r="HIY1" s="404"/>
      <c r="HIZ1" s="404"/>
      <c r="HJA1" s="404"/>
      <c r="HJB1" s="404"/>
      <c r="HJC1" s="404"/>
      <c r="HJD1" s="405"/>
      <c r="HJE1" s="432" t="s">
        <v>41</v>
      </c>
      <c r="HJF1" s="404"/>
      <c r="HJG1" s="404"/>
      <c r="HJH1" s="404"/>
      <c r="HJI1" s="404"/>
      <c r="HJJ1" s="404"/>
      <c r="HJK1" s="404"/>
      <c r="HJL1" s="405"/>
      <c r="HJM1" s="432" t="s">
        <v>41</v>
      </c>
      <c r="HJN1" s="404"/>
      <c r="HJO1" s="404"/>
      <c r="HJP1" s="404"/>
      <c r="HJQ1" s="404"/>
      <c r="HJR1" s="404"/>
      <c r="HJS1" s="404"/>
      <c r="HJT1" s="405"/>
      <c r="HJU1" s="432" t="s">
        <v>41</v>
      </c>
      <c r="HJV1" s="404"/>
      <c r="HJW1" s="404"/>
      <c r="HJX1" s="404"/>
      <c r="HJY1" s="404"/>
      <c r="HJZ1" s="404"/>
      <c r="HKA1" s="404"/>
      <c r="HKB1" s="405"/>
      <c r="HKC1" s="432" t="s">
        <v>41</v>
      </c>
      <c r="HKD1" s="404"/>
      <c r="HKE1" s="404"/>
      <c r="HKF1" s="404"/>
      <c r="HKG1" s="404"/>
      <c r="HKH1" s="404"/>
      <c r="HKI1" s="404"/>
      <c r="HKJ1" s="405"/>
      <c r="HKK1" s="432" t="s">
        <v>41</v>
      </c>
      <c r="HKL1" s="404"/>
      <c r="HKM1" s="404"/>
      <c r="HKN1" s="404"/>
      <c r="HKO1" s="404"/>
      <c r="HKP1" s="404"/>
      <c r="HKQ1" s="404"/>
      <c r="HKR1" s="405"/>
      <c r="HKS1" s="432" t="s">
        <v>41</v>
      </c>
      <c r="HKT1" s="404"/>
      <c r="HKU1" s="404"/>
      <c r="HKV1" s="404"/>
      <c r="HKW1" s="404"/>
      <c r="HKX1" s="404"/>
      <c r="HKY1" s="404"/>
      <c r="HKZ1" s="405"/>
      <c r="HLA1" s="432" t="s">
        <v>41</v>
      </c>
      <c r="HLB1" s="404"/>
      <c r="HLC1" s="404"/>
      <c r="HLD1" s="404"/>
      <c r="HLE1" s="404"/>
      <c r="HLF1" s="404"/>
      <c r="HLG1" s="404"/>
      <c r="HLH1" s="405"/>
      <c r="HLI1" s="432" t="s">
        <v>41</v>
      </c>
      <c r="HLJ1" s="404"/>
      <c r="HLK1" s="404"/>
      <c r="HLL1" s="404"/>
      <c r="HLM1" s="404"/>
      <c r="HLN1" s="404"/>
      <c r="HLO1" s="404"/>
      <c r="HLP1" s="405"/>
      <c r="HLQ1" s="432" t="s">
        <v>41</v>
      </c>
      <c r="HLR1" s="404"/>
      <c r="HLS1" s="404"/>
      <c r="HLT1" s="404"/>
      <c r="HLU1" s="404"/>
      <c r="HLV1" s="404"/>
      <c r="HLW1" s="404"/>
      <c r="HLX1" s="405"/>
      <c r="HLY1" s="432" t="s">
        <v>41</v>
      </c>
      <c r="HLZ1" s="404"/>
      <c r="HMA1" s="404"/>
      <c r="HMB1" s="404"/>
      <c r="HMC1" s="404"/>
      <c r="HMD1" s="404"/>
      <c r="HME1" s="404"/>
      <c r="HMF1" s="405"/>
      <c r="HMG1" s="432" t="s">
        <v>41</v>
      </c>
      <c r="HMH1" s="404"/>
      <c r="HMI1" s="404"/>
      <c r="HMJ1" s="404"/>
      <c r="HMK1" s="404"/>
      <c r="HML1" s="404"/>
      <c r="HMM1" s="404"/>
      <c r="HMN1" s="405"/>
      <c r="HMO1" s="432" t="s">
        <v>41</v>
      </c>
      <c r="HMP1" s="404"/>
      <c r="HMQ1" s="404"/>
      <c r="HMR1" s="404"/>
      <c r="HMS1" s="404"/>
      <c r="HMT1" s="404"/>
      <c r="HMU1" s="404"/>
      <c r="HMV1" s="405"/>
      <c r="HMW1" s="432" t="s">
        <v>41</v>
      </c>
      <c r="HMX1" s="404"/>
      <c r="HMY1" s="404"/>
      <c r="HMZ1" s="404"/>
      <c r="HNA1" s="404"/>
      <c r="HNB1" s="404"/>
      <c r="HNC1" s="404"/>
      <c r="HND1" s="405"/>
      <c r="HNE1" s="432" t="s">
        <v>41</v>
      </c>
      <c r="HNF1" s="404"/>
      <c r="HNG1" s="404"/>
      <c r="HNH1" s="404"/>
      <c r="HNI1" s="404"/>
      <c r="HNJ1" s="404"/>
      <c r="HNK1" s="404"/>
      <c r="HNL1" s="405"/>
      <c r="HNM1" s="432" t="s">
        <v>41</v>
      </c>
      <c r="HNN1" s="404"/>
      <c r="HNO1" s="404"/>
      <c r="HNP1" s="404"/>
      <c r="HNQ1" s="404"/>
      <c r="HNR1" s="404"/>
      <c r="HNS1" s="404"/>
      <c r="HNT1" s="405"/>
      <c r="HNU1" s="432" t="s">
        <v>41</v>
      </c>
      <c r="HNV1" s="404"/>
      <c r="HNW1" s="404"/>
      <c r="HNX1" s="404"/>
      <c r="HNY1" s="404"/>
      <c r="HNZ1" s="404"/>
      <c r="HOA1" s="404"/>
      <c r="HOB1" s="405"/>
      <c r="HOC1" s="432" t="s">
        <v>41</v>
      </c>
      <c r="HOD1" s="404"/>
      <c r="HOE1" s="404"/>
      <c r="HOF1" s="404"/>
      <c r="HOG1" s="404"/>
      <c r="HOH1" s="404"/>
      <c r="HOI1" s="404"/>
      <c r="HOJ1" s="405"/>
      <c r="HOK1" s="432" t="s">
        <v>41</v>
      </c>
      <c r="HOL1" s="404"/>
      <c r="HOM1" s="404"/>
      <c r="HON1" s="404"/>
      <c r="HOO1" s="404"/>
      <c r="HOP1" s="404"/>
      <c r="HOQ1" s="404"/>
      <c r="HOR1" s="405"/>
      <c r="HOS1" s="432" t="s">
        <v>41</v>
      </c>
      <c r="HOT1" s="404"/>
      <c r="HOU1" s="404"/>
      <c r="HOV1" s="404"/>
      <c r="HOW1" s="404"/>
      <c r="HOX1" s="404"/>
      <c r="HOY1" s="404"/>
      <c r="HOZ1" s="405"/>
      <c r="HPA1" s="432" t="s">
        <v>41</v>
      </c>
      <c r="HPB1" s="404"/>
      <c r="HPC1" s="404"/>
      <c r="HPD1" s="404"/>
      <c r="HPE1" s="404"/>
      <c r="HPF1" s="404"/>
      <c r="HPG1" s="404"/>
      <c r="HPH1" s="405"/>
      <c r="HPI1" s="432" t="s">
        <v>41</v>
      </c>
      <c r="HPJ1" s="404"/>
      <c r="HPK1" s="404"/>
      <c r="HPL1" s="404"/>
      <c r="HPM1" s="404"/>
      <c r="HPN1" s="404"/>
      <c r="HPO1" s="404"/>
      <c r="HPP1" s="405"/>
      <c r="HPQ1" s="432" t="s">
        <v>41</v>
      </c>
      <c r="HPR1" s="404"/>
      <c r="HPS1" s="404"/>
      <c r="HPT1" s="404"/>
      <c r="HPU1" s="404"/>
      <c r="HPV1" s="404"/>
      <c r="HPW1" s="404"/>
      <c r="HPX1" s="405"/>
      <c r="HPY1" s="432" t="s">
        <v>41</v>
      </c>
      <c r="HPZ1" s="404"/>
      <c r="HQA1" s="404"/>
      <c r="HQB1" s="404"/>
      <c r="HQC1" s="404"/>
      <c r="HQD1" s="404"/>
      <c r="HQE1" s="404"/>
      <c r="HQF1" s="405"/>
      <c r="HQG1" s="432" t="s">
        <v>41</v>
      </c>
      <c r="HQH1" s="404"/>
      <c r="HQI1" s="404"/>
      <c r="HQJ1" s="404"/>
      <c r="HQK1" s="404"/>
      <c r="HQL1" s="404"/>
      <c r="HQM1" s="404"/>
      <c r="HQN1" s="405"/>
      <c r="HQO1" s="432" t="s">
        <v>41</v>
      </c>
      <c r="HQP1" s="404"/>
      <c r="HQQ1" s="404"/>
      <c r="HQR1" s="404"/>
      <c r="HQS1" s="404"/>
      <c r="HQT1" s="404"/>
      <c r="HQU1" s="404"/>
      <c r="HQV1" s="405"/>
      <c r="HQW1" s="432" t="s">
        <v>41</v>
      </c>
      <c r="HQX1" s="404"/>
      <c r="HQY1" s="404"/>
      <c r="HQZ1" s="404"/>
      <c r="HRA1" s="404"/>
      <c r="HRB1" s="404"/>
      <c r="HRC1" s="404"/>
      <c r="HRD1" s="405"/>
      <c r="HRE1" s="432" t="s">
        <v>41</v>
      </c>
      <c r="HRF1" s="404"/>
      <c r="HRG1" s="404"/>
      <c r="HRH1" s="404"/>
      <c r="HRI1" s="404"/>
      <c r="HRJ1" s="404"/>
      <c r="HRK1" s="404"/>
      <c r="HRL1" s="405"/>
      <c r="HRM1" s="432" t="s">
        <v>41</v>
      </c>
      <c r="HRN1" s="404"/>
      <c r="HRO1" s="404"/>
      <c r="HRP1" s="404"/>
      <c r="HRQ1" s="404"/>
      <c r="HRR1" s="404"/>
      <c r="HRS1" s="404"/>
      <c r="HRT1" s="405"/>
      <c r="HRU1" s="432" t="s">
        <v>41</v>
      </c>
      <c r="HRV1" s="404"/>
      <c r="HRW1" s="404"/>
      <c r="HRX1" s="404"/>
      <c r="HRY1" s="404"/>
      <c r="HRZ1" s="404"/>
      <c r="HSA1" s="404"/>
      <c r="HSB1" s="405"/>
      <c r="HSC1" s="432" t="s">
        <v>41</v>
      </c>
      <c r="HSD1" s="404"/>
      <c r="HSE1" s="404"/>
      <c r="HSF1" s="404"/>
      <c r="HSG1" s="404"/>
      <c r="HSH1" s="404"/>
      <c r="HSI1" s="404"/>
      <c r="HSJ1" s="405"/>
      <c r="HSK1" s="432" t="s">
        <v>41</v>
      </c>
      <c r="HSL1" s="404"/>
      <c r="HSM1" s="404"/>
      <c r="HSN1" s="404"/>
      <c r="HSO1" s="404"/>
      <c r="HSP1" s="404"/>
      <c r="HSQ1" s="404"/>
      <c r="HSR1" s="405"/>
      <c r="HSS1" s="432" t="s">
        <v>41</v>
      </c>
      <c r="HST1" s="404"/>
      <c r="HSU1" s="404"/>
      <c r="HSV1" s="404"/>
      <c r="HSW1" s="404"/>
      <c r="HSX1" s="404"/>
      <c r="HSY1" s="404"/>
      <c r="HSZ1" s="405"/>
      <c r="HTA1" s="432" t="s">
        <v>41</v>
      </c>
      <c r="HTB1" s="404"/>
      <c r="HTC1" s="404"/>
      <c r="HTD1" s="404"/>
      <c r="HTE1" s="404"/>
      <c r="HTF1" s="404"/>
      <c r="HTG1" s="404"/>
      <c r="HTH1" s="405"/>
      <c r="HTI1" s="432" t="s">
        <v>41</v>
      </c>
      <c r="HTJ1" s="404"/>
      <c r="HTK1" s="404"/>
      <c r="HTL1" s="404"/>
      <c r="HTM1" s="404"/>
      <c r="HTN1" s="404"/>
      <c r="HTO1" s="404"/>
      <c r="HTP1" s="405"/>
      <c r="HTQ1" s="432" t="s">
        <v>41</v>
      </c>
      <c r="HTR1" s="404"/>
      <c r="HTS1" s="404"/>
      <c r="HTT1" s="404"/>
      <c r="HTU1" s="404"/>
      <c r="HTV1" s="404"/>
      <c r="HTW1" s="404"/>
      <c r="HTX1" s="405"/>
      <c r="HTY1" s="432" t="s">
        <v>41</v>
      </c>
      <c r="HTZ1" s="404"/>
      <c r="HUA1" s="404"/>
      <c r="HUB1" s="404"/>
      <c r="HUC1" s="404"/>
      <c r="HUD1" s="404"/>
      <c r="HUE1" s="404"/>
      <c r="HUF1" s="405"/>
      <c r="HUG1" s="432" t="s">
        <v>41</v>
      </c>
      <c r="HUH1" s="404"/>
      <c r="HUI1" s="404"/>
      <c r="HUJ1" s="404"/>
      <c r="HUK1" s="404"/>
      <c r="HUL1" s="404"/>
      <c r="HUM1" s="404"/>
      <c r="HUN1" s="405"/>
      <c r="HUO1" s="432" t="s">
        <v>41</v>
      </c>
      <c r="HUP1" s="404"/>
      <c r="HUQ1" s="404"/>
      <c r="HUR1" s="404"/>
      <c r="HUS1" s="404"/>
      <c r="HUT1" s="404"/>
      <c r="HUU1" s="404"/>
      <c r="HUV1" s="405"/>
      <c r="HUW1" s="432" t="s">
        <v>41</v>
      </c>
      <c r="HUX1" s="404"/>
      <c r="HUY1" s="404"/>
      <c r="HUZ1" s="404"/>
      <c r="HVA1" s="404"/>
      <c r="HVB1" s="404"/>
      <c r="HVC1" s="404"/>
      <c r="HVD1" s="405"/>
      <c r="HVE1" s="432" t="s">
        <v>41</v>
      </c>
      <c r="HVF1" s="404"/>
      <c r="HVG1" s="404"/>
      <c r="HVH1" s="404"/>
      <c r="HVI1" s="404"/>
      <c r="HVJ1" s="404"/>
      <c r="HVK1" s="404"/>
      <c r="HVL1" s="405"/>
      <c r="HVM1" s="432" t="s">
        <v>41</v>
      </c>
      <c r="HVN1" s="404"/>
      <c r="HVO1" s="404"/>
      <c r="HVP1" s="404"/>
      <c r="HVQ1" s="404"/>
      <c r="HVR1" s="404"/>
      <c r="HVS1" s="404"/>
      <c r="HVT1" s="405"/>
      <c r="HVU1" s="432" t="s">
        <v>41</v>
      </c>
      <c r="HVV1" s="404"/>
      <c r="HVW1" s="404"/>
      <c r="HVX1" s="404"/>
      <c r="HVY1" s="404"/>
      <c r="HVZ1" s="404"/>
      <c r="HWA1" s="404"/>
      <c r="HWB1" s="405"/>
      <c r="HWC1" s="432" t="s">
        <v>41</v>
      </c>
      <c r="HWD1" s="404"/>
      <c r="HWE1" s="404"/>
      <c r="HWF1" s="404"/>
      <c r="HWG1" s="404"/>
      <c r="HWH1" s="404"/>
      <c r="HWI1" s="404"/>
      <c r="HWJ1" s="405"/>
      <c r="HWK1" s="432" t="s">
        <v>41</v>
      </c>
      <c r="HWL1" s="404"/>
      <c r="HWM1" s="404"/>
      <c r="HWN1" s="404"/>
      <c r="HWO1" s="404"/>
      <c r="HWP1" s="404"/>
      <c r="HWQ1" s="404"/>
      <c r="HWR1" s="405"/>
      <c r="HWS1" s="432" t="s">
        <v>41</v>
      </c>
      <c r="HWT1" s="404"/>
      <c r="HWU1" s="404"/>
      <c r="HWV1" s="404"/>
      <c r="HWW1" s="404"/>
      <c r="HWX1" s="404"/>
      <c r="HWY1" s="404"/>
      <c r="HWZ1" s="405"/>
      <c r="HXA1" s="432" t="s">
        <v>41</v>
      </c>
      <c r="HXB1" s="404"/>
      <c r="HXC1" s="404"/>
      <c r="HXD1" s="404"/>
      <c r="HXE1" s="404"/>
      <c r="HXF1" s="404"/>
      <c r="HXG1" s="404"/>
      <c r="HXH1" s="405"/>
      <c r="HXI1" s="432" t="s">
        <v>41</v>
      </c>
      <c r="HXJ1" s="404"/>
      <c r="HXK1" s="404"/>
      <c r="HXL1" s="404"/>
      <c r="HXM1" s="404"/>
      <c r="HXN1" s="404"/>
      <c r="HXO1" s="404"/>
      <c r="HXP1" s="405"/>
      <c r="HXQ1" s="432" t="s">
        <v>41</v>
      </c>
      <c r="HXR1" s="404"/>
      <c r="HXS1" s="404"/>
      <c r="HXT1" s="404"/>
      <c r="HXU1" s="404"/>
      <c r="HXV1" s="404"/>
      <c r="HXW1" s="404"/>
      <c r="HXX1" s="405"/>
      <c r="HXY1" s="432" t="s">
        <v>41</v>
      </c>
      <c r="HXZ1" s="404"/>
      <c r="HYA1" s="404"/>
      <c r="HYB1" s="404"/>
      <c r="HYC1" s="404"/>
      <c r="HYD1" s="404"/>
      <c r="HYE1" s="404"/>
      <c r="HYF1" s="405"/>
      <c r="HYG1" s="432" t="s">
        <v>41</v>
      </c>
      <c r="HYH1" s="404"/>
      <c r="HYI1" s="404"/>
      <c r="HYJ1" s="404"/>
      <c r="HYK1" s="404"/>
      <c r="HYL1" s="404"/>
      <c r="HYM1" s="404"/>
      <c r="HYN1" s="405"/>
      <c r="HYO1" s="432" t="s">
        <v>41</v>
      </c>
      <c r="HYP1" s="404"/>
      <c r="HYQ1" s="404"/>
      <c r="HYR1" s="404"/>
      <c r="HYS1" s="404"/>
      <c r="HYT1" s="404"/>
      <c r="HYU1" s="404"/>
      <c r="HYV1" s="405"/>
      <c r="HYW1" s="432" t="s">
        <v>41</v>
      </c>
      <c r="HYX1" s="404"/>
      <c r="HYY1" s="404"/>
      <c r="HYZ1" s="404"/>
      <c r="HZA1" s="404"/>
      <c r="HZB1" s="404"/>
      <c r="HZC1" s="404"/>
      <c r="HZD1" s="405"/>
      <c r="HZE1" s="432" t="s">
        <v>41</v>
      </c>
      <c r="HZF1" s="404"/>
      <c r="HZG1" s="404"/>
      <c r="HZH1" s="404"/>
      <c r="HZI1" s="404"/>
      <c r="HZJ1" s="404"/>
      <c r="HZK1" s="404"/>
      <c r="HZL1" s="405"/>
      <c r="HZM1" s="432" t="s">
        <v>41</v>
      </c>
      <c r="HZN1" s="404"/>
      <c r="HZO1" s="404"/>
      <c r="HZP1" s="404"/>
      <c r="HZQ1" s="404"/>
      <c r="HZR1" s="404"/>
      <c r="HZS1" s="404"/>
      <c r="HZT1" s="405"/>
      <c r="HZU1" s="432" t="s">
        <v>41</v>
      </c>
      <c r="HZV1" s="404"/>
      <c r="HZW1" s="404"/>
      <c r="HZX1" s="404"/>
      <c r="HZY1" s="404"/>
      <c r="HZZ1" s="404"/>
      <c r="IAA1" s="404"/>
      <c r="IAB1" s="405"/>
      <c r="IAC1" s="432" t="s">
        <v>41</v>
      </c>
      <c r="IAD1" s="404"/>
      <c r="IAE1" s="404"/>
      <c r="IAF1" s="404"/>
      <c r="IAG1" s="404"/>
      <c r="IAH1" s="404"/>
      <c r="IAI1" s="404"/>
      <c r="IAJ1" s="405"/>
      <c r="IAK1" s="432" t="s">
        <v>41</v>
      </c>
      <c r="IAL1" s="404"/>
      <c r="IAM1" s="404"/>
      <c r="IAN1" s="404"/>
      <c r="IAO1" s="404"/>
      <c r="IAP1" s="404"/>
      <c r="IAQ1" s="404"/>
      <c r="IAR1" s="405"/>
      <c r="IAS1" s="432" t="s">
        <v>41</v>
      </c>
      <c r="IAT1" s="404"/>
      <c r="IAU1" s="404"/>
      <c r="IAV1" s="404"/>
      <c r="IAW1" s="404"/>
      <c r="IAX1" s="404"/>
      <c r="IAY1" s="404"/>
      <c r="IAZ1" s="405"/>
      <c r="IBA1" s="432" t="s">
        <v>41</v>
      </c>
      <c r="IBB1" s="404"/>
      <c r="IBC1" s="404"/>
      <c r="IBD1" s="404"/>
      <c r="IBE1" s="404"/>
      <c r="IBF1" s="404"/>
      <c r="IBG1" s="404"/>
      <c r="IBH1" s="405"/>
      <c r="IBI1" s="432" t="s">
        <v>41</v>
      </c>
      <c r="IBJ1" s="404"/>
      <c r="IBK1" s="404"/>
      <c r="IBL1" s="404"/>
      <c r="IBM1" s="404"/>
      <c r="IBN1" s="404"/>
      <c r="IBO1" s="404"/>
      <c r="IBP1" s="405"/>
      <c r="IBQ1" s="432" t="s">
        <v>41</v>
      </c>
      <c r="IBR1" s="404"/>
      <c r="IBS1" s="404"/>
      <c r="IBT1" s="404"/>
      <c r="IBU1" s="404"/>
      <c r="IBV1" s="404"/>
      <c r="IBW1" s="404"/>
      <c r="IBX1" s="405"/>
      <c r="IBY1" s="432" t="s">
        <v>41</v>
      </c>
      <c r="IBZ1" s="404"/>
      <c r="ICA1" s="404"/>
      <c r="ICB1" s="404"/>
      <c r="ICC1" s="404"/>
      <c r="ICD1" s="404"/>
      <c r="ICE1" s="404"/>
      <c r="ICF1" s="405"/>
      <c r="ICG1" s="432" t="s">
        <v>41</v>
      </c>
      <c r="ICH1" s="404"/>
      <c r="ICI1" s="404"/>
      <c r="ICJ1" s="404"/>
      <c r="ICK1" s="404"/>
      <c r="ICL1" s="404"/>
      <c r="ICM1" s="404"/>
      <c r="ICN1" s="405"/>
      <c r="ICO1" s="432" t="s">
        <v>41</v>
      </c>
      <c r="ICP1" s="404"/>
      <c r="ICQ1" s="404"/>
      <c r="ICR1" s="404"/>
      <c r="ICS1" s="404"/>
      <c r="ICT1" s="404"/>
      <c r="ICU1" s="404"/>
      <c r="ICV1" s="405"/>
      <c r="ICW1" s="432" t="s">
        <v>41</v>
      </c>
      <c r="ICX1" s="404"/>
      <c r="ICY1" s="404"/>
      <c r="ICZ1" s="404"/>
      <c r="IDA1" s="404"/>
      <c r="IDB1" s="404"/>
      <c r="IDC1" s="404"/>
      <c r="IDD1" s="405"/>
      <c r="IDE1" s="432" t="s">
        <v>41</v>
      </c>
      <c r="IDF1" s="404"/>
      <c r="IDG1" s="404"/>
      <c r="IDH1" s="404"/>
      <c r="IDI1" s="404"/>
      <c r="IDJ1" s="404"/>
      <c r="IDK1" s="404"/>
      <c r="IDL1" s="405"/>
      <c r="IDM1" s="432" t="s">
        <v>41</v>
      </c>
      <c r="IDN1" s="404"/>
      <c r="IDO1" s="404"/>
      <c r="IDP1" s="404"/>
      <c r="IDQ1" s="404"/>
      <c r="IDR1" s="404"/>
      <c r="IDS1" s="404"/>
      <c r="IDT1" s="405"/>
      <c r="IDU1" s="432" t="s">
        <v>41</v>
      </c>
      <c r="IDV1" s="404"/>
      <c r="IDW1" s="404"/>
      <c r="IDX1" s="404"/>
      <c r="IDY1" s="404"/>
      <c r="IDZ1" s="404"/>
      <c r="IEA1" s="404"/>
      <c r="IEB1" s="405"/>
      <c r="IEC1" s="432" t="s">
        <v>41</v>
      </c>
      <c r="IED1" s="404"/>
      <c r="IEE1" s="404"/>
      <c r="IEF1" s="404"/>
      <c r="IEG1" s="404"/>
      <c r="IEH1" s="404"/>
      <c r="IEI1" s="404"/>
      <c r="IEJ1" s="405"/>
      <c r="IEK1" s="432" t="s">
        <v>41</v>
      </c>
      <c r="IEL1" s="404"/>
      <c r="IEM1" s="404"/>
      <c r="IEN1" s="404"/>
      <c r="IEO1" s="404"/>
      <c r="IEP1" s="404"/>
      <c r="IEQ1" s="404"/>
      <c r="IER1" s="405"/>
      <c r="IES1" s="432" t="s">
        <v>41</v>
      </c>
      <c r="IET1" s="404"/>
      <c r="IEU1" s="404"/>
      <c r="IEV1" s="404"/>
      <c r="IEW1" s="404"/>
      <c r="IEX1" s="404"/>
      <c r="IEY1" s="404"/>
      <c r="IEZ1" s="405"/>
      <c r="IFA1" s="432" t="s">
        <v>41</v>
      </c>
      <c r="IFB1" s="404"/>
      <c r="IFC1" s="404"/>
      <c r="IFD1" s="404"/>
      <c r="IFE1" s="404"/>
      <c r="IFF1" s="404"/>
      <c r="IFG1" s="404"/>
      <c r="IFH1" s="405"/>
      <c r="IFI1" s="432" t="s">
        <v>41</v>
      </c>
      <c r="IFJ1" s="404"/>
      <c r="IFK1" s="404"/>
      <c r="IFL1" s="404"/>
      <c r="IFM1" s="404"/>
      <c r="IFN1" s="404"/>
      <c r="IFO1" s="404"/>
      <c r="IFP1" s="405"/>
      <c r="IFQ1" s="432" t="s">
        <v>41</v>
      </c>
      <c r="IFR1" s="404"/>
      <c r="IFS1" s="404"/>
      <c r="IFT1" s="404"/>
      <c r="IFU1" s="404"/>
      <c r="IFV1" s="404"/>
      <c r="IFW1" s="404"/>
      <c r="IFX1" s="405"/>
      <c r="IFY1" s="432" t="s">
        <v>41</v>
      </c>
      <c r="IFZ1" s="404"/>
      <c r="IGA1" s="404"/>
      <c r="IGB1" s="404"/>
      <c r="IGC1" s="404"/>
      <c r="IGD1" s="404"/>
      <c r="IGE1" s="404"/>
      <c r="IGF1" s="405"/>
      <c r="IGG1" s="432" t="s">
        <v>41</v>
      </c>
      <c r="IGH1" s="404"/>
      <c r="IGI1" s="404"/>
      <c r="IGJ1" s="404"/>
      <c r="IGK1" s="404"/>
      <c r="IGL1" s="404"/>
      <c r="IGM1" s="404"/>
      <c r="IGN1" s="405"/>
      <c r="IGO1" s="432" t="s">
        <v>41</v>
      </c>
      <c r="IGP1" s="404"/>
      <c r="IGQ1" s="404"/>
      <c r="IGR1" s="404"/>
      <c r="IGS1" s="404"/>
      <c r="IGT1" s="404"/>
      <c r="IGU1" s="404"/>
      <c r="IGV1" s="405"/>
      <c r="IGW1" s="432" t="s">
        <v>41</v>
      </c>
      <c r="IGX1" s="404"/>
      <c r="IGY1" s="404"/>
      <c r="IGZ1" s="404"/>
      <c r="IHA1" s="404"/>
      <c r="IHB1" s="404"/>
      <c r="IHC1" s="404"/>
      <c r="IHD1" s="405"/>
      <c r="IHE1" s="432" t="s">
        <v>41</v>
      </c>
      <c r="IHF1" s="404"/>
      <c r="IHG1" s="404"/>
      <c r="IHH1" s="404"/>
      <c r="IHI1" s="404"/>
      <c r="IHJ1" s="404"/>
      <c r="IHK1" s="404"/>
      <c r="IHL1" s="405"/>
      <c r="IHM1" s="432" t="s">
        <v>41</v>
      </c>
      <c r="IHN1" s="404"/>
      <c r="IHO1" s="404"/>
      <c r="IHP1" s="404"/>
      <c r="IHQ1" s="404"/>
      <c r="IHR1" s="404"/>
      <c r="IHS1" s="404"/>
      <c r="IHT1" s="405"/>
      <c r="IHU1" s="432" t="s">
        <v>41</v>
      </c>
      <c r="IHV1" s="404"/>
      <c r="IHW1" s="404"/>
      <c r="IHX1" s="404"/>
      <c r="IHY1" s="404"/>
      <c r="IHZ1" s="404"/>
      <c r="IIA1" s="404"/>
      <c r="IIB1" s="405"/>
      <c r="IIC1" s="432" t="s">
        <v>41</v>
      </c>
      <c r="IID1" s="404"/>
      <c r="IIE1" s="404"/>
      <c r="IIF1" s="404"/>
      <c r="IIG1" s="404"/>
      <c r="IIH1" s="404"/>
      <c r="III1" s="404"/>
      <c r="IIJ1" s="405"/>
      <c r="IIK1" s="432" t="s">
        <v>41</v>
      </c>
      <c r="IIL1" s="404"/>
      <c r="IIM1" s="404"/>
      <c r="IIN1" s="404"/>
      <c r="IIO1" s="404"/>
      <c r="IIP1" s="404"/>
      <c r="IIQ1" s="404"/>
      <c r="IIR1" s="405"/>
      <c r="IIS1" s="432" t="s">
        <v>41</v>
      </c>
      <c r="IIT1" s="404"/>
      <c r="IIU1" s="404"/>
      <c r="IIV1" s="404"/>
      <c r="IIW1" s="404"/>
      <c r="IIX1" s="404"/>
      <c r="IIY1" s="404"/>
      <c r="IIZ1" s="405"/>
      <c r="IJA1" s="432" t="s">
        <v>41</v>
      </c>
      <c r="IJB1" s="404"/>
      <c r="IJC1" s="404"/>
      <c r="IJD1" s="404"/>
      <c r="IJE1" s="404"/>
      <c r="IJF1" s="404"/>
      <c r="IJG1" s="404"/>
      <c r="IJH1" s="405"/>
      <c r="IJI1" s="432" t="s">
        <v>41</v>
      </c>
      <c r="IJJ1" s="404"/>
      <c r="IJK1" s="404"/>
      <c r="IJL1" s="404"/>
      <c r="IJM1" s="404"/>
      <c r="IJN1" s="404"/>
      <c r="IJO1" s="404"/>
      <c r="IJP1" s="405"/>
      <c r="IJQ1" s="432" t="s">
        <v>41</v>
      </c>
      <c r="IJR1" s="404"/>
      <c r="IJS1" s="404"/>
      <c r="IJT1" s="404"/>
      <c r="IJU1" s="404"/>
      <c r="IJV1" s="404"/>
      <c r="IJW1" s="404"/>
      <c r="IJX1" s="405"/>
      <c r="IJY1" s="432" t="s">
        <v>41</v>
      </c>
      <c r="IJZ1" s="404"/>
      <c r="IKA1" s="404"/>
      <c r="IKB1" s="404"/>
      <c r="IKC1" s="404"/>
      <c r="IKD1" s="404"/>
      <c r="IKE1" s="404"/>
      <c r="IKF1" s="405"/>
      <c r="IKG1" s="432" t="s">
        <v>41</v>
      </c>
      <c r="IKH1" s="404"/>
      <c r="IKI1" s="404"/>
      <c r="IKJ1" s="404"/>
      <c r="IKK1" s="404"/>
      <c r="IKL1" s="404"/>
      <c r="IKM1" s="404"/>
      <c r="IKN1" s="405"/>
      <c r="IKO1" s="432" t="s">
        <v>41</v>
      </c>
      <c r="IKP1" s="404"/>
      <c r="IKQ1" s="404"/>
      <c r="IKR1" s="404"/>
      <c r="IKS1" s="404"/>
      <c r="IKT1" s="404"/>
      <c r="IKU1" s="404"/>
      <c r="IKV1" s="405"/>
      <c r="IKW1" s="432" t="s">
        <v>41</v>
      </c>
      <c r="IKX1" s="404"/>
      <c r="IKY1" s="404"/>
      <c r="IKZ1" s="404"/>
      <c r="ILA1" s="404"/>
      <c r="ILB1" s="404"/>
      <c r="ILC1" s="404"/>
      <c r="ILD1" s="405"/>
      <c r="ILE1" s="432" t="s">
        <v>41</v>
      </c>
      <c r="ILF1" s="404"/>
      <c r="ILG1" s="404"/>
      <c r="ILH1" s="404"/>
      <c r="ILI1" s="404"/>
      <c r="ILJ1" s="404"/>
      <c r="ILK1" s="404"/>
      <c r="ILL1" s="405"/>
      <c r="ILM1" s="432" t="s">
        <v>41</v>
      </c>
      <c r="ILN1" s="404"/>
      <c r="ILO1" s="404"/>
      <c r="ILP1" s="404"/>
      <c r="ILQ1" s="404"/>
      <c r="ILR1" s="404"/>
      <c r="ILS1" s="404"/>
      <c r="ILT1" s="405"/>
      <c r="ILU1" s="432" t="s">
        <v>41</v>
      </c>
      <c r="ILV1" s="404"/>
      <c r="ILW1" s="404"/>
      <c r="ILX1" s="404"/>
      <c r="ILY1" s="404"/>
      <c r="ILZ1" s="404"/>
      <c r="IMA1" s="404"/>
      <c r="IMB1" s="405"/>
      <c r="IMC1" s="432" t="s">
        <v>41</v>
      </c>
      <c r="IMD1" s="404"/>
      <c r="IME1" s="404"/>
      <c r="IMF1" s="404"/>
      <c r="IMG1" s="404"/>
      <c r="IMH1" s="404"/>
      <c r="IMI1" s="404"/>
      <c r="IMJ1" s="405"/>
      <c r="IMK1" s="432" t="s">
        <v>41</v>
      </c>
      <c r="IML1" s="404"/>
      <c r="IMM1" s="404"/>
      <c r="IMN1" s="404"/>
      <c r="IMO1" s="404"/>
      <c r="IMP1" s="404"/>
      <c r="IMQ1" s="404"/>
      <c r="IMR1" s="405"/>
      <c r="IMS1" s="432" t="s">
        <v>41</v>
      </c>
      <c r="IMT1" s="404"/>
      <c r="IMU1" s="404"/>
      <c r="IMV1" s="404"/>
      <c r="IMW1" s="404"/>
      <c r="IMX1" s="404"/>
      <c r="IMY1" s="404"/>
      <c r="IMZ1" s="405"/>
      <c r="INA1" s="432" t="s">
        <v>41</v>
      </c>
      <c r="INB1" s="404"/>
      <c r="INC1" s="404"/>
      <c r="IND1" s="404"/>
      <c r="INE1" s="404"/>
      <c r="INF1" s="404"/>
      <c r="ING1" s="404"/>
      <c r="INH1" s="405"/>
      <c r="INI1" s="432" t="s">
        <v>41</v>
      </c>
      <c r="INJ1" s="404"/>
      <c r="INK1" s="404"/>
      <c r="INL1" s="404"/>
      <c r="INM1" s="404"/>
      <c r="INN1" s="404"/>
      <c r="INO1" s="404"/>
      <c r="INP1" s="405"/>
      <c r="INQ1" s="432" t="s">
        <v>41</v>
      </c>
      <c r="INR1" s="404"/>
      <c r="INS1" s="404"/>
      <c r="INT1" s="404"/>
      <c r="INU1" s="404"/>
      <c r="INV1" s="404"/>
      <c r="INW1" s="404"/>
      <c r="INX1" s="405"/>
      <c r="INY1" s="432" t="s">
        <v>41</v>
      </c>
      <c r="INZ1" s="404"/>
      <c r="IOA1" s="404"/>
      <c r="IOB1" s="404"/>
      <c r="IOC1" s="404"/>
      <c r="IOD1" s="404"/>
      <c r="IOE1" s="404"/>
      <c r="IOF1" s="405"/>
      <c r="IOG1" s="432" t="s">
        <v>41</v>
      </c>
      <c r="IOH1" s="404"/>
      <c r="IOI1" s="404"/>
      <c r="IOJ1" s="404"/>
      <c r="IOK1" s="404"/>
      <c r="IOL1" s="404"/>
      <c r="IOM1" s="404"/>
      <c r="ION1" s="405"/>
      <c r="IOO1" s="432" t="s">
        <v>41</v>
      </c>
      <c r="IOP1" s="404"/>
      <c r="IOQ1" s="404"/>
      <c r="IOR1" s="404"/>
      <c r="IOS1" s="404"/>
      <c r="IOT1" s="404"/>
      <c r="IOU1" s="404"/>
      <c r="IOV1" s="405"/>
      <c r="IOW1" s="432" t="s">
        <v>41</v>
      </c>
      <c r="IOX1" s="404"/>
      <c r="IOY1" s="404"/>
      <c r="IOZ1" s="404"/>
      <c r="IPA1" s="404"/>
      <c r="IPB1" s="404"/>
      <c r="IPC1" s="404"/>
      <c r="IPD1" s="405"/>
      <c r="IPE1" s="432" t="s">
        <v>41</v>
      </c>
      <c r="IPF1" s="404"/>
      <c r="IPG1" s="404"/>
      <c r="IPH1" s="404"/>
      <c r="IPI1" s="404"/>
      <c r="IPJ1" s="404"/>
      <c r="IPK1" s="404"/>
      <c r="IPL1" s="405"/>
      <c r="IPM1" s="432" t="s">
        <v>41</v>
      </c>
      <c r="IPN1" s="404"/>
      <c r="IPO1" s="404"/>
      <c r="IPP1" s="404"/>
      <c r="IPQ1" s="404"/>
      <c r="IPR1" s="404"/>
      <c r="IPS1" s="404"/>
      <c r="IPT1" s="405"/>
      <c r="IPU1" s="432" t="s">
        <v>41</v>
      </c>
      <c r="IPV1" s="404"/>
      <c r="IPW1" s="404"/>
      <c r="IPX1" s="404"/>
      <c r="IPY1" s="404"/>
      <c r="IPZ1" s="404"/>
      <c r="IQA1" s="404"/>
      <c r="IQB1" s="405"/>
      <c r="IQC1" s="432" t="s">
        <v>41</v>
      </c>
      <c r="IQD1" s="404"/>
      <c r="IQE1" s="404"/>
      <c r="IQF1" s="404"/>
      <c r="IQG1" s="404"/>
      <c r="IQH1" s="404"/>
      <c r="IQI1" s="404"/>
      <c r="IQJ1" s="405"/>
      <c r="IQK1" s="432" t="s">
        <v>41</v>
      </c>
      <c r="IQL1" s="404"/>
      <c r="IQM1" s="404"/>
      <c r="IQN1" s="404"/>
      <c r="IQO1" s="404"/>
      <c r="IQP1" s="404"/>
      <c r="IQQ1" s="404"/>
      <c r="IQR1" s="405"/>
      <c r="IQS1" s="432" t="s">
        <v>41</v>
      </c>
      <c r="IQT1" s="404"/>
      <c r="IQU1" s="404"/>
      <c r="IQV1" s="404"/>
      <c r="IQW1" s="404"/>
      <c r="IQX1" s="404"/>
      <c r="IQY1" s="404"/>
      <c r="IQZ1" s="405"/>
      <c r="IRA1" s="432" t="s">
        <v>41</v>
      </c>
      <c r="IRB1" s="404"/>
      <c r="IRC1" s="404"/>
      <c r="IRD1" s="404"/>
      <c r="IRE1" s="404"/>
      <c r="IRF1" s="404"/>
      <c r="IRG1" s="404"/>
      <c r="IRH1" s="405"/>
      <c r="IRI1" s="432" t="s">
        <v>41</v>
      </c>
      <c r="IRJ1" s="404"/>
      <c r="IRK1" s="404"/>
      <c r="IRL1" s="404"/>
      <c r="IRM1" s="404"/>
      <c r="IRN1" s="404"/>
      <c r="IRO1" s="404"/>
      <c r="IRP1" s="405"/>
      <c r="IRQ1" s="432" t="s">
        <v>41</v>
      </c>
      <c r="IRR1" s="404"/>
      <c r="IRS1" s="404"/>
      <c r="IRT1" s="404"/>
      <c r="IRU1" s="404"/>
      <c r="IRV1" s="404"/>
      <c r="IRW1" s="404"/>
      <c r="IRX1" s="405"/>
      <c r="IRY1" s="432" t="s">
        <v>41</v>
      </c>
      <c r="IRZ1" s="404"/>
      <c r="ISA1" s="404"/>
      <c r="ISB1" s="404"/>
      <c r="ISC1" s="404"/>
      <c r="ISD1" s="404"/>
      <c r="ISE1" s="404"/>
      <c r="ISF1" s="405"/>
      <c r="ISG1" s="432" t="s">
        <v>41</v>
      </c>
      <c r="ISH1" s="404"/>
      <c r="ISI1" s="404"/>
      <c r="ISJ1" s="404"/>
      <c r="ISK1" s="404"/>
      <c r="ISL1" s="404"/>
      <c r="ISM1" s="404"/>
      <c r="ISN1" s="405"/>
      <c r="ISO1" s="432" t="s">
        <v>41</v>
      </c>
      <c r="ISP1" s="404"/>
      <c r="ISQ1" s="404"/>
      <c r="ISR1" s="404"/>
      <c r="ISS1" s="404"/>
      <c r="IST1" s="404"/>
      <c r="ISU1" s="404"/>
      <c r="ISV1" s="405"/>
      <c r="ISW1" s="432" t="s">
        <v>41</v>
      </c>
      <c r="ISX1" s="404"/>
      <c r="ISY1" s="404"/>
      <c r="ISZ1" s="404"/>
      <c r="ITA1" s="404"/>
      <c r="ITB1" s="404"/>
      <c r="ITC1" s="404"/>
      <c r="ITD1" s="405"/>
      <c r="ITE1" s="432" t="s">
        <v>41</v>
      </c>
      <c r="ITF1" s="404"/>
      <c r="ITG1" s="404"/>
      <c r="ITH1" s="404"/>
      <c r="ITI1" s="404"/>
      <c r="ITJ1" s="404"/>
      <c r="ITK1" s="404"/>
      <c r="ITL1" s="405"/>
      <c r="ITM1" s="432" t="s">
        <v>41</v>
      </c>
      <c r="ITN1" s="404"/>
      <c r="ITO1" s="404"/>
      <c r="ITP1" s="404"/>
      <c r="ITQ1" s="404"/>
      <c r="ITR1" s="404"/>
      <c r="ITS1" s="404"/>
      <c r="ITT1" s="405"/>
      <c r="ITU1" s="432" t="s">
        <v>41</v>
      </c>
      <c r="ITV1" s="404"/>
      <c r="ITW1" s="404"/>
      <c r="ITX1" s="404"/>
      <c r="ITY1" s="404"/>
      <c r="ITZ1" s="404"/>
      <c r="IUA1" s="404"/>
      <c r="IUB1" s="405"/>
      <c r="IUC1" s="432" t="s">
        <v>41</v>
      </c>
      <c r="IUD1" s="404"/>
      <c r="IUE1" s="404"/>
      <c r="IUF1" s="404"/>
      <c r="IUG1" s="404"/>
      <c r="IUH1" s="404"/>
      <c r="IUI1" s="404"/>
      <c r="IUJ1" s="405"/>
      <c r="IUK1" s="432" t="s">
        <v>41</v>
      </c>
      <c r="IUL1" s="404"/>
      <c r="IUM1" s="404"/>
      <c r="IUN1" s="404"/>
      <c r="IUO1" s="404"/>
      <c r="IUP1" s="404"/>
      <c r="IUQ1" s="404"/>
      <c r="IUR1" s="405"/>
      <c r="IUS1" s="432" t="s">
        <v>41</v>
      </c>
      <c r="IUT1" s="404"/>
      <c r="IUU1" s="404"/>
      <c r="IUV1" s="404"/>
      <c r="IUW1" s="404"/>
      <c r="IUX1" s="404"/>
      <c r="IUY1" s="404"/>
      <c r="IUZ1" s="405"/>
      <c r="IVA1" s="432" t="s">
        <v>41</v>
      </c>
      <c r="IVB1" s="404"/>
      <c r="IVC1" s="404"/>
      <c r="IVD1" s="404"/>
      <c r="IVE1" s="404"/>
      <c r="IVF1" s="404"/>
      <c r="IVG1" s="404"/>
      <c r="IVH1" s="405"/>
      <c r="IVI1" s="432" t="s">
        <v>41</v>
      </c>
      <c r="IVJ1" s="404"/>
      <c r="IVK1" s="404"/>
      <c r="IVL1" s="404"/>
      <c r="IVM1" s="404"/>
      <c r="IVN1" s="404"/>
      <c r="IVO1" s="404"/>
      <c r="IVP1" s="405"/>
      <c r="IVQ1" s="432" t="s">
        <v>41</v>
      </c>
      <c r="IVR1" s="404"/>
      <c r="IVS1" s="404"/>
      <c r="IVT1" s="404"/>
      <c r="IVU1" s="404"/>
      <c r="IVV1" s="404"/>
      <c r="IVW1" s="404"/>
      <c r="IVX1" s="405"/>
      <c r="IVY1" s="432" t="s">
        <v>41</v>
      </c>
      <c r="IVZ1" s="404"/>
      <c r="IWA1" s="404"/>
      <c r="IWB1" s="404"/>
      <c r="IWC1" s="404"/>
      <c r="IWD1" s="404"/>
      <c r="IWE1" s="404"/>
      <c r="IWF1" s="405"/>
      <c r="IWG1" s="432" t="s">
        <v>41</v>
      </c>
      <c r="IWH1" s="404"/>
      <c r="IWI1" s="404"/>
      <c r="IWJ1" s="404"/>
      <c r="IWK1" s="404"/>
      <c r="IWL1" s="404"/>
      <c r="IWM1" s="404"/>
      <c r="IWN1" s="405"/>
      <c r="IWO1" s="432" t="s">
        <v>41</v>
      </c>
      <c r="IWP1" s="404"/>
      <c r="IWQ1" s="404"/>
      <c r="IWR1" s="404"/>
      <c r="IWS1" s="404"/>
      <c r="IWT1" s="404"/>
      <c r="IWU1" s="404"/>
      <c r="IWV1" s="405"/>
      <c r="IWW1" s="432" t="s">
        <v>41</v>
      </c>
      <c r="IWX1" s="404"/>
      <c r="IWY1" s="404"/>
      <c r="IWZ1" s="404"/>
      <c r="IXA1" s="404"/>
      <c r="IXB1" s="404"/>
      <c r="IXC1" s="404"/>
      <c r="IXD1" s="405"/>
      <c r="IXE1" s="432" t="s">
        <v>41</v>
      </c>
      <c r="IXF1" s="404"/>
      <c r="IXG1" s="404"/>
      <c r="IXH1" s="404"/>
      <c r="IXI1" s="404"/>
      <c r="IXJ1" s="404"/>
      <c r="IXK1" s="404"/>
      <c r="IXL1" s="405"/>
      <c r="IXM1" s="432" t="s">
        <v>41</v>
      </c>
      <c r="IXN1" s="404"/>
      <c r="IXO1" s="404"/>
      <c r="IXP1" s="404"/>
      <c r="IXQ1" s="404"/>
      <c r="IXR1" s="404"/>
      <c r="IXS1" s="404"/>
      <c r="IXT1" s="405"/>
      <c r="IXU1" s="432" t="s">
        <v>41</v>
      </c>
      <c r="IXV1" s="404"/>
      <c r="IXW1" s="404"/>
      <c r="IXX1" s="404"/>
      <c r="IXY1" s="404"/>
      <c r="IXZ1" s="404"/>
      <c r="IYA1" s="404"/>
      <c r="IYB1" s="405"/>
      <c r="IYC1" s="432" t="s">
        <v>41</v>
      </c>
      <c r="IYD1" s="404"/>
      <c r="IYE1" s="404"/>
      <c r="IYF1" s="404"/>
      <c r="IYG1" s="404"/>
      <c r="IYH1" s="404"/>
      <c r="IYI1" s="404"/>
      <c r="IYJ1" s="405"/>
      <c r="IYK1" s="432" t="s">
        <v>41</v>
      </c>
      <c r="IYL1" s="404"/>
      <c r="IYM1" s="404"/>
      <c r="IYN1" s="404"/>
      <c r="IYO1" s="404"/>
      <c r="IYP1" s="404"/>
      <c r="IYQ1" s="404"/>
      <c r="IYR1" s="405"/>
      <c r="IYS1" s="432" t="s">
        <v>41</v>
      </c>
      <c r="IYT1" s="404"/>
      <c r="IYU1" s="404"/>
      <c r="IYV1" s="404"/>
      <c r="IYW1" s="404"/>
      <c r="IYX1" s="404"/>
      <c r="IYY1" s="404"/>
      <c r="IYZ1" s="405"/>
      <c r="IZA1" s="432" t="s">
        <v>41</v>
      </c>
      <c r="IZB1" s="404"/>
      <c r="IZC1" s="404"/>
      <c r="IZD1" s="404"/>
      <c r="IZE1" s="404"/>
      <c r="IZF1" s="404"/>
      <c r="IZG1" s="404"/>
      <c r="IZH1" s="405"/>
      <c r="IZI1" s="432" t="s">
        <v>41</v>
      </c>
      <c r="IZJ1" s="404"/>
      <c r="IZK1" s="404"/>
      <c r="IZL1" s="404"/>
      <c r="IZM1" s="404"/>
      <c r="IZN1" s="404"/>
      <c r="IZO1" s="404"/>
      <c r="IZP1" s="405"/>
      <c r="IZQ1" s="432" t="s">
        <v>41</v>
      </c>
      <c r="IZR1" s="404"/>
      <c r="IZS1" s="404"/>
      <c r="IZT1" s="404"/>
      <c r="IZU1" s="404"/>
      <c r="IZV1" s="404"/>
      <c r="IZW1" s="404"/>
      <c r="IZX1" s="405"/>
      <c r="IZY1" s="432" t="s">
        <v>41</v>
      </c>
      <c r="IZZ1" s="404"/>
      <c r="JAA1" s="404"/>
      <c r="JAB1" s="404"/>
      <c r="JAC1" s="404"/>
      <c r="JAD1" s="404"/>
      <c r="JAE1" s="404"/>
      <c r="JAF1" s="405"/>
      <c r="JAG1" s="432" t="s">
        <v>41</v>
      </c>
      <c r="JAH1" s="404"/>
      <c r="JAI1" s="404"/>
      <c r="JAJ1" s="404"/>
      <c r="JAK1" s="404"/>
      <c r="JAL1" s="404"/>
      <c r="JAM1" s="404"/>
      <c r="JAN1" s="405"/>
      <c r="JAO1" s="432" t="s">
        <v>41</v>
      </c>
      <c r="JAP1" s="404"/>
      <c r="JAQ1" s="404"/>
      <c r="JAR1" s="404"/>
      <c r="JAS1" s="404"/>
      <c r="JAT1" s="404"/>
      <c r="JAU1" s="404"/>
      <c r="JAV1" s="405"/>
      <c r="JAW1" s="432" t="s">
        <v>41</v>
      </c>
      <c r="JAX1" s="404"/>
      <c r="JAY1" s="404"/>
      <c r="JAZ1" s="404"/>
      <c r="JBA1" s="404"/>
      <c r="JBB1" s="404"/>
      <c r="JBC1" s="404"/>
      <c r="JBD1" s="405"/>
      <c r="JBE1" s="432" t="s">
        <v>41</v>
      </c>
      <c r="JBF1" s="404"/>
      <c r="JBG1" s="404"/>
      <c r="JBH1" s="404"/>
      <c r="JBI1" s="404"/>
      <c r="JBJ1" s="404"/>
      <c r="JBK1" s="404"/>
      <c r="JBL1" s="405"/>
      <c r="JBM1" s="432" t="s">
        <v>41</v>
      </c>
      <c r="JBN1" s="404"/>
      <c r="JBO1" s="404"/>
      <c r="JBP1" s="404"/>
      <c r="JBQ1" s="404"/>
      <c r="JBR1" s="404"/>
      <c r="JBS1" s="404"/>
      <c r="JBT1" s="405"/>
      <c r="JBU1" s="432" t="s">
        <v>41</v>
      </c>
      <c r="JBV1" s="404"/>
      <c r="JBW1" s="404"/>
      <c r="JBX1" s="404"/>
      <c r="JBY1" s="404"/>
      <c r="JBZ1" s="404"/>
      <c r="JCA1" s="404"/>
      <c r="JCB1" s="405"/>
      <c r="JCC1" s="432" t="s">
        <v>41</v>
      </c>
      <c r="JCD1" s="404"/>
      <c r="JCE1" s="404"/>
      <c r="JCF1" s="404"/>
      <c r="JCG1" s="404"/>
      <c r="JCH1" s="404"/>
      <c r="JCI1" s="404"/>
      <c r="JCJ1" s="405"/>
      <c r="JCK1" s="432" t="s">
        <v>41</v>
      </c>
      <c r="JCL1" s="404"/>
      <c r="JCM1" s="404"/>
      <c r="JCN1" s="404"/>
      <c r="JCO1" s="404"/>
      <c r="JCP1" s="404"/>
      <c r="JCQ1" s="404"/>
      <c r="JCR1" s="405"/>
      <c r="JCS1" s="432" t="s">
        <v>41</v>
      </c>
      <c r="JCT1" s="404"/>
      <c r="JCU1" s="404"/>
      <c r="JCV1" s="404"/>
      <c r="JCW1" s="404"/>
      <c r="JCX1" s="404"/>
      <c r="JCY1" s="404"/>
      <c r="JCZ1" s="405"/>
      <c r="JDA1" s="432" t="s">
        <v>41</v>
      </c>
      <c r="JDB1" s="404"/>
      <c r="JDC1" s="404"/>
      <c r="JDD1" s="404"/>
      <c r="JDE1" s="404"/>
      <c r="JDF1" s="404"/>
      <c r="JDG1" s="404"/>
      <c r="JDH1" s="405"/>
      <c r="JDI1" s="432" t="s">
        <v>41</v>
      </c>
      <c r="JDJ1" s="404"/>
      <c r="JDK1" s="404"/>
      <c r="JDL1" s="404"/>
      <c r="JDM1" s="404"/>
      <c r="JDN1" s="404"/>
      <c r="JDO1" s="404"/>
      <c r="JDP1" s="405"/>
      <c r="JDQ1" s="432" t="s">
        <v>41</v>
      </c>
      <c r="JDR1" s="404"/>
      <c r="JDS1" s="404"/>
      <c r="JDT1" s="404"/>
      <c r="JDU1" s="404"/>
      <c r="JDV1" s="404"/>
      <c r="JDW1" s="404"/>
      <c r="JDX1" s="405"/>
      <c r="JDY1" s="432" t="s">
        <v>41</v>
      </c>
      <c r="JDZ1" s="404"/>
      <c r="JEA1" s="404"/>
      <c r="JEB1" s="404"/>
      <c r="JEC1" s="404"/>
      <c r="JED1" s="404"/>
      <c r="JEE1" s="404"/>
      <c r="JEF1" s="405"/>
      <c r="JEG1" s="432" t="s">
        <v>41</v>
      </c>
      <c r="JEH1" s="404"/>
      <c r="JEI1" s="404"/>
      <c r="JEJ1" s="404"/>
      <c r="JEK1" s="404"/>
      <c r="JEL1" s="404"/>
      <c r="JEM1" s="404"/>
      <c r="JEN1" s="405"/>
      <c r="JEO1" s="432" t="s">
        <v>41</v>
      </c>
      <c r="JEP1" s="404"/>
      <c r="JEQ1" s="404"/>
      <c r="JER1" s="404"/>
      <c r="JES1" s="404"/>
      <c r="JET1" s="404"/>
      <c r="JEU1" s="404"/>
      <c r="JEV1" s="405"/>
      <c r="JEW1" s="432" t="s">
        <v>41</v>
      </c>
      <c r="JEX1" s="404"/>
      <c r="JEY1" s="404"/>
      <c r="JEZ1" s="404"/>
      <c r="JFA1" s="404"/>
      <c r="JFB1" s="404"/>
      <c r="JFC1" s="404"/>
      <c r="JFD1" s="405"/>
      <c r="JFE1" s="432" t="s">
        <v>41</v>
      </c>
      <c r="JFF1" s="404"/>
      <c r="JFG1" s="404"/>
      <c r="JFH1" s="404"/>
      <c r="JFI1" s="404"/>
      <c r="JFJ1" s="404"/>
      <c r="JFK1" s="404"/>
      <c r="JFL1" s="405"/>
      <c r="JFM1" s="432" t="s">
        <v>41</v>
      </c>
      <c r="JFN1" s="404"/>
      <c r="JFO1" s="404"/>
      <c r="JFP1" s="404"/>
      <c r="JFQ1" s="404"/>
      <c r="JFR1" s="404"/>
      <c r="JFS1" s="404"/>
      <c r="JFT1" s="405"/>
      <c r="JFU1" s="432" t="s">
        <v>41</v>
      </c>
      <c r="JFV1" s="404"/>
      <c r="JFW1" s="404"/>
      <c r="JFX1" s="404"/>
      <c r="JFY1" s="404"/>
      <c r="JFZ1" s="404"/>
      <c r="JGA1" s="404"/>
      <c r="JGB1" s="405"/>
      <c r="JGC1" s="432" t="s">
        <v>41</v>
      </c>
      <c r="JGD1" s="404"/>
      <c r="JGE1" s="404"/>
      <c r="JGF1" s="404"/>
      <c r="JGG1" s="404"/>
      <c r="JGH1" s="404"/>
      <c r="JGI1" s="404"/>
      <c r="JGJ1" s="405"/>
      <c r="JGK1" s="432" t="s">
        <v>41</v>
      </c>
      <c r="JGL1" s="404"/>
      <c r="JGM1" s="404"/>
      <c r="JGN1" s="404"/>
      <c r="JGO1" s="404"/>
      <c r="JGP1" s="404"/>
      <c r="JGQ1" s="404"/>
      <c r="JGR1" s="405"/>
      <c r="JGS1" s="432" t="s">
        <v>41</v>
      </c>
      <c r="JGT1" s="404"/>
      <c r="JGU1" s="404"/>
      <c r="JGV1" s="404"/>
      <c r="JGW1" s="404"/>
      <c r="JGX1" s="404"/>
      <c r="JGY1" s="404"/>
      <c r="JGZ1" s="405"/>
      <c r="JHA1" s="432" t="s">
        <v>41</v>
      </c>
      <c r="JHB1" s="404"/>
      <c r="JHC1" s="404"/>
      <c r="JHD1" s="404"/>
      <c r="JHE1" s="404"/>
      <c r="JHF1" s="404"/>
      <c r="JHG1" s="404"/>
      <c r="JHH1" s="405"/>
      <c r="JHI1" s="432" t="s">
        <v>41</v>
      </c>
      <c r="JHJ1" s="404"/>
      <c r="JHK1" s="404"/>
      <c r="JHL1" s="404"/>
      <c r="JHM1" s="404"/>
      <c r="JHN1" s="404"/>
      <c r="JHO1" s="404"/>
      <c r="JHP1" s="405"/>
      <c r="JHQ1" s="432" t="s">
        <v>41</v>
      </c>
      <c r="JHR1" s="404"/>
      <c r="JHS1" s="404"/>
      <c r="JHT1" s="404"/>
      <c r="JHU1" s="404"/>
      <c r="JHV1" s="404"/>
      <c r="JHW1" s="404"/>
      <c r="JHX1" s="405"/>
      <c r="JHY1" s="432" t="s">
        <v>41</v>
      </c>
      <c r="JHZ1" s="404"/>
      <c r="JIA1" s="404"/>
      <c r="JIB1" s="404"/>
      <c r="JIC1" s="404"/>
      <c r="JID1" s="404"/>
      <c r="JIE1" s="404"/>
      <c r="JIF1" s="405"/>
      <c r="JIG1" s="432" t="s">
        <v>41</v>
      </c>
      <c r="JIH1" s="404"/>
      <c r="JII1" s="404"/>
      <c r="JIJ1" s="404"/>
      <c r="JIK1" s="404"/>
      <c r="JIL1" s="404"/>
      <c r="JIM1" s="404"/>
      <c r="JIN1" s="405"/>
      <c r="JIO1" s="432" t="s">
        <v>41</v>
      </c>
      <c r="JIP1" s="404"/>
      <c r="JIQ1" s="404"/>
      <c r="JIR1" s="404"/>
      <c r="JIS1" s="404"/>
      <c r="JIT1" s="404"/>
      <c r="JIU1" s="404"/>
      <c r="JIV1" s="405"/>
      <c r="JIW1" s="432" t="s">
        <v>41</v>
      </c>
      <c r="JIX1" s="404"/>
      <c r="JIY1" s="404"/>
      <c r="JIZ1" s="404"/>
      <c r="JJA1" s="404"/>
      <c r="JJB1" s="404"/>
      <c r="JJC1" s="404"/>
      <c r="JJD1" s="405"/>
      <c r="JJE1" s="432" t="s">
        <v>41</v>
      </c>
      <c r="JJF1" s="404"/>
      <c r="JJG1" s="404"/>
      <c r="JJH1" s="404"/>
      <c r="JJI1" s="404"/>
      <c r="JJJ1" s="404"/>
      <c r="JJK1" s="404"/>
      <c r="JJL1" s="405"/>
      <c r="JJM1" s="432" t="s">
        <v>41</v>
      </c>
      <c r="JJN1" s="404"/>
      <c r="JJO1" s="404"/>
      <c r="JJP1" s="404"/>
      <c r="JJQ1" s="404"/>
      <c r="JJR1" s="404"/>
      <c r="JJS1" s="404"/>
      <c r="JJT1" s="405"/>
      <c r="JJU1" s="432" t="s">
        <v>41</v>
      </c>
      <c r="JJV1" s="404"/>
      <c r="JJW1" s="404"/>
      <c r="JJX1" s="404"/>
      <c r="JJY1" s="404"/>
      <c r="JJZ1" s="404"/>
      <c r="JKA1" s="404"/>
      <c r="JKB1" s="405"/>
      <c r="JKC1" s="432" t="s">
        <v>41</v>
      </c>
      <c r="JKD1" s="404"/>
      <c r="JKE1" s="404"/>
      <c r="JKF1" s="404"/>
      <c r="JKG1" s="404"/>
      <c r="JKH1" s="404"/>
      <c r="JKI1" s="404"/>
      <c r="JKJ1" s="405"/>
      <c r="JKK1" s="432" t="s">
        <v>41</v>
      </c>
      <c r="JKL1" s="404"/>
      <c r="JKM1" s="404"/>
      <c r="JKN1" s="404"/>
      <c r="JKO1" s="404"/>
      <c r="JKP1" s="404"/>
      <c r="JKQ1" s="404"/>
      <c r="JKR1" s="405"/>
      <c r="JKS1" s="432" t="s">
        <v>41</v>
      </c>
      <c r="JKT1" s="404"/>
      <c r="JKU1" s="404"/>
      <c r="JKV1" s="404"/>
      <c r="JKW1" s="404"/>
      <c r="JKX1" s="404"/>
      <c r="JKY1" s="404"/>
      <c r="JKZ1" s="405"/>
      <c r="JLA1" s="432" t="s">
        <v>41</v>
      </c>
      <c r="JLB1" s="404"/>
      <c r="JLC1" s="404"/>
      <c r="JLD1" s="404"/>
      <c r="JLE1" s="404"/>
      <c r="JLF1" s="404"/>
      <c r="JLG1" s="404"/>
      <c r="JLH1" s="405"/>
      <c r="JLI1" s="432" t="s">
        <v>41</v>
      </c>
      <c r="JLJ1" s="404"/>
      <c r="JLK1" s="404"/>
      <c r="JLL1" s="404"/>
      <c r="JLM1" s="404"/>
      <c r="JLN1" s="404"/>
      <c r="JLO1" s="404"/>
      <c r="JLP1" s="405"/>
      <c r="JLQ1" s="432" t="s">
        <v>41</v>
      </c>
      <c r="JLR1" s="404"/>
      <c r="JLS1" s="404"/>
      <c r="JLT1" s="404"/>
      <c r="JLU1" s="404"/>
      <c r="JLV1" s="404"/>
      <c r="JLW1" s="404"/>
      <c r="JLX1" s="405"/>
      <c r="JLY1" s="432" t="s">
        <v>41</v>
      </c>
      <c r="JLZ1" s="404"/>
      <c r="JMA1" s="404"/>
      <c r="JMB1" s="404"/>
      <c r="JMC1" s="404"/>
      <c r="JMD1" s="404"/>
      <c r="JME1" s="404"/>
      <c r="JMF1" s="405"/>
      <c r="JMG1" s="432" t="s">
        <v>41</v>
      </c>
      <c r="JMH1" s="404"/>
      <c r="JMI1" s="404"/>
      <c r="JMJ1" s="404"/>
      <c r="JMK1" s="404"/>
      <c r="JML1" s="404"/>
      <c r="JMM1" s="404"/>
      <c r="JMN1" s="405"/>
      <c r="JMO1" s="432" t="s">
        <v>41</v>
      </c>
      <c r="JMP1" s="404"/>
      <c r="JMQ1" s="404"/>
      <c r="JMR1" s="404"/>
      <c r="JMS1" s="404"/>
      <c r="JMT1" s="404"/>
      <c r="JMU1" s="404"/>
      <c r="JMV1" s="405"/>
      <c r="JMW1" s="432" t="s">
        <v>41</v>
      </c>
      <c r="JMX1" s="404"/>
      <c r="JMY1" s="404"/>
      <c r="JMZ1" s="404"/>
      <c r="JNA1" s="404"/>
      <c r="JNB1" s="404"/>
      <c r="JNC1" s="404"/>
      <c r="JND1" s="405"/>
      <c r="JNE1" s="432" t="s">
        <v>41</v>
      </c>
      <c r="JNF1" s="404"/>
      <c r="JNG1" s="404"/>
      <c r="JNH1" s="404"/>
      <c r="JNI1" s="404"/>
      <c r="JNJ1" s="404"/>
      <c r="JNK1" s="404"/>
      <c r="JNL1" s="405"/>
      <c r="JNM1" s="432" t="s">
        <v>41</v>
      </c>
      <c r="JNN1" s="404"/>
      <c r="JNO1" s="404"/>
      <c r="JNP1" s="404"/>
      <c r="JNQ1" s="404"/>
      <c r="JNR1" s="404"/>
      <c r="JNS1" s="404"/>
      <c r="JNT1" s="405"/>
      <c r="JNU1" s="432" t="s">
        <v>41</v>
      </c>
      <c r="JNV1" s="404"/>
      <c r="JNW1" s="404"/>
      <c r="JNX1" s="404"/>
      <c r="JNY1" s="404"/>
      <c r="JNZ1" s="404"/>
      <c r="JOA1" s="404"/>
      <c r="JOB1" s="405"/>
      <c r="JOC1" s="432" t="s">
        <v>41</v>
      </c>
      <c r="JOD1" s="404"/>
      <c r="JOE1" s="404"/>
      <c r="JOF1" s="404"/>
      <c r="JOG1" s="404"/>
      <c r="JOH1" s="404"/>
      <c r="JOI1" s="404"/>
      <c r="JOJ1" s="405"/>
      <c r="JOK1" s="432" t="s">
        <v>41</v>
      </c>
      <c r="JOL1" s="404"/>
      <c r="JOM1" s="404"/>
      <c r="JON1" s="404"/>
      <c r="JOO1" s="404"/>
      <c r="JOP1" s="404"/>
      <c r="JOQ1" s="404"/>
      <c r="JOR1" s="405"/>
      <c r="JOS1" s="432" t="s">
        <v>41</v>
      </c>
      <c r="JOT1" s="404"/>
      <c r="JOU1" s="404"/>
      <c r="JOV1" s="404"/>
      <c r="JOW1" s="404"/>
      <c r="JOX1" s="404"/>
      <c r="JOY1" s="404"/>
      <c r="JOZ1" s="405"/>
      <c r="JPA1" s="432" t="s">
        <v>41</v>
      </c>
      <c r="JPB1" s="404"/>
      <c r="JPC1" s="404"/>
      <c r="JPD1" s="404"/>
      <c r="JPE1" s="404"/>
      <c r="JPF1" s="404"/>
      <c r="JPG1" s="404"/>
      <c r="JPH1" s="405"/>
      <c r="JPI1" s="432" t="s">
        <v>41</v>
      </c>
      <c r="JPJ1" s="404"/>
      <c r="JPK1" s="404"/>
      <c r="JPL1" s="404"/>
      <c r="JPM1" s="404"/>
      <c r="JPN1" s="404"/>
      <c r="JPO1" s="404"/>
      <c r="JPP1" s="405"/>
      <c r="JPQ1" s="432" t="s">
        <v>41</v>
      </c>
      <c r="JPR1" s="404"/>
      <c r="JPS1" s="404"/>
      <c r="JPT1" s="404"/>
      <c r="JPU1" s="404"/>
      <c r="JPV1" s="404"/>
      <c r="JPW1" s="404"/>
      <c r="JPX1" s="405"/>
      <c r="JPY1" s="432" t="s">
        <v>41</v>
      </c>
      <c r="JPZ1" s="404"/>
      <c r="JQA1" s="404"/>
      <c r="JQB1" s="404"/>
      <c r="JQC1" s="404"/>
      <c r="JQD1" s="404"/>
      <c r="JQE1" s="404"/>
      <c r="JQF1" s="405"/>
      <c r="JQG1" s="432" t="s">
        <v>41</v>
      </c>
      <c r="JQH1" s="404"/>
      <c r="JQI1" s="404"/>
      <c r="JQJ1" s="404"/>
      <c r="JQK1" s="404"/>
      <c r="JQL1" s="404"/>
      <c r="JQM1" s="404"/>
      <c r="JQN1" s="405"/>
      <c r="JQO1" s="432" t="s">
        <v>41</v>
      </c>
      <c r="JQP1" s="404"/>
      <c r="JQQ1" s="404"/>
      <c r="JQR1" s="404"/>
      <c r="JQS1" s="404"/>
      <c r="JQT1" s="404"/>
      <c r="JQU1" s="404"/>
      <c r="JQV1" s="405"/>
      <c r="JQW1" s="432" t="s">
        <v>41</v>
      </c>
      <c r="JQX1" s="404"/>
      <c r="JQY1" s="404"/>
      <c r="JQZ1" s="404"/>
      <c r="JRA1" s="404"/>
      <c r="JRB1" s="404"/>
      <c r="JRC1" s="404"/>
      <c r="JRD1" s="405"/>
      <c r="JRE1" s="432" t="s">
        <v>41</v>
      </c>
      <c r="JRF1" s="404"/>
      <c r="JRG1" s="404"/>
      <c r="JRH1" s="404"/>
      <c r="JRI1" s="404"/>
      <c r="JRJ1" s="404"/>
      <c r="JRK1" s="404"/>
      <c r="JRL1" s="405"/>
      <c r="JRM1" s="432" t="s">
        <v>41</v>
      </c>
      <c r="JRN1" s="404"/>
      <c r="JRO1" s="404"/>
      <c r="JRP1" s="404"/>
      <c r="JRQ1" s="404"/>
      <c r="JRR1" s="404"/>
      <c r="JRS1" s="404"/>
      <c r="JRT1" s="405"/>
      <c r="JRU1" s="432" t="s">
        <v>41</v>
      </c>
      <c r="JRV1" s="404"/>
      <c r="JRW1" s="404"/>
      <c r="JRX1" s="404"/>
      <c r="JRY1" s="404"/>
      <c r="JRZ1" s="404"/>
      <c r="JSA1" s="404"/>
      <c r="JSB1" s="405"/>
      <c r="JSC1" s="432" t="s">
        <v>41</v>
      </c>
      <c r="JSD1" s="404"/>
      <c r="JSE1" s="404"/>
      <c r="JSF1" s="404"/>
      <c r="JSG1" s="404"/>
      <c r="JSH1" s="404"/>
      <c r="JSI1" s="404"/>
      <c r="JSJ1" s="405"/>
      <c r="JSK1" s="432" t="s">
        <v>41</v>
      </c>
      <c r="JSL1" s="404"/>
      <c r="JSM1" s="404"/>
      <c r="JSN1" s="404"/>
      <c r="JSO1" s="404"/>
      <c r="JSP1" s="404"/>
      <c r="JSQ1" s="404"/>
      <c r="JSR1" s="405"/>
      <c r="JSS1" s="432" t="s">
        <v>41</v>
      </c>
      <c r="JST1" s="404"/>
      <c r="JSU1" s="404"/>
      <c r="JSV1" s="404"/>
      <c r="JSW1" s="404"/>
      <c r="JSX1" s="404"/>
      <c r="JSY1" s="404"/>
      <c r="JSZ1" s="405"/>
      <c r="JTA1" s="432" t="s">
        <v>41</v>
      </c>
      <c r="JTB1" s="404"/>
      <c r="JTC1" s="404"/>
      <c r="JTD1" s="404"/>
      <c r="JTE1" s="404"/>
      <c r="JTF1" s="404"/>
      <c r="JTG1" s="404"/>
      <c r="JTH1" s="405"/>
      <c r="JTI1" s="432" t="s">
        <v>41</v>
      </c>
      <c r="JTJ1" s="404"/>
      <c r="JTK1" s="404"/>
      <c r="JTL1" s="404"/>
      <c r="JTM1" s="404"/>
      <c r="JTN1" s="404"/>
      <c r="JTO1" s="404"/>
      <c r="JTP1" s="405"/>
      <c r="JTQ1" s="432" t="s">
        <v>41</v>
      </c>
      <c r="JTR1" s="404"/>
      <c r="JTS1" s="404"/>
      <c r="JTT1" s="404"/>
      <c r="JTU1" s="404"/>
      <c r="JTV1" s="404"/>
      <c r="JTW1" s="404"/>
      <c r="JTX1" s="405"/>
      <c r="JTY1" s="432" t="s">
        <v>41</v>
      </c>
      <c r="JTZ1" s="404"/>
      <c r="JUA1" s="404"/>
      <c r="JUB1" s="404"/>
      <c r="JUC1" s="404"/>
      <c r="JUD1" s="404"/>
      <c r="JUE1" s="404"/>
      <c r="JUF1" s="405"/>
      <c r="JUG1" s="432" t="s">
        <v>41</v>
      </c>
      <c r="JUH1" s="404"/>
      <c r="JUI1" s="404"/>
      <c r="JUJ1" s="404"/>
      <c r="JUK1" s="404"/>
      <c r="JUL1" s="404"/>
      <c r="JUM1" s="404"/>
      <c r="JUN1" s="405"/>
      <c r="JUO1" s="432" t="s">
        <v>41</v>
      </c>
      <c r="JUP1" s="404"/>
      <c r="JUQ1" s="404"/>
      <c r="JUR1" s="404"/>
      <c r="JUS1" s="404"/>
      <c r="JUT1" s="404"/>
      <c r="JUU1" s="404"/>
      <c r="JUV1" s="405"/>
      <c r="JUW1" s="432" t="s">
        <v>41</v>
      </c>
      <c r="JUX1" s="404"/>
      <c r="JUY1" s="404"/>
      <c r="JUZ1" s="404"/>
      <c r="JVA1" s="404"/>
      <c r="JVB1" s="404"/>
      <c r="JVC1" s="404"/>
      <c r="JVD1" s="405"/>
      <c r="JVE1" s="432" t="s">
        <v>41</v>
      </c>
      <c r="JVF1" s="404"/>
      <c r="JVG1" s="404"/>
      <c r="JVH1" s="404"/>
      <c r="JVI1" s="404"/>
      <c r="JVJ1" s="404"/>
      <c r="JVK1" s="404"/>
      <c r="JVL1" s="405"/>
      <c r="JVM1" s="432" t="s">
        <v>41</v>
      </c>
      <c r="JVN1" s="404"/>
      <c r="JVO1" s="404"/>
      <c r="JVP1" s="404"/>
      <c r="JVQ1" s="404"/>
      <c r="JVR1" s="404"/>
      <c r="JVS1" s="404"/>
      <c r="JVT1" s="405"/>
      <c r="JVU1" s="432" t="s">
        <v>41</v>
      </c>
      <c r="JVV1" s="404"/>
      <c r="JVW1" s="404"/>
      <c r="JVX1" s="404"/>
      <c r="JVY1" s="404"/>
      <c r="JVZ1" s="404"/>
      <c r="JWA1" s="404"/>
      <c r="JWB1" s="405"/>
      <c r="JWC1" s="432" t="s">
        <v>41</v>
      </c>
      <c r="JWD1" s="404"/>
      <c r="JWE1" s="404"/>
      <c r="JWF1" s="404"/>
      <c r="JWG1" s="404"/>
      <c r="JWH1" s="404"/>
      <c r="JWI1" s="404"/>
      <c r="JWJ1" s="405"/>
      <c r="JWK1" s="432" t="s">
        <v>41</v>
      </c>
      <c r="JWL1" s="404"/>
      <c r="JWM1" s="404"/>
      <c r="JWN1" s="404"/>
      <c r="JWO1" s="404"/>
      <c r="JWP1" s="404"/>
      <c r="JWQ1" s="404"/>
      <c r="JWR1" s="405"/>
      <c r="JWS1" s="432" t="s">
        <v>41</v>
      </c>
      <c r="JWT1" s="404"/>
      <c r="JWU1" s="404"/>
      <c r="JWV1" s="404"/>
      <c r="JWW1" s="404"/>
      <c r="JWX1" s="404"/>
      <c r="JWY1" s="404"/>
      <c r="JWZ1" s="405"/>
      <c r="JXA1" s="432" t="s">
        <v>41</v>
      </c>
      <c r="JXB1" s="404"/>
      <c r="JXC1" s="404"/>
      <c r="JXD1" s="404"/>
      <c r="JXE1" s="404"/>
      <c r="JXF1" s="404"/>
      <c r="JXG1" s="404"/>
      <c r="JXH1" s="405"/>
      <c r="JXI1" s="432" t="s">
        <v>41</v>
      </c>
      <c r="JXJ1" s="404"/>
      <c r="JXK1" s="404"/>
      <c r="JXL1" s="404"/>
      <c r="JXM1" s="404"/>
      <c r="JXN1" s="404"/>
      <c r="JXO1" s="404"/>
      <c r="JXP1" s="405"/>
      <c r="JXQ1" s="432" t="s">
        <v>41</v>
      </c>
      <c r="JXR1" s="404"/>
      <c r="JXS1" s="404"/>
      <c r="JXT1" s="404"/>
      <c r="JXU1" s="404"/>
      <c r="JXV1" s="404"/>
      <c r="JXW1" s="404"/>
      <c r="JXX1" s="405"/>
      <c r="JXY1" s="432" t="s">
        <v>41</v>
      </c>
      <c r="JXZ1" s="404"/>
      <c r="JYA1" s="404"/>
      <c r="JYB1" s="404"/>
      <c r="JYC1" s="404"/>
      <c r="JYD1" s="404"/>
      <c r="JYE1" s="404"/>
      <c r="JYF1" s="405"/>
      <c r="JYG1" s="432" t="s">
        <v>41</v>
      </c>
      <c r="JYH1" s="404"/>
      <c r="JYI1" s="404"/>
      <c r="JYJ1" s="404"/>
      <c r="JYK1" s="404"/>
      <c r="JYL1" s="404"/>
      <c r="JYM1" s="404"/>
      <c r="JYN1" s="405"/>
      <c r="JYO1" s="432" t="s">
        <v>41</v>
      </c>
      <c r="JYP1" s="404"/>
      <c r="JYQ1" s="404"/>
      <c r="JYR1" s="404"/>
      <c r="JYS1" s="404"/>
      <c r="JYT1" s="404"/>
      <c r="JYU1" s="404"/>
      <c r="JYV1" s="405"/>
      <c r="JYW1" s="432" t="s">
        <v>41</v>
      </c>
      <c r="JYX1" s="404"/>
      <c r="JYY1" s="404"/>
      <c r="JYZ1" s="404"/>
      <c r="JZA1" s="404"/>
      <c r="JZB1" s="404"/>
      <c r="JZC1" s="404"/>
      <c r="JZD1" s="405"/>
      <c r="JZE1" s="432" t="s">
        <v>41</v>
      </c>
      <c r="JZF1" s="404"/>
      <c r="JZG1" s="404"/>
      <c r="JZH1" s="404"/>
      <c r="JZI1" s="404"/>
      <c r="JZJ1" s="404"/>
      <c r="JZK1" s="404"/>
      <c r="JZL1" s="405"/>
      <c r="JZM1" s="432" t="s">
        <v>41</v>
      </c>
      <c r="JZN1" s="404"/>
      <c r="JZO1" s="404"/>
      <c r="JZP1" s="404"/>
      <c r="JZQ1" s="404"/>
      <c r="JZR1" s="404"/>
      <c r="JZS1" s="404"/>
      <c r="JZT1" s="405"/>
      <c r="JZU1" s="432" t="s">
        <v>41</v>
      </c>
      <c r="JZV1" s="404"/>
      <c r="JZW1" s="404"/>
      <c r="JZX1" s="404"/>
      <c r="JZY1" s="404"/>
      <c r="JZZ1" s="404"/>
      <c r="KAA1" s="404"/>
      <c r="KAB1" s="405"/>
      <c r="KAC1" s="432" t="s">
        <v>41</v>
      </c>
      <c r="KAD1" s="404"/>
      <c r="KAE1" s="404"/>
      <c r="KAF1" s="404"/>
      <c r="KAG1" s="404"/>
      <c r="KAH1" s="404"/>
      <c r="KAI1" s="404"/>
      <c r="KAJ1" s="405"/>
      <c r="KAK1" s="432" t="s">
        <v>41</v>
      </c>
      <c r="KAL1" s="404"/>
      <c r="KAM1" s="404"/>
      <c r="KAN1" s="404"/>
      <c r="KAO1" s="404"/>
      <c r="KAP1" s="404"/>
      <c r="KAQ1" s="404"/>
      <c r="KAR1" s="405"/>
      <c r="KAS1" s="432" t="s">
        <v>41</v>
      </c>
      <c r="KAT1" s="404"/>
      <c r="KAU1" s="404"/>
      <c r="KAV1" s="404"/>
      <c r="KAW1" s="404"/>
      <c r="KAX1" s="404"/>
      <c r="KAY1" s="404"/>
      <c r="KAZ1" s="405"/>
      <c r="KBA1" s="432" t="s">
        <v>41</v>
      </c>
      <c r="KBB1" s="404"/>
      <c r="KBC1" s="404"/>
      <c r="KBD1" s="404"/>
      <c r="KBE1" s="404"/>
      <c r="KBF1" s="404"/>
      <c r="KBG1" s="404"/>
      <c r="KBH1" s="405"/>
      <c r="KBI1" s="432" t="s">
        <v>41</v>
      </c>
      <c r="KBJ1" s="404"/>
      <c r="KBK1" s="404"/>
      <c r="KBL1" s="404"/>
      <c r="KBM1" s="404"/>
      <c r="KBN1" s="404"/>
      <c r="KBO1" s="404"/>
      <c r="KBP1" s="405"/>
      <c r="KBQ1" s="432" t="s">
        <v>41</v>
      </c>
      <c r="KBR1" s="404"/>
      <c r="KBS1" s="404"/>
      <c r="KBT1" s="404"/>
      <c r="KBU1" s="404"/>
      <c r="KBV1" s="404"/>
      <c r="KBW1" s="404"/>
      <c r="KBX1" s="405"/>
      <c r="KBY1" s="432" t="s">
        <v>41</v>
      </c>
      <c r="KBZ1" s="404"/>
      <c r="KCA1" s="404"/>
      <c r="KCB1" s="404"/>
      <c r="KCC1" s="404"/>
      <c r="KCD1" s="404"/>
      <c r="KCE1" s="404"/>
      <c r="KCF1" s="405"/>
      <c r="KCG1" s="432" t="s">
        <v>41</v>
      </c>
      <c r="KCH1" s="404"/>
      <c r="KCI1" s="404"/>
      <c r="KCJ1" s="404"/>
      <c r="KCK1" s="404"/>
      <c r="KCL1" s="404"/>
      <c r="KCM1" s="404"/>
      <c r="KCN1" s="405"/>
      <c r="KCO1" s="432" t="s">
        <v>41</v>
      </c>
      <c r="KCP1" s="404"/>
      <c r="KCQ1" s="404"/>
      <c r="KCR1" s="404"/>
      <c r="KCS1" s="404"/>
      <c r="KCT1" s="404"/>
      <c r="KCU1" s="404"/>
      <c r="KCV1" s="405"/>
      <c r="KCW1" s="432" t="s">
        <v>41</v>
      </c>
      <c r="KCX1" s="404"/>
      <c r="KCY1" s="404"/>
      <c r="KCZ1" s="404"/>
      <c r="KDA1" s="404"/>
      <c r="KDB1" s="404"/>
      <c r="KDC1" s="404"/>
      <c r="KDD1" s="405"/>
      <c r="KDE1" s="432" t="s">
        <v>41</v>
      </c>
      <c r="KDF1" s="404"/>
      <c r="KDG1" s="404"/>
      <c r="KDH1" s="404"/>
      <c r="KDI1" s="404"/>
      <c r="KDJ1" s="404"/>
      <c r="KDK1" s="404"/>
      <c r="KDL1" s="405"/>
      <c r="KDM1" s="432" t="s">
        <v>41</v>
      </c>
      <c r="KDN1" s="404"/>
      <c r="KDO1" s="404"/>
      <c r="KDP1" s="404"/>
      <c r="KDQ1" s="404"/>
      <c r="KDR1" s="404"/>
      <c r="KDS1" s="404"/>
      <c r="KDT1" s="405"/>
      <c r="KDU1" s="432" t="s">
        <v>41</v>
      </c>
      <c r="KDV1" s="404"/>
      <c r="KDW1" s="404"/>
      <c r="KDX1" s="404"/>
      <c r="KDY1" s="404"/>
      <c r="KDZ1" s="404"/>
      <c r="KEA1" s="404"/>
      <c r="KEB1" s="405"/>
      <c r="KEC1" s="432" t="s">
        <v>41</v>
      </c>
      <c r="KED1" s="404"/>
      <c r="KEE1" s="404"/>
      <c r="KEF1" s="404"/>
      <c r="KEG1" s="404"/>
      <c r="KEH1" s="404"/>
      <c r="KEI1" s="404"/>
      <c r="KEJ1" s="405"/>
      <c r="KEK1" s="432" t="s">
        <v>41</v>
      </c>
      <c r="KEL1" s="404"/>
      <c r="KEM1" s="404"/>
      <c r="KEN1" s="404"/>
      <c r="KEO1" s="404"/>
      <c r="KEP1" s="404"/>
      <c r="KEQ1" s="404"/>
      <c r="KER1" s="405"/>
      <c r="KES1" s="432" t="s">
        <v>41</v>
      </c>
      <c r="KET1" s="404"/>
      <c r="KEU1" s="404"/>
      <c r="KEV1" s="404"/>
      <c r="KEW1" s="404"/>
      <c r="KEX1" s="404"/>
      <c r="KEY1" s="404"/>
      <c r="KEZ1" s="405"/>
      <c r="KFA1" s="432" t="s">
        <v>41</v>
      </c>
      <c r="KFB1" s="404"/>
      <c r="KFC1" s="404"/>
      <c r="KFD1" s="404"/>
      <c r="KFE1" s="404"/>
      <c r="KFF1" s="404"/>
      <c r="KFG1" s="404"/>
      <c r="KFH1" s="405"/>
      <c r="KFI1" s="432" t="s">
        <v>41</v>
      </c>
      <c r="KFJ1" s="404"/>
      <c r="KFK1" s="404"/>
      <c r="KFL1" s="404"/>
      <c r="KFM1" s="404"/>
      <c r="KFN1" s="404"/>
      <c r="KFO1" s="404"/>
      <c r="KFP1" s="405"/>
      <c r="KFQ1" s="432" t="s">
        <v>41</v>
      </c>
      <c r="KFR1" s="404"/>
      <c r="KFS1" s="404"/>
      <c r="KFT1" s="404"/>
      <c r="KFU1" s="404"/>
      <c r="KFV1" s="404"/>
      <c r="KFW1" s="404"/>
      <c r="KFX1" s="405"/>
      <c r="KFY1" s="432" t="s">
        <v>41</v>
      </c>
      <c r="KFZ1" s="404"/>
      <c r="KGA1" s="404"/>
      <c r="KGB1" s="404"/>
      <c r="KGC1" s="404"/>
      <c r="KGD1" s="404"/>
      <c r="KGE1" s="404"/>
      <c r="KGF1" s="405"/>
      <c r="KGG1" s="432" t="s">
        <v>41</v>
      </c>
      <c r="KGH1" s="404"/>
      <c r="KGI1" s="404"/>
      <c r="KGJ1" s="404"/>
      <c r="KGK1" s="404"/>
      <c r="KGL1" s="404"/>
      <c r="KGM1" s="404"/>
      <c r="KGN1" s="405"/>
      <c r="KGO1" s="432" t="s">
        <v>41</v>
      </c>
      <c r="KGP1" s="404"/>
      <c r="KGQ1" s="404"/>
      <c r="KGR1" s="404"/>
      <c r="KGS1" s="404"/>
      <c r="KGT1" s="404"/>
      <c r="KGU1" s="404"/>
      <c r="KGV1" s="405"/>
      <c r="KGW1" s="432" t="s">
        <v>41</v>
      </c>
      <c r="KGX1" s="404"/>
      <c r="KGY1" s="404"/>
      <c r="KGZ1" s="404"/>
      <c r="KHA1" s="404"/>
      <c r="KHB1" s="404"/>
      <c r="KHC1" s="404"/>
      <c r="KHD1" s="405"/>
      <c r="KHE1" s="432" t="s">
        <v>41</v>
      </c>
      <c r="KHF1" s="404"/>
      <c r="KHG1" s="404"/>
      <c r="KHH1" s="404"/>
      <c r="KHI1" s="404"/>
      <c r="KHJ1" s="404"/>
      <c r="KHK1" s="404"/>
      <c r="KHL1" s="405"/>
      <c r="KHM1" s="432" t="s">
        <v>41</v>
      </c>
      <c r="KHN1" s="404"/>
      <c r="KHO1" s="404"/>
      <c r="KHP1" s="404"/>
      <c r="KHQ1" s="404"/>
      <c r="KHR1" s="404"/>
      <c r="KHS1" s="404"/>
      <c r="KHT1" s="405"/>
      <c r="KHU1" s="432" t="s">
        <v>41</v>
      </c>
      <c r="KHV1" s="404"/>
      <c r="KHW1" s="404"/>
      <c r="KHX1" s="404"/>
      <c r="KHY1" s="404"/>
      <c r="KHZ1" s="404"/>
      <c r="KIA1" s="404"/>
      <c r="KIB1" s="405"/>
      <c r="KIC1" s="432" t="s">
        <v>41</v>
      </c>
      <c r="KID1" s="404"/>
      <c r="KIE1" s="404"/>
      <c r="KIF1" s="404"/>
      <c r="KIG1" s="404"/>
      <c r="KIH1" s="404"/>
      <c r="KII1" s="404"/>
      <c r="KIJ1" s="405"/>
      <c r="KIK1" s="432" t="s">
        <v>41</v>
      </c>
      <c r="KIL1" s="404"/>
      <c r="KIM1" s="404"/>
      <c r="KIN1" s="404"/>
      <c r="KIO1" s="404"/>
      <c r="KIP1" s="404"/>
      <c r="KIQ1" s="404"/>
      <c r="KIR1" s="405"/>
      <c r="KIS1" s="432" t="s">
        <v>41</v>
      </c>
      <c r="KIT1" s="404"/>
      <c r="KIU1" s="404"/>
      <c r="KIV1" s="404"/>
      <c r="KIW1" s="404"/>
      <c r="KIX1" s="404"/>
      <c r="KIY1" s="404"/>
      <c r="KIZ1" s="405"/>
      <c r="KJA1" s="432" t="s">
        <v>41</v>
      </c>
      <c r="KJB1" s="404"/>
      <c r="KJC1" s="404"/>
      <c r="KJD1" s="404"/>
      <c r="KJE1" s="404"/>
      <c r="KJF1" s="404"/>
      <c r="KJG1" s="404"/>
      <c r="KJH1" s="405"/>
      <c r="KJI1" s="432" t="s">
        <v>41</v>
      </c>
      <c r="KJJ1" s="404"/>
      <c r="KJK1" s="404"/>
      <c r="KJL1" s="404"/>
      <c r="KJM1" s="404"/>
      <c r="KJN1" s="404"/>
      <c r="KJO1" s="404"/>
      <c r="KJP1" s="405"/>
      <c r="KJQ1" s="432" t="s">
        <v>41</v>
      </c>
      <c r="KJR1" s="404"/>
      <c r="KJS1" s="404"/>
      <c r="KJT1" s="404"/>
      <c r="KJU1" s="404"/>
      <c r="KJV1" s="404"/>
      <c r="KJW1" s="404"/>
      <c r="KJX1" s="405"/>
      <c r="KJY1" s="432" t="s">
        <v>41</v>
      </c>
      <c r="KJZ1" s="404"/>
      <c r="KKA1" s="404"/>
      <c r="KKB1" s="404"/>
      <c r="KKC1" s="404"/>
      <c r="KKD1" s="404"/>
      <c r="KKE1" s="404"/>
      <c r="KKF1" s="405"/>
      <c r="KKG1" s="432" t="s">
        <v>41</v>
      </c>
      <c r="KKH1" s="404"/>
      <c r="KKI1" s="404"/>
      <c r="KKJ1" s="404"/>
      <c r="KKK1" s="404"/>
      <c r="KKL1" s="404"/>
      <c r="KKM1" s="404"/>
      <c r="KKN1" s="405"/>
      <c r="KKO1" s="432" t="s">
        <v>41</v>
      </c>
      <c r="KKP1" s="404"/>
      <c r="KKQ1" s="404"/>
      <c r="KKR1" s="404"/>
      <c r="KKS1" s="404"/>
      <c r="KKT1" s="404"/>
      <c r="KKU1" s="404"/>
      <c r="KKV1" s="405"/>
      <c r="KKW1" s="432" t="s">
        <v>41</v>
      </c>
      <c r="KKX1" s="404"/>
      <c r="KKY1" s="404"/>
      <c r="KKZ1" s="404"/>
      <c r="KLA1" s="404"/>
      <c r="KLB1" s="404"/>
      <c r="KLC1" s="404"/>
      <c r="KLD1" s="405"/>
      <c r="KLE1" s="432" t="s">
        <v>41</v>
      </c>
      <c r="KLF1" s="404"/>
      <c r="KLG1" s="404"/>
      <c r="KLH1" s="404"/>
      <c r="KLI1" s="404"/>
      <c r="KLJ1" s="404"/>
      <c r="KLK1" s="404"/>
      <c r="KLL1" s="405"/>
      <c r="KLM1" s="432" t="s">
        <v>41</v>
      </c>
      <c r="KLN1" s="404"/>
      <c r="KLO1" s="404"/>
      <c r="KLP1" s="404"/>
      <c r="KLQ1" s="404"/>
      <c r="KLR1" s="404"/>
      <c r="KLS1" s="404"/>
      <c r="KLT1" s="405"/>
      <c r="KLU1" s="432" t="s">
        <v>41</v>
      </c>
      <c r="KLV1" s="404"/>
      <c r="KLW1" s="404"/>
      <c r="KLX1" s="404"/>
      <c r="KLY1" s="404"/>
      <c r="KLZ1" s="404"/>
      <c r="KMA1" s="404"/>
      <c r="KMB1" s="405"/>
      <c r="KMC1" s="432" t="s">
        <v>41</v>
      </c>
      <c r="KMD1" s="404"/>
      <c r="KME1" s="404"/>
      <c r="KMF1" s="404"/>
      <c r="KMG1" s="404"/>
      <c r="KMH1" s="404"/>
      <c r="KMI1" s="404"/>
      <c r="KMJ1" s="405"/>
      <c r="KMK1" s="432" t="s">
        <v>41</v>
      </c>
      <c r="KML1" s="404"/>
      <c r="KMM1" s="404"/>
      <c r="KMN1" s="404"/>
      <c r="KMO1" s="404"/>
      <c r="KMP1" s="404"/>
      <c r="KMQ1" s="404"/>
      <c r="KMR1" s="405"/>
      <c r="KMS1" s="432" t="s">
        <v>41</v>
      </c>
      <c r="KMT1" s="404"/>
      <c r="KMU1" s="404"/>
      <c r="KMV1" s="404"/>
      <c r="KMW1" s="404"/>
      <c r="KMX1" s="404"/>
      <c r="KMY1" s="404"/>
      <c r="KMZ1" s="405"/>
      <c r="KNA1" s="432" t="s">
        <v>41</v>
      </c>
      <c r="KNB1" s="404"/>
      <c r="KNC1" s="404"/>
      <c r="KND1" s="404"/>
      <c r="KNE1" s="404"/>
      <c r="KNF1" s="404"/>
      <c r="KNG1" s="404"/>
      <c r="KNH1" s="405"/>
      <c r="KNI1" s="432" t="s">
        <v>41</v>
      </c>
      <c r="KNJ1" s="404"/>
      <c r="KNK1" s="404"/>
      <c r="KNL1" s="404"/>
      <c r="KNM1" s="404"/>
      <c r="KNN1" s="404"/>
      <c r="KNO1" s="404"/>
      <c r="KNP1" s="405"/>
      <c r="KNQ1" s="432" t="s">
        <v>41</v>
      </c>
      <c r="KNR1" s="404"/>
      <c r="KNS1" s="404"/>
      <c r="KNT1" s="404"/>
      <c r="KNU1" s="404"/>
      <c r="KNV1" s="404"/>
      <c r="KNW1" s="404"/>
      <c r="KNX1" s="405"/>
      <c r="KNY1" s="432" t="s">
        <v>41</v>
      </c>
      <c r="KNZ1" s="404"/>
      <c r="KOA1" s="404"/>
      <c r="KOB1" s="404"/>
      <c r="KOC1" s="404"/>
      <c r="KOD1" s="404"/>
      <c r="KOE1" s="404"/>
      <c r="KOF1" s="405"/>
      <c r="KOG1" s="432" t="s">
        <v>41</v>
      </c>
      <c r="KOH1" s="404"/>
      <c r="KOI1" s="404"/>
      <c r="KOJ1" s="404"/>
      <c r="KOK1" s="404"/>
      <c r="KOL1" s="404"/>
      <c r="KOM1" s="404"/>
      <c r="KON1" s="405"/>
      <c r="KOO1" s="432" t="s">
        <v>41</v>
      </c>
      <c r="KOP1" s="404"/>
      <c r="KOQ1" s="404"/>
      <c r="KOR1" s="404"/>
      <c r="KOS1" s="404"/>
      <c r="KOT1" s="404"/>
      <c r="KOU1" s="404"/>
      <c r="KOV1" s="405"/>
      <c r="KOW1" s="432" t="s">
        <v>41</v>
      </c>
      <c r="KOX1" s="404"/>
      <c r="KOY1" s="404"/>
      <c r="KOZ1" s="404"/>
      <c r="KPA1" s="404"/>
      <c r="KPB1" s="404"/>
      <c r="KPC1" s="404"/>
      <c r="KPD1" s="405"/>
      <c r="KPE1" s="432" t="s">
        <v>41</v>
      </c>
      <c r="KPF1" s="404"/>
      <c r="KPG1" s="404"/>
      <c r="KPH1" s="404"/>
      <c r="KPI1" s="404"/>
      <c r="KPJ1" s="404"/>
      <c r="KPK1" s="404"/>
      <c r="KPL1" s="405"/>
      <c r="KPM1" s="432" t="s">
        <v>41</v>
      </c>
      <c r="KPN1" s="404"/>
      <c r="KPO1" s="404"/>
      <c r="KPP1" s="404"/>
      <c r="KPQ1" s="404"/>
      <c r="KPR1" s="404"/>
      <c r="KPS1" s="404"/>
      <c r="KPT1" s="405"/>
      <c r="KPU1" s="432" t="s">
        <v>41</v>
      </c>
      <c r="KPV1" s="404"/>
      <c r="KPW1" s="404"/>
      <c r="KPX1" s="404"/>
      <c r="KPY1" s="404"/>
      <c r="KPZ1" s="404"/>
      <c r="KQA1" s="404"/>
      <c r="KQB1" s="405"/>
      <c r="KQC1" s="432" t="s">
        <v>41</v>
      </c>
      <c r="KQD1" s="404"/>
      <c r="KQE1" s="404"/>
      <c r="KQF1" s="404"/>
      <c r="KQG1" s="404"/>
      <c r="KQH1" s="404"/>
      <c r="KQI1" s="404"/>
      <c r="KQJ1" s="405"/>
      <c r="KQK1" s="432" t="s">
        <v>41</v>
      </c>
      <c r="KQL1" s="404"/>
      <c r="KQM1" s="404"/>
      <c r="KQN1" s="404"/>
      <c r="KQO1" s="404"/>
      <c r="KQP1" s="404"/>
      <c r="KQQ1" s="404"/>
      <c r="KQR1" s="405"/>
      <c r="KQS1" s="432" t="s">
        <v>41</v>
      </c>
      <c r="KQT1" s="404"/>
      <c r="KQU1" s="404"/>
      <c r="KQV1" s="404"/>
      <c r="KQW1" s="404"/>
      <c r="KQX1" s="404"/>
      <c r="KQY1" s="404"/>
      <c r="KQZ1" s="405"/>
      <c r="KRA1" s="432" t="s">
        <v>41</v>
      </c>
      <c r="KRB1" s="404"/>
      <c r="KRC1" s="404"/>
      <c r="KRD1" s="404"/>
      <c r="KRE1" s="404"/>
      <c r="KRF1" s="404"/>
      <c r="KRG1" s="404"/>
      <c r="KRH1" s="405"/>
      <c r="KRI1" s="432" t="s">
        <v>41</v>
      </c>
      <c r="KRJ1" s="404"/>
      <c r="KRK1" s="404"/>
      <c r="KRL1" s="404"/>
      <c r="KRM1" s="404"/>
      <c r="KRN1" s="404"/>
      <c r="KRO1" s="404"/>
      <c r="KRP1" s="405"/>
      <c r="KRQ1" s="432" t="s">
        <v>41</v>
      </c>
      <c r="KRR1" s="404"/>
      <c r="KRS1" s="404"/>
      <c r="KRT1" s="404"/>
      <c r="KRU1" s="404"/>
      <c r="KRV1" s="404"/>
      <c r="KRW1" s="404"/>
      <c r="KRX1" s="405"/>
      <c r="KRY1" s="432" t="s">
        <v>41</v>
      </c>
      <c r="KRZ1" s="404"/>
      <c r="KSA1" s="404"/>
      <c r="KSB1" s="404"/>
      <c r="KSC1" s="404"/>
      <c r="KSD1" s="404"/>
      <c r="KSE1" s="404"/>
      <c r="KSF1" s="405"/>
      <c r="KSG1" s="432" t="s">
        <v>41</v>
      </c>
      <c r="KSH1" s="404"/>
      <c r="KSI1" s="404"/>
      <c r="KSJ1" s="404"/>
      <c r="KSK1" s="404"/>
      <c r="KSL1" s="404"/>
      <c r="KSM1" s="404"/>
      <c r="KSN1" s="405"/>
      <c r="KSO1" s="432" t="s">
        <v>41</v>
      </c>
      <c r="KSP1" s="404"/>
      <c r="KSQ1" s="404"/>
      <c r="KSR1" s="404"/>
      <c r="KSS1" s="404"/>
      <c r="KST1" s="404"/>
      <c r="KSU1" s="404"/>
      <c r="KSV1" s="405"/>
      <c r="KSW1" s="432" t="s">
        <v>41</v>
      </c>
      <c r="KSX1" s="404"/>
      <c r="KSY1" s="404"/>
      <c r="KSZ1" s="404"/>
      <c r="KTA1" s="404"/>
      <c r="KTB1" s="404"/>
      <c r="KTC1" s="404"/>
      <c r="KTD1" s="405"/>
      <c r="KTE1" s="432" t="s">
        <v>41</v>
      </c>
      <c r="KTF1" s="404"/>
      <c r="KTG1" s="404"/>
      <c r="KTH1" s="404"/>
      <c r="KTI1" s="404"/>
      <c r="KTJ1" s="404"/>
      <c r="KTK1" s="404"/>
      <c r="KTL1" s="405"/>
      <c r="KTM1" s="432" t="s">
        <v>41</v>
      </c>
      <c r="KTN1" s="404"/>
      <c r="KTO1" s="404"/>
      <c r="KTP1" s="404"/>
      <c r="KTQ1" s="404"/>
      <c r="KTR1" s="404"/>
      <c r="KTS1" s="404"/>
      <c r="KTT1" s="405"/>
      <c r="KTU1" s="432" t="s">
        <v>41</v>
      </c>
      <c r="KTV1" s="404"/>
      <c r="KTW1" s="404"/>
      <c r="KTX1" s="404"/>
      <c r="KTY1" s="404"/>
      <c r="KTZ1" s="404"/>
      <c r="KUA1" s="404"/>
      <c r="KUB1" s="405"/>
      <c r="KUC1" s="432" t="s">
        <v>41</v>
      </c>
      <c r="KUD1" s="404"/>
      <c r="KUE1" s="404"/>
      <c r="KUF1" s="404"/>
      <c r="KUG1" s="404"/>
      <c r="KUH1" s="404"/>
      <c r="KUI1" s="404"/>
      <c r="KUJ1" s="405"/>
      <c r="KUK1" s="432" t="s">
        <v>41</v>
      </c>
      <c r="KUL1" s="404"/>
      <c r="KUM1" s="404"/>
      <c r="KUN1" s="404"/>
      <c r="KUO1" s="404"/>
      <c r="KUP1" s="404"/>
      <c r="KUQ1" s="404"/>
      <c r="KUR1" s="405"/>
      <c r="KUS1" s="432" t="s">
        <v>41</v>
      </c>
      <c r="KUT1" s="404"/>
      <c r="KUU1" s="404"/>
      <c r="KUV1" s="404"/>
      <c r="KUW1" s="404"/>
      <c r="KUX1" s="404"/>
      <c r="KUY1" s="404"/>
      <c r="KUZ1" s="405"/>
      <c r="KVA1" s="432" t="s">
        <v>41</v>
      </c>
      <c r="KVB1" s="404"/>
      <c r="KVC1" s="404"/>
      <c r="KVD1" s="404"/>
      <c r="KVE1" s="404"/>
      <c r="KVF1" s="404"/>
      <c r="KVG1" s="404"/>
      <c r="KVH1" s="405"/>
      <c r="KVI1" s="432" t="s">
        <v>41</v>
      </c>
      <c r="KVJ1" s="404"/>
      <c r="KVK1" s="404"/>
      <c r="KVL1" s="404"/>
      <c r="KVM1" s="404"/>
      <c r="KVN1" s="404"/>
      <c r="KVO1" s="404"/>
      <c r="KVP1" s="405"/>
      <c r="KVQ1" s="432" t="s">
        <v>41</v>
      </c>
      <c r="KVR1" s="404"/>
      <c r="KVS1" s="404"/>
      <c r="KVT1" s="404"/>
      <c r="KVU1" s="404"/>
      <c r="KVV1" s="404"/>
      <c r="KVW1" s="404"/>
      <c r="KVX1" s="405"/>
      <c r="KVY1" s="432" t="s">
        <v>41</v>
      </c>
      <c r="KVZ1" s="404"/>
      <c r="KWA1" s="404"/>
      <c r="KWB1" s="404"/>
      <c r="KWC1" s="404"/>
      <c r="KWD1" s="404"/>
      <c r="KWE1" s="404"/>
      <c r="KWF1" s="405"/>
      <c r="KWG1" s="432" t="s">
        <v>41</v>
      </c>
      <c r="KWH1" s="404"/>
      <c r="KWI1" s="404"/>
      <c r="KWJ1" s="404"/>
      <c r="KWK1" s="404"/>
      <c r="KWL1" s="404"/>
      <c r="KWM1" s="404"/>
      <c r="KWN1" s="405"/>
      <c r="KWO1" s="432" t="s">
        <v>41</v>
      </c>
      <c r="KWP1" s="404"/>
      <c r="KWQ1" s="404"/>
      <c r="KWR1" s="404"/>
      <c r="KWS1" s="404"/>
      <c r="KWT1" s="404"/>
      <c r="KWU1" s="404"/>
      <c r="KWV1" s="405"/>
      <c r="KWW1" s="432" t="s">
        <v>41</v>
      </c>
      <c r="KWX1" s="404"/>
      <c r="KWY1" s="404"/>
      <c r="KWZ1" s="404"/>
      <c r="KXA1" s="404"/>
      <c r="KXB1" s="404"/>
      <c r="KXC1" s="404"/>
      <c r="KXD1" s="405"/>
      <c r="KXE1" s="432" t="s">
        <v>41</v>
      </c>
      <c r="KXF1" s="404"/>
      <c r="KXG1" s="404"/>
      <c r="KXH1" s="404"/>
      <c r="KXI1" s="404"/>
      <c r="KXJ1" s="404"/>
      <c r="KXK1" s="404"/>
      <c r="KXL1" s="405"/>
      <c r="KXM1" s="432" t="s">
        <v>41</v>
      </c>
      <c r="KXN1" s="404"/>
      <c r="KXO1" s="404"/>
      <c r="KXP1" s="404"/>
      <c r="KXQ1" s="404"/>
      <c r="KXR1" s="404"/>
      <c r="KXS1" s="404"/>
      <c r="KXT1" s="405"/>
      <c r="KXU1" s="432" t="s">
        <v>41</v>
      </c>
      <c r="KXV1" s="404"/>
      <c r="KXW1" s="404"/>
      <c r="KXX1" s="404"/>
      <c r="KXY1" s="404"/>
      <c r="KXZ1" s="404"/>
      <c r="KYA1" s="404"/>
      <c r="KYB1" s="405"/>
      <c r="KYC1" s="432" t="s">
        <v>41</v>
      </c>
      <c r="KYD1" s="404"/>
      <c r="KYE1" s="404"/>
      <c r="KYF1" s="404"/>
      <c r="KYG1" s="404"/>
      <c r="KYH1" s="404"/>
      <c r="KYI1" s="404"/>
      <c r="KYJ1" s="405"/>
      <c r="KYK1" s="432" t="s">
        <v>41</v>
      </c>
      <c r="KYL1" s="404"/>
      <c r="KYM1" s="404"/>
      <c r="KYN1" s="404"/>
      <c r="KYO1" s="404"/>
      <c r="KYP1" s="404"/>
      <c r="KYQ1" s="404"/>
      <c r="KYR1" s="405"/>
      <c r="KYS1" s="432" t="s">
        <v>41</v>
      </c>
      <c r="KYT1" s="404"/>
      <c r="KYU1" s="404"/>
      <c r="KYV1" s="404"/>
      <c r="KYW1" s="404"/>
      <c r="KYX1" s="404"/>
      <c r="KYY1" s="404"/>
      <c r="KYZ1" s="405"/>
      <c r="KZA1" s="432" t="s">
        <v>41</v>
      </c>
      <c r="KZB1" s="404"/>
      <c r="KZC1" s="404"/>
      <c r="KZD1" s="404"/>
      <c r="KZE1" s="404"/>
      <c r="KZF1" s="404"/>
      <c r="KZG1" s="404"/>
      <c r="KZH1" s="405"/>
      <c r="KZI1" s="432" t="s">
        <v>41</v>
      </c>
      <c r="KZJ1" s="404"/>
      <c r="KZK1" s="404"/>
      <c r="KZL1" s="404"/>
      <c r="KZM1" s="404"/>
      <c r="KZN1" s="404"/>
      <c r="KZO1" s="404"/>
      <c r="KZP1" s="405"/>
      <c r="KZQ1" s="432" t="s">
        <v>41</v>
      </c>
      <c r="KZR1" s="404"/>
      <c r="KZS1" s="404"/>
      <c r="KZT1" s="404"/>
      <c r="KZU1" s="404"/>
      <c r="KZV1" s="404"/>
      <c r="KZW1" s="404"/>
      <c r="KZX1" s="405"/>
      <c r="KZY1" s="432" t="s">
        <v>41</v>
      </c>
      <c r="KZZ1" s="404"/>
      <c r="LAA1" s="404"/>
      <c r="LAB1" s="404"/>
      <c r="LAC1" s="404"/>
      <c r="LAD1" s="404"/>
      <c r="LAE1" s="404"/>
      <c r="LAF1" s="405"/>
      <c r="LAG1" s="432" t="s">
        <v>41</v>
      </c>
      <c r="LAH1" s="404"/>
      <c r="LAI1" s="404"/>
      <c r="LAJ1" s="404"/>
      <c r="LAK1" s="404"/>
      <c r="LAL1" s="404"/>
      <c r="LAM1" s="404"/>
      <c r="LAN1" s="405"/>
      <c r="LAO1" s="432" t="s">
        <v>41</v>
      </c>
      <c r="LAP1" s="404"/>
      <c r="LAQ1" s="404"/>
      <c r="LAR1" s="404"/>
      <c r="LAS1" s="404"/>
      <c r="LAT1" s="404"/>
      <c r="LAU1" s="404"/>
      <c r="LAV1" s="405"/>
      <c r="LAW1" s="432" t="s">
        <v>41</v>
      </c>
      <c r="LAX1" s="404"/>
      <c r="LAY1" s="404"/>
      <c r="LAZ1" s="404"/>
      <c r="LBA1" s="404"/>
      <c r="LBB1" s="404"/>
      <c r="LBC1" s="404"/>
      <c r="LBD1" s="405"/>
      <c r="LBE1" s="432" t="s">
        <v>41</v>
      </c>
      <c r="LBF1" s="404"/>
      <c r="LBG1" s="404"/>
      <c r="LBH1" s="404"/>
      <c r="LBI1" s="404"/>
      <c r="LBJ1" s="404"/>
      <c r="LBK1" s="404"/>
      <c r="LBL1" s="405"/>
      <c r="LBM1" s="432" t="s">
        <v>41</v>
      </c>
      <c r="LBN1" s="404"/>
      <c r="LBO1" s="404"/>
      <c r="LBP1" s="404"/>
      <c r="LBQ1" s="404"/>
      <c r="LBR1" s="404"/>
      <c r="LBS1" s="404"/>
      <c r="LBT1" s="405"/>
      <c r="LBU1" s="432" t="s">
        <v>41</v>
      </c>
      <c r="LBV1" s="404"/>
      <c r="LBW1" s="404"/>
      <c r="LBX1" s="404"/>
      <c r="LBY1" s="404"/>
      <c r="LBZ1" s="404"/>
      <c r="LCA1" s="404"/>
      <c r="LCB1" s="405"/>
      <c r="LCC1" s="432" t="s">
        <v>41</v>
      </c>
      <c r="LCD1" s="404"/>
      <c r="LCE1" s="404"/>
      <c r="LCF1" s="404"/>
      <c r="LCG1" s="404"/>
      <c r="LCH1" s="404"/>
      <c r="LCI1" s="404"/>
      <c r="LCJ1" s="405"/>
      <c r="LCK1" s="432" t="s">
        <v>41</v>
      </c>
      <c r="LCL1" s="404"/>
      <c r="LCM1" s="404"/>
      <c r="LCN1" s="404"/>
      <c r="LCO1" s="404"/>
      <c r="LCP1" s="404"/>
      <c r="LCQ1" s="404"/>
      <c r="LCR1" s="405"/>
      <c r="LCS1" s="432" t="s">
        <v>41</v>
      </c>
      <c r="LCT1" s="404"/>
      <c r="LCU1" s="404"/>
      <c r="LCV1" s="404"/>
      <c r="LCW1" s="404"/>
      <c r="LCX1" s="404"/>
      <c r="LCY1" s="404"/>
      <c r="LCZ1" s="405"/>
      <c r="LDA1" s="432" t="s">
        <v>41</v>
      </c>
      <c r="LDB1" s="404"/>
      <c r="LDC1" s="404"/>
      <c r="LDD1" s="404"/>
      <c r="LDE1" s="404"/>
      <c r="LDF1" s="404"/>
      <c r="LDG1" s="404"/>
      <c r="LDH1" s="405"/>
      <c r="LDI1" s="432" t="s">
        <v>41</v>
      </c>
      <c r="LDJ1" s="404"/>
      <c r="LDK1" s="404"/>
      <c r="LDL1" s="404"/>
      <c r="LDM1" s="404"/>
      <c r="LDN1" s="404"/>
      <c r="LDO1" s="404"/>
      <c r="LDP1" s="405"/>
      <c r="LDQ1" s="432" t="s">
        <v>41</v>
      </c>
      <c r="LDR1" s="404"/>
      <c r="LDS1" s="404"/>
      <c r="LDT1" s="404"/>
      <c r="LDU1" s="404"/>
      <c r="LDV1" s="404"/>
      <c r="LDW1" s="404"/>
      <c r="LDX1" s="405"/>
      <c r="LDY1" s="432" t="s">
        <v>41</v>
      </c>
      <c r="LDZ1" s="404"/>
      <c r="LEA1" s="404"/>
      <c r="LEB1" s="404"/>
      <c r="LEC1" s="404"/>
      <c r="LED1" s="404"/>
      <c r="LEE1" s="404"/>
      <c r="LEF1" s="405"/>
      <c r="LEG1" s="432" t="s">
        <v>41</v>
      </c>
      <c r="LEH1" s="404"/>
      <c r="LEI1" s="404"/>
      <c r="LEJ1" s="404"/>
      <c r="LEK1" s="404"/>
      <c r="LEL1" s="404"/>
      <c r="LEM1" s="404"/>
      <c r="LEN1" s="405"/>
      <c r="LEO1" s="432" t="s">
        <v>41</v>
      </c>
      <c r="LEP1" s="404"/>
      <c r="LEQ1" s="404"/>
      <c r="LER1" s="404"/>
      <c r="LES1" s="404"/>
      <c r="LET1" s="404"/>
      <c r="LEU1" s="404"/>
      <c r="LEV1" s="405"/>
      <c r="LEW1" s="432" t="s">
        <v>41</v>
      </c>
      <c r="LEX1" s="404"/>
      <c r="LEY1" s="404"/>
      <c r="LEZ1" s="404"/>
      <c r="LFA1" s="404"/>
      <c r="LFB1" s="404"/>
      <c r="LFC1" s="404"/>
      <c r="LFD1" s="405"/>
      <c r="LFE1" s="432" t="s">
        <v>41</v>
      </c>
      <c r="LFF1" s="404"/>
      <c r="LFG1" s="404"/>
      <c r="LFH1" s="404"/>
      <c r="LFI1" s="404"/>
      <c r="LFJ1" s="404"/>
      <c r="LFK1" s="404"/>
      <c r="LFL1" s="405"/>
      <c r="LFM1" s="432" t="s">
        <v>41</v>
      </c>
      <c r="LFN1" s="404"/>
      <c r="LFO1" s="404"/>
      <c r="LFP1" s="404"/>
      <c r="LFQ1" s="404"/>
      <c r="LFR1" s="404"/>
      <c r="LFS1" s="404"/>
      <c r="LFT1" s="405"/>
      <c r="LFU1" s="432" t="s">
        <v>41</v>
      </c>
      <c r="LFV1" s="404"/>
      <c r="LFW1" s="404"/>
      <c r="LFX1" s="404"/>
      <c r="LFY1" s="404"/>
      <c r="LFZ1" s="404"/>
      <c r="LGA1" s="404"/>
      <c r="LGB1" s="405"/>
      <c r="LGC1" s="432" t="s">
        <v>41</v>
      </c>
      <c r="LGD1" s="404"/>
      <c r="LGE1" s="404"/>
      <c r="LGF1" s="404"/>
      <c r="LGG1" s="404"/>
      <c r="LGH1" s="404"/>
      <c r="LGI1" s="404"/>
      <c r="LGJ1" s="405"/>
      <c r="LGK1" s="432" t="s">
        <v>41</v>
      </c>
      <c r="LGL1" s="404"/>
      <c r="LGM1" s="404"/>
      <c r="LGN1" s="404"/>
      <c r="LGO1" s="404"/>
      <c r="LGP1" s="404"/>
      <c r="LGQ1" s="404"/>
      <c r="LGR1" s="405"/>
      <c r="LGS1" s="432" t="s">
        <v>41</v>
      </c>
      <c r="LGT1" s="404"/>
      <c r="LGU1" s="404"/>
      <c r="LGV1" s="404"/>
      <c r="LGW1" s="404"/>
      <c r="LGX1" s="404"/>
      <c r="LGY1" s="404"/>
      <c r="LGZ1" s="405"/>
      <c r="LHA1" s="432" t="s">
        <v>41</v>
      </c>
      <c r="LHB1" s="404"/>
      <c r="LHC1" s="404"/>
      <c r="LHD1" s="404"/>
      <c r="LHE1" s="404"/>
      <c r="LHF1" s="404"/>
      <c r="LHG1" s="404"/>
      <c r="LHH1" s="405"/>
      <c r="LHI1" s="432" t="s">
        <v>41</v>
      </c>
      <c r="LHJ1" s="404"/>
      <c r="LHK1" s="404"/>
      <c r="LHL1" s="404"/>
      <c r="LHM1" s="404"/>
      <c r="LHN1" s="404"/>
      <c r="LHO1" s="404"/>
      <c r="LHP1" s="405"/>
      <c r="LHQ1" s="432" t="s">
        <v>41</v>
      </c>
      <c r="LHR1" s="404"/>
      <c r="LHS1" s="404"/>
      <c r="LHT1" s="404"/>
      <c r="LHU1" s="404"/>
      <c r="LHV1" s="404"/>
      <c r="LHW1" s="404"/>
      <c r="LHX1" s="405"/>
      <c r="LHY1" s="432" t="s">
        <v>41</v>
      </c>
      <c r="LHZ1" s="404"/>
      <c r="LIA1" s="404"/>
      <c r="LIB1" s="404"/>
      <c r="LIC1" s="404"/>
      <c r="LID1" s="404"/>
      <c r="LIE1" s="404"/>
      <c r="LIF1" s="405"/>
      <c r="LIG1" s="432" t="s">
        <v>41</v>
      </c>
      <c r="LIH1" s="404"/>
      <c r="LII1" s="404"/>
      <c r="LIJ1" s="404"/>
      <c r="LIK1" s="404"/>
      <c r="LIL1" s="404"/>
      <c r="LIM1" s="404"/>
      <c r="LIN1" s="405"/>
      <c r="LIO1" s="432" t="s">
        <v>41</v>
      </c>
      <c r="LIP1" s="404"/>
      <c r="LIQ1" s="404"/>
      <c r="LIR1" s="404"/>
      <c r="LIS1" s="404"/>
      <c r="LIT1" s="404"/>
      <c r="LIU1" s="404"/>
      <c r="LIV1" s="405"/>
      <c r="LIW1" s="432" t="s">
        <v>41</v>
      </c>
      <c r="LIX1" s="404"/>
      <c r="LIY1" s="404"/>
      <c r="LIZ1" s="404"/>
      <c r="LJA1" s="404"/>
      <c r="LJB1" s="404"/>
      <c r="LJC1" s="404"/>
      <c r="LJD1" s="405"/>
      <c r="LJE1" s="432" t="s">
        <v>41</v>
      </c>
      <c r="LJF1" s="404"/>
      <c r="LJG1" s="404"/>
      <c r="LJH1" s="404"/>
      <c r="LJI1" s="404"/>
      <c r="LJJ1" s="404"/>
      <c r="LJK1" s="404"/>
      <c r="LJL1" s="405"/>
      <c r="LJM1" s="432" t="s">
        <v>41</v>
      </c>
      <c r="LJN1" s="404"/>
      <c r="LJO1" s="404"/>
      <c r="LJP1" s="404"/>
      <c r="LJQ1" s="404"/>
      <c r="LJR1" s="404"/>
      <c r="LJS1" s="404"/>
      <c r="LJT1" s="405"/>
      <c r="LJU1" s="432" t="s">
        <v>41</v>
      </c>
      <c r="LJV1" s="404"/>
      <c r="LJW1" s="404"/>
      <c r="LJX1" s="404"/>
      <c r="LJY1" s="404"/>
      <c r="LJZ1" s="404"/>
      <c r="LKA1" s="404"/>
      <c r="LKB1" s="405"/>
      <c r="LKC1" s="432" t="s">
        <v>41</v>
      </c>
      <c r="LKD1" s="404"/>
      <c r="LKE1" s="404"/>
      <c r="LKF1" s="404"/>
      <c r="LKG1" s="404"/>
      <c r="LKH1" s="404"/>
      <c r="LKI1" s="404"/>
      <c r="LKJ1" s="405"/>
      <c r="LKK1" s="432" t="s">
        <v>41</v>
      </c>
      <c r="LKL1" s="404"/>
      <c r="LKM1" s="404"/>
      <c r="LKN1" s="404"/>
      <c r="LKO1" s="404"/>
      <c r="LKP1" s="404"/>
      <c r="LKQ1" s="404"/>
      <c r="LKR1" s="405"/>
      <c r="LKS1" s="432" t="s">
        <v>41</v>
      </c>
      <c r="LKT1" s="404"/>
      <c r="LKU1" s="404"/>
      <c r="LKV1" s="404"/>
      <c r="LKW1" s="404"/>
      <c r="LKX1" s="404"/>
      <c r="LKY1" s="404"/>
      <c r="LKZ1" s="405"/>
      <c r="LLA1" s="432" t="s">
        <v>41</v>
      </c>
      <c r="LLB1" s="404"/>
      <c r="LLC1" s="404"/>
      <c r="LLD1" s="404"/>
      <c r="LLE1" s="404"/>
      <c r="LLF1" s="404"/>
      <c r="LLG1" s="404"/>
      <c r="LLH1" s="405"/>
      <c r="LLI1" s="432" t="s">
        <v>41</v>
      </c>
      <c r="LLJ1" s="404"/>
      <c r="LLK1" s="404"/>
      <c r="LLL1" s="404"/>
      <c r="LLM1" s="404"/>
      <c r="LLN1" s="404"/>
      <c r="LLO1" s="404"/>
      <c r="LLP1" s="405"/>
      <c r="LLQ1" s="432" t="s">
        <v>41</v>
      </c>
      <c r="LLR1" s="404"/>
      <c r="LLS1" s="404"/>
      <c r="LLT1" s="404"/>
      <c r="LLU1" s="404"/>
      <c r="LLV1" s="404"/>
      <c r="LLW1" s="404"/>
      <c r="LLX1" s="405"/>
      <c r="LLY1" s="432" t="s">
        <v>41</v>
      </c>
      <c r="LLZ1" s="404"/>
      <c r="LMA1" s="404"/>
      <c r="LMB1" s="404"/>
      <c r="LMC1" s="404"/>
      <c r="LMD1" s="404"/>
      <c r="LME1" s="404"/>
      <c r="LMF1" s="405"/>
      <c r="LMG1" s="432" t="s">
        <v>41</v>
      </c>
      <c r="LMH1" s="404"/>
      <c r="LMI1" s="404"/>
      <c r="LMJ1" s="404"/>
      <c r="LMK1" s="404"/>
      <c r="LML1" s="404"/>
      <c r="LMM1" s="404"/>
      <c r="LMN1" s="405"/>
      <c r="LMO1" s="432" t="s">
        <v>41</v>
      </c>
      <c r="LMP1" s="404"/>
      <c r="LMQ1" s="404"/>
      <c r="LMR1" s="404"/>
      <c r="LMS1" s="404"/>
      <c r="LMT1" s="404"/>
      <c r="LMU1" s="404"/>
      <c r="LMV1" s="405"/>
      <c r="LMW1" s="432" t="s">
        <v>41</v>
      </c>
      <c r="LMX1" s="404"/>
      <c r="LMY1" s="404"/>
      <c r="LMZ1" s="404"/>
      <c r="LNA1" s="404"/>
      <c r="LNB1" s="404"/>
      <c r="LNC1" s="404"/>
      <c r="LND1" s="405"/>
      <c r="LNE1" s="432" t="s">
        <v>41</v>
      </c>
      <c r="LNF1" s="404"/>
      <c r="LNG1" s="404"/>
      <c r="LNH1" s="404"/>
      <c r="LNI1" s="404"/>
      <c r="LNJ1" s="404"/>
      <c r="LNK1" s="404"/>
      <c r="LNL1" s="405"/>
      <c r="LNM1" s="432" t="s">
        <v>41</v>
      </c>
      <c r="LNN1" s="404"/>
      <c r="LNO1" s="404"/>
      <c r="LNP1" s="404"/>
      <c r="LNQ1" s="404"/>
      <c r="LNR1" s="404"/>
      <c r="LNS1" s="404"/>
      <c r="LNT1" s="405"/>
      <c r="LNU1" s="432" t="s">
        <v>41</v>
      </c>
      <c r="LNV1" s="404"/>
      <c r="LNW1" s="404"/>
      <c r="LNX1" s="404"/>
      <c r="LNY1" s="404"/>
      <c r="LNZ1" s="404"/>
      <c r="LOA1" s="404"/>
      <c r="LOB1" s="405"/>
      <c r="LOC1" s="432" t="s">
        <v>41</v>
      </c>
      <c r="LOD1" s="404"/>
      <c r="LOE1" s="404"/>
      <c r="LOF1" s="404"/>
      <c r="LOG1" s="404"/>
      <c r="LOH1" s="404"/>
      <c r="LOI1" s="404"/>
      <c r="LOJ1" s="405"/>
      <c r="LOK1" s="432" t="s">
        <v>41</v>
      </c>
      <c r="LOL1" s="404"/>
      <c r="LOM1" s="404"/>
      <c r="LON1" s="404"/>
      <c r="LOO1" s="404"/>
      <c r="LOP1" s="404"/>
      <c r="LOQ1" s="404"/>
      <c r="LOR1" s="405"/>
      <c r="LOS1" s="432" t="s">
        <v>41</v>
      </c>
      <c r="LOT1" s="404"/>
      <c r="LOU1" s="404"/>
      <c r="LOV1" s="404"/>
      <c r="LOW1" s="404"/>
      <c r="LOX1" s="404"/>
      <c r="LOY1" s="404"/>
      <c r="LOZ1" s="405"/>
      <c r="LPA1" s="432" t="s">
        <v>41</v>
      </c>
      <c r="LPB1" s="404"/>
      <c r="LPC1" s="404"/>
      <c r="LPD1" s="404"/>
      <c r="LPE1" s="404"/>
      <c r="LPF1" s="404"/>
      <c r="LPG1" s="404"/>
      <c r="LPH1" s="405"/>
      <c r="LPI1" s="432" t="s">
        <v>41</v>
      </c>
      <c r="LPJ1" s="404"/>
      <c r="LPK1" s="404"/>
      <c r="LPL1" s="404"/>
      <c r="LPM1" s="404"/>
      <c r="LPN1" s="404"/>
      <c r="LPO1" s="404"/>
      <c r="LPP1" s="405"/>
      <c r="LPQ1" s="432" t="s">
        <v>41</v>
      </c>
      <c r="LPR1" s="404"/>
      <c r="LPS1" s="404"/>
      <c r="LPT1" s="404"/>
      <c r="LPU1" s="404"/>
      <c r="LPV1" s="404"/>
      <c r="LPW1" s="404"/>
      <c r="LPX1" s="405"/>
      <c r="LPY1" s="432" t="s">
        <v>41</v>
      </c>
      <c r="LPZ1" s="404"/>
      <c r="LQA1" s="404"/>
      <c r="LQB1" s="404"/>
      <c r="LQC1" s="404"/>
      <c r="LQD1" s="404"/>
      <c r="LQE1" s="404"/>
      <c r="LQF1" s="405"/>
      <c r="LQG1" s="432" t="s">
        <v>41</v>
      </c>
      <c r="LQH1" s="404"/>
      <c r="LQI1" s="404"/>
      <c r="LQJ1" s="404"/>
      <c r="LQK1" s="404"/>
      <c r="LQL1" s="404"/>
      <c r="LQM1" s="404"/>
      <c r="LQN1" s="405"/>
      <c r="LQO1" s="432" t="s">
        <v>41</v>
      </c>
      <c r="LQP1" s="404"/>
      <c r="LQQ1" s="404"/>
      <c r="LQR1" s="404"/>
      <c r="LQS1" s="404"/>
      <c r="LQT1" s="404"/>
      <c r="LQU1" s="404"/>
      <c r="LQV1" s="405"/>
      <c r="LQW1" s="432" t="s">
        <v>41</v>
      </c>
      <c r="LQX1" s="404"/>
      <c r="LQY1" s="404"/>
      <c r="LQZ1" s="404"/>
      <c r="LRA1" s="404"/>
      <c r="LRB1" s="404"/>
      <c r="LRC1" s="404"/>
      <c r="LRD1" s="405"/>
      <c r="LRE1" s="432" t="s">
        <v>41</v>
      </c>
      <c r="LRF1" s="404"/>
      <c r="LRG1" s="404"/>
      <c r="LRH1" s="404"/>
      <c r="LRI1" s="404"/>
      <c r="LRJ1" s="404"/>
      <c r="LRK1" s="404"/>
      <c r="LRL1" s="405"/>
      <c r="LRM1" s="432" t="s">
        <v>41</v>
      </c>
      <c r="LRN1" s="404"/>
      <c r="LRO1" s="404"/>
      <c r="LRP1" s="404"/>
      <c r="LRQ1" s="404"/>
      <c r="LRR1" s="404"/>
      <c r="LRS1" s="404"/>
      <c r="LRT1" s="405"/>
      <c r="LRU1" s="432" t="s">
        <v>41</v>
      </c>
      <c r="LRV1" s="404"/>
      <c r="LRW1" s="404"/>
      <c r="LRX1" s="404"/>
      <c r="LRY1" s="404"/>
      <c r="LRZ1" s="404"/>
      <c r="LSA1" s="404"/>
      <c r="LSB1" s="405"/>
      <c r="LSC1" s="432" t="s">
        <v>41</v>
      </c>
      <c r="LSD1" s="404"/>
      <c r="LSE1" s="404"/>
      <c r="LSF1" s="404"/>
      <c r="LSG1" s="404"/>
      <c r="LSH1" s="404"/>
      <c r="LSI1" s="404"/>
      <c r="LSJ1" s="405"/>
      <c r="LSK1" s="432" t="s">
        <v>41</v>
      </c>
      <c r="LSL1" s="404"/>
      <c r="LSM1" s="404"/>
      <c r="LSN1" s="404"/>
      <c r="LSO1" s="404"/>
      <c r="LSP1" s="404"/>
      <c r="LSQ1" s="404"/>
      <c r="LSR1" s="405"/>
      <c r="LSS1" s="432" t="s">
        <v>41</v>
      </c>
      <c r="LST1" s="404"/>
      <c r="LSU1" s="404"/>
      <c r="LSV1" s="404"/>
      <c r="LSW1" s="404"/>
      <c r="LSX1" s="404"/>
      <c r="LSY1" s="404"/>
      <c r="LSZ1" s="405"/>
      <c r="LTA1" s="432" t="s">
        <v>41</v>
      </c>
      <c r="LTB1" s="404"/>
      <c r="LTC1" s="404"/>
      <c r="LTD1" s="404"/>
      <c r="LTE1" s="404"/>
      <c r="LTF1" s="404"/>
      <c r="LTG1" s="404"/>
      <c r="LTH1" s="405"/>
      <c r="LTI1" s="432" t="s">
        <v>41</v>
      </c>
      <c r="LTJ1" s="404"/>
      <c r="LTK1" s="404"/>
      <c r="LTL1" s="404"/>
      <c r="LTM1" s="404"/>
      <c r="LTN1" s="404"/>
      <c r="LTO1" s="404"/>
      <c r="LTP1" s="405"/>
      <c r="LTQ1" s="432" t="s">
        <v>41</v>
      </c>
      <c r="LTR1" s="404"/>
      <c r="LTS1" s="404"/>
      <c r="LTT1" s="404"/>
      <c r="LTU1" s="404"/>
      <c r="LTV1" s="404"/>
      <c r="LTW1" s="404"/>
      <c r="LTX1" s="405"/>
      <c r="LTY1" s="432" t="s">
        <v>41</v>
      </c>
      <c r="LTZ1" s="404"/>
      <c r="LUA1" s="404"/>
      <c r="LUB1" s="404"/>
      <c r="LUC1" s="404"/>
      <c r="LUD1" s="404"/>
      <c r="LUE1" s="404"/>
      <c r="LUF1" s="405"/>
      <c r="LUG1" s="432" t="s">
        <v>41</v>
      </c>
      <c r="LUH1" s="404"/>
      <c r="LUI1" s="404"/>
      <c r="LUJ1" s="404"/>
      <c r="LUK1" s="404"/>
      <c r="LUL1" s="404"/>
      <c r="LUM1" s="404"/>
      <c r="LUN1" s="405"/>
      <c r="LUO1" s="432" t="s">
        <v>41</v>
      </c>
      <c r="LUP1" s="404"/>
      <c r="LUQ1" s="404"/>
      <c r="LUR1" s="404"/>
      <c r="LUS1" s="404"/>
      <c r="LUT1" s="404"/>
      <c r="LUU1" s="404"/>
      <c r="LUV1" s="405"/>
      <c r="LUW1" s="432" t="s">
        <v>41</v>
      </c>
      <c r="LUX1" s="404"/>
      <c r="LUY1" s="404"/>
      <c r="LUZ1" s="404"/>
      <c r="LVA1" s="404"/>
      <c r="LVB1" s="404"/>
      <c r="LVC1" s="404"/>
      <c r="LVD1" s="405"/>
      <c r="LVE1" s="432" t="s">
        <v>41</v>
      </c>
      <c r="LVF1" s="404"/>
      <c r="LVG1" s="404"/>
      <c r="LVH1" s="404"/>
      <c r="LVI1" s="404"/>
      <c r="LVJ1" s="404"/>
      <c r="LVK1" s="404"/>
      <c r="LVL1" s="405"/>
      <c r="LVM1" s="432" t="s">
        <v>41</v>
      </c>
      <c r="LVN1" s="404"/>
      <c r="LVO1" s="404"/>
      <c r="LVP1" s="404"/>
      <c r="LVQ1" s="404"/>
      <c r="LVR1" s="404"/>
      <c r="LVS1" s="404"/>
      <c r="LVT1" s="405"/>
      <c r="LVU1" s="432" t="s">
        <v>41</v>
      </c>
      <c r="LVV1" s="404"/>
      <c r="LVW1" s="404"/>
      <c r="LVX1" s="404"/>
      <c r="LVY1" s="404"/>
      <c r="LVZ1" s="404"/>
      <c r="LWA1" s="404"/>
      <c r="LWB1" s="405"/>
      <c r="LWC1" s="432" t="s">
        <v>41</v>
      </c>
      <c r="LWD1" s="404"/>
      <c r="LWE1" s="404"/>
      <c r="LWF1" s="404"/>
      <c r="LWG1" s="404"/>
      <c r="LWH1" s="404"/>
      <c r="LWI1" s="404"/>
      <c r="LWJ1" s="405"/>
      <c r="LWK1" s="432" t="s">
        <v>41</v>
      </c>
      <c r="LWL1" s="404"/>
      <c r="LWM1" s="404"/>
      <c r="LWN1" s="404"/>
      <c r="LWO1" s="404"/>
      <c r="LWP1" s="404"/>
      <c r="LWQ1" s="404"/>
      <c r="LWR1" s="405"/>
      <c r="LWS1" s="432" t="s">
        <v>41</v>
      </c>
      <c r="LWT1" s="404"/>
      <c r="LWU1" s="404"/>
      <c r="LWV1" s="404"/>
      <c r="LWW1" s="404"/>
      <c r="LWX1" s="404"/>
      <c r="LWY1" s="404"/>
      <c r="LWZ1" s="405"/>
      <c r="LXA1" s="432" t="s">
        <v>41</v>
      </c>
      <c r="LXB1" s="404"/>
      <c r="LXC1" s="404"/>
      <c r="LXD1" s="404"/>
      <c r="LXE1" s="404"/>
      <c r="LXF1" s="404"/>
      <c r="LXG1" s="404"/>
      <c r="LXH1" s="405"/>
      <c r="LXI1" s="432" t="s">
        <v>41</v>
      </c>
      <c r="LXJ1" s="404"/>
      <c r="LXK1" s="404"/>
      <c r="LXL1" s="404"/>
      <c r="LXM1" s="404"/>
      <c r="LXN1" s="404"/>
      <c r="LXO1" s="404"/>
      <c r="LXP1" s="405"/>
      <c r="LXQ1" s="432" t="s">
        <v>41</v>
      </c>
      <c r="LXR1" s="404"/>
      <c r="LXS1" s="404"/>
      <c r="LXT1" s="404"/>
      <c r="LXU1" s="404"/>
      <c r="LXV1" s="404"/>
      <c r="LXW1" s="404"/>
      <c r="LXX1" s="405"/>
      <c r="LXY1" s="432" t="s">
        <v>41</v>
      </c>
      <c r="LXZ1" s="404"/>
      <c r="LYA1" s="404"/>
      <c r="LYB1" s="404"/>
      <c r="LYC1" s="404"/>
      <c r="LYD1" s="404"/>
      <c r="LYE1" s="404"/>
      <c r="LYF1" s="405"/>
      <c r="LYG1" s="432" t="s">
        <v>41</v>
      </c>
      <c r="LYH1" s="404"/>
      <c r="LYI1" s="404"/>
      <c r="LYJ1" s="404"/>
      <c r="LYK1" s="404"/>
      <c r="LYL1" s="404"/>
      <c r="LYM1" s="404"/>
      <c r="LYN1" s="405"/>
      <c r="LYO1" s="432" t="s">
        <v>41</v>
      </c>
      <c r="LYP1" s="404"/>
      <c r="LYQ1" s="404"/>
      <c r="LYR1" s="404"/>
      <c r="LYS1" s="404"/>
      <c r="LYT1" s="404"/>
      <c r="LYU1" s="404"/>
      <c r="LYV1" s="405"/>
      <c r="LYW1" s="432" t="s">
        <v>41</v>
      </c>
      <c r="LYX1" s="404"/>
      <c r="LYY1" s="404"/>
      <c r="LYZ1" s="404"/>
      <c r="LZA1" s="404"/>
      <c r="LZB1" s="404"/>
      <c r="LZC1" s="404"/>
      <c r="LZD1" s="405"/>
      <c r="LZE1" s="432" t="s">
        <v>41</v>
      </c>
      <c r="LZF1" s="404"/>
      <c r="LZG1" s="404"/>
      <c r="LZH1" s="404"/>
      <c r="LZI1" s="404"/>
      <c r="LZJ1" s="404"/>
      <c r="LZK1" s="404"/>
      <c r="LZL1" s="405"/>
      <c r="LZM1" s="432" t="s">
        <v>41</v>
      </c>
      <c r="LZN1" s="404"/>
      <c r="LZO1" s="404"/>
      <c r="LZP1" s="404"/>
      <c r="LZQ1" s="404"/>
      <c r="LZR1" s="404"/>
      <c r="LZS1" s="404"/>
      <c r="LZT1" s="405"/>
      <c r="LZU1" s="432" t="s">
        <v>41</v>
      </c>
      <c r="LZV1" s="404"/>
      <c r="LZW1" s="404"/>
      <c r="LZX1" s="404"/>
      <c r="LZY1" s="404"/>
      <c r="LZZ1" s="404"/>
      <c r="MAA1" s="404"/>
      <c r="MAB1" s="405"/>
      <c r="MAC1" s="432" t="s">
        <v>41</v>
      </c>
      <c r="MAD1" s="404"/>
      <c r="MAE1" s="404"/>
      <c r="MAF1" s="404"/>
      <c r="MAG1" s="404"/>
      <c r="MAH1" s="404"/>
      <c r="MAI1" s="404"/>
      <c r="MAJ1" s="405"/>
      <c r="MAK1" s="432" t="s">
        <v>41</v>
      </c>
      <c r="MAL1" s="404"/>
      <c r="MAM1" s="404"/>
      <c r="MAN1" s="404"/>
      <c r="MAO1" s="404"/>
      <c r="MAP1" s="404"/>
      <c r="MAQ1" s="404"/>
      <c r="MAR1" s="405"/>
      <c r="MAS1" s="432" t="s">
        <v>41</v>
      </c>
      <c r="MAT1" s="404"/>
      <c r="MAU1" s="404"/>
      <c r="MAV1" s="404"/>
      <c r="MAW1" s="404"/>
      <c r="MAX1" s="404"/>
      <c r="MAY1" s="404"/>
      <c r="MAZ1" s="405"/>
      <c r="MBA1" s="432" t="s">
        <v>41</v>
      </c>
      <c r="MBB1" s="404"/>
      <c r="MBC1" s="404"/>
      <c r="MBD1" s="404"/>
      <c r="MBE1" s="404"/>
      <c r="MBF1" s="404"/>
      <c r="MBG1" s="404"/>
      <c r="MBH1" s="405"/>
      <c r="MBI1" s="432" t="s">
        <v>41</v>
      </c>
      <c r="MBJ1" s="404"/>
      <c r="MBK1" s="404"/>
      <c r="MBL1" s="404"/>
      <c r="MBM1" s="404"/>
      <c r="MBN1" s="404"/>
      <c r="MBO1" s="404"/>
      <c r="MBP1" s="405"/>
      <c r="MBQ1" s="432" t="s">
        <v>41</v>
      </c>
      <c r="MBR1" s="404"/>
      <c r="MBS1" s="404"/>
      <c r="MBT1" s="404"/>
      <c r="MBU1" s="404"/>
      <c r="MBV1" s="404"/>
      <c r="MBW1" s="404"/>
      <c r="MBX1" s="405"/>
      <c r="MBY1" s="432" t="s">
        <v>41</v>
      </c>
      <c r="MBZ1" s="404"/>
      <c r="MCA1" s="404"/>
      <c r="MCB1" s="404"/>
      <c r="MCC1" s="404"/>
      <c r="MCD1" s="404"/>
      <c r="MCE1" s="404"/>
      <c r="MCF1" s="405"/>
      <c r="MCG1" s="432" t="s">
        <v>41</v>
      </c>
      <c r="MCH1" s="404"/>
      <c r="MCI1" s="404"/>
      <c r="MCJ1" s="404"/>
      <c r="MCK1" s="404"/>
      <c r="MCL1" s="404"/>
      <c r="MCM1" s="404"/>
      <c r="MCN1" s="405"/>
      <c r="MCO1" s="432" t="s">
        <v>41</v>
      </c>
      <c r="MCP1" s="404"/>
      <c r="MCQ1" s="404"/>
      <c r="MCR1" s="404"/>
      <c r="MCS1" s="404"/>
      <c r="MCT1" s="404"/>
      <c r="MCU1" s="404"/>
      <c r="MCV1" s="405"/>
      <c r="MCW1" s="432" t="s">
        <v>41</v>
      </c>
      <c r="MCX1" s="404"/>
      <c r="MCY1" s="404"/>
      <c r="MCZ1" s="404"/>
      <c r="MDA1" s="404"/>
      <c r="MDB1" s="404"/>
      <c r="MDC1" s="404"/>
      <c r="MDD1" s="405"/>
      <c r="MDE1" s="432" t="s">
        <v>41</v>
      </c>
      <c r="MDF1" s="404"/>
      <c r="MDG1" s="404"/>
      <c r="MDH1" s="404"/>
      <c r="MDI1" s="404"/>
      <c r="MDJ1" s="404"/>
      <c r="MDK1" s="404"/>
      <c r="MDL1" s="405"/>
      <c r="MDM1" s="432" t="s">
        <v>41</v>
      </c>
      <c r="MDN1" s="404"/>
      <c r="MDO1" s="404"/>
      <c r="MDP1" s="404"/>
      <c r="MDQ1" s="404"/>
      <c r="MDR1" s="404"/>
      <c r="MDS1" s="404"/>
      <c r="MDT1" s="405"/>
      <c r="MDU1" s="432" t="s">
        <v>41</v>
      </c>
      <c r="MDV1" s="404"/>
      <c r="MDW1" s="404"/>
      <c r="MDX1" s="404"/>
      <c r="MDY1" s="404"/>
      <c r="MDZ1" s="404"/>
      <c r="MEA1" s="404"/>
      <c r="MEB1" s="405"/>
      <c r="MEC1" s="432" t="s">
        <v>41</v>
      </c>
      <c r="MED1" s="404"/>
      <c r="MEE1" s="404"/>
      <c r="MEF1" s="404"/>
      <c r="MEG1" s="404"/>
      <c r="MEH1" s="404"/>
      <c r="MEI1" s="404"/>
      <c r="MEJ1" s="405"/>
      <c r="MEK1" s="432" t="s">
        <v>41</v>
      </c>
      <c r="MEL1" s="404"/>
      <c r="MEM1" s="404"/>
      <c r="MEN1" s="404"/>
      <c r="MEO1" s="404"/>
      <c r="MEP1" s="404"/>
      <c r="MEQ1" s="404"/>
      <c r="MER1" s="405"/>
      <c r="MES1" s="432" t="s">
        <v>41</v>
      </c>
      <c r="MET1" s="404"/>
      <c r="MEU1" s="404"/>
      <c r="MEV1" s="404"/>
      <c r="MEW1" s="404"/>
      <c r="MEX1" s="404"/>
      <c r="MEY1" s="404"/>
      <c r="MEZ1" s="405"/>
      <c r="MFA1" s="432" t="s">
        <v>41</v>
      </c>
      <c r="MFB1" s="404"/>
      <c r="MFC1" s="404"/>
      <c r="MFD1" s="404"/>
      <c r="MFE1" s="404"/>
      <c r="MFF1" s="404"/>
      <c r="MFG1" s="404"/>
      <c r="MFH1" s="405"/>
      <c r="MFI1" s="432" t="s">
        <v>41</v>
      </c>
      <c r="MFJ1" s="404"/>
      <c r="MFK1" s="404"/>
      <c r="MFL1" s="404"/>
      <c r="MFM1" s="404"/>
      <c r="MFN1" s="404"/>
      <c r="MFO1" s="404"/>
      <c r="MFP1" s="405"/>
      <c r="MFQ1" s="432" t="s">
        <v>41</v>
      </c>
      <c r="MFR1" s="404"/>
      <c r="MFS1" s="404"/>
      <c r="MFT1" s="404"/>
      <c r="MFU1" s="404"/>
      <c r="MFV1" s="404"/>
      <c r="MFW1" s="404"/>
      <c r="MFX1" s="405"/>
      <c r="MFY1" s="432" t="s">
        <v>41</v>
      </c>
      <c r="MFZ1" s="404"/>
      <c r="MGA1" s="404"/>
      <c r="MGB1" s="404"/>
      <c r="MGC1" s="404"/>
      <c r="MGD1" s="404"/>
      <c r="MGE1" s="404"/>
      <c r="MGF1" s="405"/>
      <c r="MGG1" s="432" t="s">
        <v>41</v>
      </c>
      <c r="MGH1" s="404"/>
      <c r="MGI1" s="404"/>
      <c r="MGJ1" s="404"/>
      <c r="MGK1" s="404"/>
      <c r="MGL1" s="404"/>
      <c r="MGM1" s="404"/>
      <c r="MGN1" s="405"/>
      <c r="MGO1" s="432" t="s">
        <v>41</v>
      </c>
      <c r="MGP1" s="404"/>
      <c r="MGQ1" s="404"/>
      <c r="MGR1" s="404"/>
      <c r="MGS1" s="404"/>
      <c r="MGT1" s="404"/>
      <c r="MGU1" s="404"/>
      <c r="MGV1" s="405"/>
      <c r="MGW1" s="432" t="s">
        <v>41</v>
      </c>
      <c r="MGX1" s="404"/>
      <c r="MGY1" s="404"/>
      <c r="MGZ1" s="404"/>
      <c r="MHA1" s="404"/>
      <c r="MHB1" s="404"/>
      <c r="MHC1" s="404"/>
      <c r="MHD1" s="405"/>
      <c r="MHE1" s="432" t="s">
        <v>41</v>
      </c>
      <c r="MHF1" s="404"/>
      <c r="MHG1" s="404"/>
      <c r="MHH1" s="404"/>
      <c r="MHI1" s="404"/>
      <c r="MHJ1" s="404"/>
      <c r="MHK1" s="404"/>
      <c r="MHL1" s="405"/>
      <c r="MHM1" s="432" t="s">
        <v>41</v>
      </c>
      <c r="MHN1" s="404"/>
      <c r="MHO1" s="404"/>
      <c r="MHP1" s="404"/>
      <c r="MHQ1" s="404"/>
      <c r="MHR1" s="404"/>
      <c r="MHS1" s="404"/>
      <c r="MHT1" s="405"/>
      <c r="MHU1" s="432" t="s">
        <v>41</v>
      </c>
      <c r="MHV1" s="404"/>
      <c r="MHW1" s="404"/>
      <c r="MHX1" s="404"/>
      <c r="MHY1" s="404"/>
      <c r="MHZ1" s="404"/>
      <c r="MIA1" s="404"/>
      <c r="MIB1" s="405"/>
      <c r="MIC1" s="432" t="s">
        <v>41</v>
      </c>
      <c r="MID1" s="404"/>
      <c r="MIE1" s="404"/>
      <c r="MIF1" s="404"/>
      <c r="MIG1" s="404"/>
      <c r="MIH1" s="404"/>
      <c r="MII1" s="404"/>
      <c r="MIJ1" s="405"/>
      <c r="MIK1" s="432" t="s">
        <v>41</v>
      </c>
      <c r="MIL1" s="404"/>
      <c r="MIM1" s="404"/>
      <c r="MIN1" s="404"/>
      <c r="MIO1" s="404"/>
      <c r="MIP1" s="404"/>
      <c r="MIQ1" s="404"/>
      <c r="MIR1" s="405"/>
      <c r="MIS1" s="432" t="s">
        <v>41</v>
      </c>
      <c r="MIT1" s="404"/>
      <c r="MIU1" s="404"/>
      <c r="MIV1" s="404"/>
      <c r="MIW1" s="404"/>
      <c r="MIX1" s="404"/>
      <c r="MIY1" s="404"/>
      <c r="MIZ1" s="405"/>
      <c r="MJA1" s="432" t="s">
        <v>41</v>
      </c>
      <c r="MJB1" s="404"/>
      <c r="MJC1" s="404"/>
      <c r="MJD1" s="404"/>
      <c r="MJE1" s="404"/>
      <c r="MJF1" s="404"/>
      <c r="MJG1" s="404"/>
      <c r="MJH1" s="405"/>
      <c r="MJI1" s="432" t="s">
        <v>41</v>
      </c>
      <c r="MJJ1" s="404"/>
      <c r="MJK1" s="404"/>
      <c r="MJL1" s="404"/>
      <c r="MJM1" s="404"/>
      <c r="MJN1" s="404"/>
      <c r="MJO1" s="404"/>
      <c r="MJP1" s="405"/>
      <c r="MJQ1" s="432" t="s">
        <v>41</v>
      </c>
      <c r="MJR1" s="404"/>
      <c r="MJS1" s="404"/>
      <c r="MJT1" s="404"/>
      <c r="MJU1" s="404"/>
      <c r="MJV1" s="404"/>
      <c r="MJW1" s="404"/>
      <c r="MJX1" s="405"/>
      <c r="MJY1" s="432" t="s">
        <v>41</v>
      </c>
      <c r="MJZ1" s="404"/>
      <c r="MKA1" s="404"/>
      <c r="MKB1" s="404"/>
      <c r="MKC1" s="404"/>
      <c r="MKD1" s="404"/>
      <c r="MKE1" s="404"/>
      <c r="MKF1" s="405"/>
      <c r="MKG1" s="432" t="s">
        <v>41</v>
      </c>
      <c r="MKH1" s="404"/>
      <c r="MKI1" s="404"/>
      <c r="MKJ1" s="404"/>
      <c r="MKK1" s="404"/>
      <c r="MKL1" s="404"/>
      <c r="MKM1" s="404"/>
      <c r="MKN1" s="405"/>
      <c r="MKO1" s="432" t="s">
        <v>41</v>
      </c>
      <c r="MKP1" s="404"/>
      <c r="MKQ1" s="404"/>
      <c r="MKR1" s="404"/>
      <c r="MKS1" s="404"/>
      <c r="MKT1" s="404"/>
      <c r="MKU1" s="404"/>
      <c r="MKV1" s="405"/>
      <c r="MKW1" s="432" t="s">
        <v>41</v>
      </c>
      <c r="MKX1" s="404"/>
      <c r="MKY1" s="404"/>
      <c r="MKZ1" s="404"/>
      <c r="MLA1" s="404"/>
      <c r="MLB1" s="404"/>
      <c r="MLC1" s="404"/>
      <c r="MLD1" s="405"/>
      <c r="MLE1" s="432" t="s">
        <v>41</v>
      </c>
      <c r="MLF1" s="404"/>
      <c r="MLG1" s="404"/>
      <c r="MLH1" s="404"/>
      <c r="MLI1" s="404"/>
      <c r="MLJ1" s="404"/>
      <c r="MLK1" s="404"/>
      <c r="MLL1" s="405"/>
      <c r="MLM1" s="432" t="s">
        <v>41</v>
      </c>
      <c r="MLN1" s="404"/>
      <c r="MLO1" s="404"/>
      <c r="MLP1" s="404"/>
      <c r="MLQ1" s="404"/>
      <c r="MLR1" s="404"/>
      <c r="MLS1" s="404"/>
      <c r="MLT1" s="405"/>
      <c r="MLU1" s="432" t="s">
        <v>41</v>
      </c>
      <c r="MLV1" s="404"/>
      <c r="MLW1" s="404"/>
      <c r="MLX1" s="404"/>
      <c r="MLY1" s="404"/>
      <c r="MLZ1" s="404"/>
      <c r="MMA1" s="404"/>
      <c r="MMB1" s="405"/>
      <c r="MMC1" s="432" t="s">
        <v>41</v>
      </c>
      <c r="MMD1" s="404"/>
      <c r="MME1" s="404"/>
      <c r="MMF1" s="404"/>
      <c r="MMG1" s="404"/>
      <c r="MMH1" s="404"/>
      <c r="MMI1" s="404"/>
      <c r="MMJ1" s="405"/>
      <c r="MMK1" s="432" t="s">
        <v>41</v>
      </c>
      <c r="MML1" s="404"/>
      <c r="MMM1" s="404"/>
      <c r="MMN1" s="404"/>
      <c r="MMO1" s="404"/>
      <c r="MMP1" s="404"/>
      <c r="MMQ1" s="404"/>
      <c r="MMR1" s="405"/>
      <c r="MMS1" s="432" t="s">
        <v>41</v>
      </c>
      <c r="MMT1" s="404"/>
      <c r="MMU1" s="404"/>
      <c r="MMV1" s="404"/>
      <c r="MMW1" s="404"/>
      <c r="MMX1" s="404"/>
      <c r="MMY1" s="404"/>
      <c r="MMZ1" s="405"/>
      <c r="MNA1" s="432" t="s">
        <v>41</v>
      </c>
      <c r="MNB1" s="404"/>
      <c r="MNC1" s="404"/>
      <c r="MND1" s="404"/>
      <c r="MNE1" s="404"/>
      <c r="MNF1" s="404"/>
      <c r="MNG1" s="404"/>
      <c r="MNH1" s="405"/>
      <c r="MNI1" s="432" t="s">
        <v>41</v>
      </c>
      <c r="MNJ1" s="404"/>
      <c r="MNK1" s="404"/>
      <c r="MNL1" s="404"/>
      <c r="MNM1" s="404"/>
      <c r="MNN1" s="404"/>
      <c r="MNO1" s="404"/>
      <c r="MNP1" s="405"/>
      <c r="MNQ1" s="432" t="s">
        <v>41</v>
      </c>
      <c r="MNR1" s="404"/>
      <c r="MNS1" s="404"/>
      <c r="MNT1" s="404"/>
      <c r="MNU1" s="404"/>
      <c r="MNV1" s="404"/>
      <c r="MNW1" s="404"/>
      <c r="MNX1" s="405"/>
      <c r="MNY1" s="432" t="s">
        <v>41</v>
      </c>
      <c r="MNZ1" s="404"/>
      <c r="MOA1" s="404"/>
      <c r="MOB1" s="404"/>
      <c r="MOC1" s="404"/>
      <c r="MOD1" s="404"/>
      <c r="MOE1" s="404"/>
      <c r="MOF1" s="405"/>
      <c r="MOG1" s="432" t="s">
        <v>41</v>
      </c>
      <c r="MOH1" s="404"/>
      <c r="MOI1" s="404"/>
      <c r="MOJ1" s="404"/>
      <c r="MOK1" s="404"/>
      <c r="MOL1" s="404"/>
      <c r="MOM1" s="404"/>
      <c r="MON1" s="405"/>
      <c r="MOO1" s="432" t="s">
        <v>41</v>
      </c>
      <c r="MOP1" s="404"/>
      <c r="MOQ1" s="404"/>
      <c r="MOR1" s="404"/>
      <c r="MOS1" s="404"/>
      <c r="MOT1" s="404"/>
      <c r="MOU1" s="404"/>
      <c r="MOV1" s="405"/>
      <c r="MOW1" s="432" t="s">
        <v>41</v>
      </c>
      <c r="MOX1" s="404"/>
      <c r="MOY1" s="404"/>
      <c r="MOZ1" s="404"/>
      <c r="MPA1" s="404"/>
      <c r="MPB1" s="404"/>
      <c r="MPC1" s="404"/>
      <c r="MPD1" s="405"/>
      <c r="MPE1" s="432" t="s">
        <v>41</v>
      </c>
      <c r="MPF1" s="404"/>
      <c r="MPG1" s="404"/>
      <c r="MPH1" s="404"/>
      <c r="MPI1" s="404"/>
      <c r="MPJ1" s="404"/>
      <c r="MPK1" s="404"/>
      <c r="MPL1" s="405"/>
      <c r="MPM1" s="432" t="s">
        <v>41</v>
      </c>
      <c r="MPN1" s="404"/>
      <c r="MPO1" s="404"/>
      <c r="MPP1" s="404"/>
      <c r="MPQ1" s="404"/>
      <c r="MPR1" s="404"/>
      <c r="MPS1" s="404"/>
      <c r="MPT1" s="405"/>
      <c r="MPU1" s="432" t="s">
        <v>41</v>
      </c>
      <c r="MPV1" s="404"/>
      <c r="MPW1" s="404"/>
      <c r="MPX1" s="404"/>
      <c r="MPY1" s="404"/>
      <c r="MPZ1" s="404"/>
      <c r="MQA1" s="404"/>
      <c r="MQB1" s="405"/>
      <c r="MQC1" s="432" t="s">
        <v>41</v>
      </c>
      <c r="MQD1" s="404"/>
      <c r="MQE1" s="404"/>
      <c r="MQF1" s="404"/>
      <c r="MQG1" s="404"/>
      <c r="MQH1" s="404"/>
      <c r="MQI1" s="404"/>
      <c r="MQJ1" s="405"/>
      <c r="MQK1" s="432" t="s">
        <v>41</v>
      </c>
      <c r="MQL1" s="404"/>
      <c r="MQM1" s="404"/>
      <c r="MQN1" s="404"/>
      <c r="MQO1" s="404"/>
      <c r="MQP1" s="404"/>
      <c r="MQQ1" s="404"/>
      <c r="MQR1" s="405"/>
      <c r="MQS1" s="432" t="s">
        <v>41</v>
      </c>
      <c r="MQT1" s="404"/>
      <c r="MQU1" s="404"/>
      <c r="MQV1" s="404"/>
      <c r="MQW1" s="404"/>
      <c r="MQX1" s="404"/>
      <c r="MQY1" s="404"/>
      <c r="MQZ1" s="405"/>
      <c r="MRA1" s="432" t="s">
        <v>41</v>
      </c>
      <c r="MRB1" s="404"/>
      <c r="MRC1" s="404"/>
      <c r="MRD1" s="404"/>
      <c r="MRE1" s="404"/>
      <c r="MRF1" s="404"/>
      <c r="MRG1" s="404"/>
      <c r="MRH1" s="405"/>
      <c r="MRI1" s="432" t="s">
        <v>41</v>
      </c>
      <c r="MRJ1" s="404"/>
      <c r="MRK1" s="404"/>
      <c r="MRL1" s="404"/>
      <c r="MRM1" s="404"/>
      <c r="MRN1" s="404"/>
      <c r="MRO1" s="404"/>
      <c r="MRP1" s="405"/>
      <c r="MRQ1" s="432" t="s">
        <v>41</v>
      </c>
      <c r="MRR1" s="404"/>
      <c r="MRS1" s="404"/>
      <c r="MRT1" s="404"/>
      <c r="MRU1" s="404"/>
      <c r="MRV1" s="404"/>
      <c r="MRW1" s="404"/>
      <c r="MRX1" s="405"/>
      <c r="MRY1" s="432" t="s">
        <v>41</v>
      </c>
      <c r="MRZ1" s="404"/>
      <c r="MSA1" s="404"/>
      <c r="MSB1" s="404"/>
      <c r="MSC1" s="404"/>
      <c r="MSD1" s="404"/>
      <c r="MSE1" s="404"/>
      <c r="MSF1" s="405"/>
      <c r="MSG1" s="432" t="s">
        <v>41</v>
      </c>
      <c r="MSH1" s="404"/>
      <c r="MSI1" s="404"/>
      <c r="MSJ1" s="404"/>
      <c r="MSK1" s="404"/>
      <c r="MSL1" s="404"/>
      <c r="MSM1" s="404"/>
      <c r="MSN1" s="405"/>
      <c r="MSO1" s="432" t="s">
        <v>41</v>
      </c>
      <c r="MSP1" s="404"/>
      <c r="MSQ1" s="404"/>
      <c r="MSR1" s="404"/>
      <c r="MSS1" s="404"/>
      <c r="MST1" s="404"/>
      <c r="MSU1" s="404"/>
      <c r="MSV1" s="405"/>
      <c r="MSW1" s="432" t="s">
        <v>41</v>
      </c>
      <c r="MSX1" s="404"/>
      <c r="MSY1" s="404"/>
      <c r="MSZ1" s="404"/>
      <c r="MTA1" s="404"/>
      <c r="MTB1" s="404"/>
      <c r="MTC1" s="404"/>
      <c r="MTD1" s="405"/>
      <c r="MTE1" s="432" t="s">
        <v>41</v>
      </c>
      <c r="MTF1" s="404"/>
      <c r="MTG1" s="404"/>
      <c r="MTH1" s="404"/>
      <c r="MTI1" s="404"/>
      <c r="MTJ1" s="404"/>
      <c r="MTK1" s="404"/>
      <c r="MTL1" s="405"/>
      <c r="MTM1" s="432" t="s">
        <v>41</v>
      </c>
      <c r="MTN1" s="404"/>
      <c r="MTO1" s="404"/>
      <c r="MTP1" s="404"/>
      <c r="MTQ1" s="404"/>
      <c r="MTR1" s="404"/>
      <c r="MTS1" s="404"/>
      <c r="MTT1" s="405"/>
      <c r="MTU1" s="432" t="s">
        <v>41</v>
      </c>
      <c r="MTV1" s="404"/>
      <c r="MTW1" s="404"/>
      <c r="MTX1" s="404"/>
      <c r="MTY1" s="404"/>
      <c r="MTZ1" s="404"/>
      <c r="MUA1" s="404"/>
      <c r="MUB1" s="405"/>
      <c r="MUC1" s="432" t="s">
        <v>41</v>
      </c>
      <c r="MUD1" s="404"/>
      <c r="MUE1" s="404"/>
      <c r="MUF1" s="404"/>
      <c r="MUG1" s="404"/>
      <c r="MUH1" s="404"/>
      <c r="MUI1" s="404"/>
      <c r="MUJ1" s="405"/>
      <c r="MUK1" s="432" t="s">
        <v>41</v>
      </c>
      <c r="MUL1" s="404"/>
      <c r="MUM1" s="404"/>
      <c r="MUN1" s="404"/>
      <c r="MUO1" s="404"/>
      <c r="MUP1" s="404"/>
      <c r="MUQ1" s="404"/>
      <c r="MUR1" s="405"/>
      <c r="MUS1" s="432" t="s">
        <v>41</v>
      </c>
      <c r="MUT1" s="404"/>
      <c r="MUU1" s="404"/>
      <c r="MUV1" s="404"/>
      <c r="MUW1" s="404"/>
      <c r="MUX1" s="404"/>
      <c r="MUY1" s="404"/>
      <c r="MUZ1" s="405"/>
      <c r="MVA1" s="432" t="s">
        <v>41</v>
      </c>
      <c r="MVB1" s="404"/>
      <c r="MVC1" s="404"/>
      <c r="MVD1" s="404"/>
      <c r="MVE1" s="404"/>
      <c r="MVF1" s="404"/>
      <c r="MVG1" s="404"/>
      <c r="MVH1" s="405"/>
      <c r="MVI1" s="432" t="s">
        <v>41</v>
      </c>
      <c r="MVJ1" s="404"/>
      <c r="MVK1" s="404"/>
      <c r="MVL1" s="404"/>
      <c r="MVM1" s="404"/>
      <c r="MVN1" s="404"/>
      <c r="MVO1" s="404"/>
      <c r="MVP1" s="405"/>
      <c r="MVQ1" s="432" t="s">
        <v>41</v>
      </c>
      <c r="MVR1" s="404"/>
      <c r="MVS1" s="404"/>
      <c r="MVT1" s="404"/>
      <c r="MVU1" s="404"/>
      <c r="MVV1" s="404"/>
      <c r="MVW1" s="404"/>
      <c r="MVX1" s="405"/>
      <c r="MVY1" s="432" t="s">
        <v>41</v>
      </c>
      <c r="MVZ1" s="404"/>
      <c r="MWA1" s="404"/>
      <c r="MWB1" s="404"/>
      <c r="MWC1" s="404"/>
      <c r="MWD1" s="404"/>
      <c r="MWE1" s="404"/>
      <c r="MWF1" s="405"/>
      <c r="MWG1" s="432" t="s">
        <v>41</v>
      </c>
      <c r="MWH1" s="404"/>
      <c r="MWI1" s="404"/>
      <c r="MWJ1" s="404"/>
      <c r="MWK1" s="404"/>
      <c r="MWL1" s="404"/>
      <c r="MWM1" s="404"/>
      <c r="MWN1" s="405"/>
      <c r="MWO1" s="432" t="s">
        <v>41</v>
      </c>
      <c r="MWP1" s="404"/>
      <c r="MWQ1" s="404"/>
      <c r="MWR1" s="404"/>
      <c r="MWS1" s="404"/>
      <c r="MWT1" s="404"/>
      <c r="MWU1" s="404"/>
      <c r="MWV1" s="405"/>
      <c r="MWW1" s="432" t="s">
        <v>41</v>
      </c>
      <c r="MWX1" s="404"/>
      <c r="MWY1" s="404"/>
      <c r="MWZ1" s="404"/>
      <c r="MXA1" s="404"/>
      <c r="MXB1" s="404"/>
      <c r="MXC1" s="404"/>
      <c r="MXD1" s="405"/>
      <c r="MXE1" s="432" t="s">
        <v>41</v>
      </c>
      <c r="MXF1" s="404"/>
      <c r="MXG1" s="404"/>
      <c r="MXH1" s="404"/>
      <c r="MXI1" s="404"/>
      <c r="MXJ1" s="404"/>
      <c r="MXK1" s="404"/>
      <c r="MXL1" s="405"/>
      <c r="MXM1" s="432" t="s">
        <v>41</v>
      </c>
      <c r="MXN1" s="404"/>
      <c r="MXO1" s="404"/>
      <c r="MXP1" s="404"/>
      <c r="MXQ1" s="404"/>
      <c r="MXR1" s="404"/>
      <c r="MXS1" s="404"/>
      <c r="MXT1" s="405"/>
      <c r="MXU1" s="432" t="s">
        <v>41</v>
      </c>
      <c r="MXV1" s="404"/>
      <c r="MXW1" s="404"/>
      <c r="MXX1" s="404"/>
      <c r="MXY1" s="404"/>
      <c r="MXZ1" s="404"/>
      <c r="MYA1" s="404"/>
      <c r="MYB1" s="405"/>
      <c r="MYC1" s="432" t="s">
        <v>41</v>
      </c>
      <c r="MYD1" s="404"/>
      <c r="MYE1" s="404"/>
      <c r="MYF1" s="404"/>
      <c r="MYG1" s="404"/>
      <c r="MYH1" s="404"/>
      <c r="MYI1" s="404"/>
      <c r="MYJ1" s="405"/>
      <c r="MYK1" s="432" t="s">
        <v>41</v>
      </c>
      <c r="MYL1" s="404"/>
      <c r="MYM1" s="404"/>
      <c r="MYN1" s="404"/>
      <c r="MYO1" s="404"/>
      <c r="MYP1" s="404"/>
      <c r="MYQ1" s="404"/>
      <c r="MYR1" s="405"/>
      <c r="MYS1" s="432" t="s">
        <v>41</v>
      </c>
      <c r="MYT1" s="404"/>
      <c r="MYU1" s="404"/>
      <c r="MYV1" s="404"/>
      <c r="MYW1" s="404"/>
      <c r="MYX1" s="404"/>
      <c r="MYY1" s="404"/>
      <c r="MYZ1" s="405"/>
      <c r="MZA1" s="432" t="s">
        <v>41</v>
      </c>
      <c r="MZB1" s="404"/>
      <c r="MZC1" s="404"/>
      <c r="MZD1" s="404"/>
      <c r="MZE1" s="404"/>
      <c r="MZF1" s="404"/>
      <c r="MZG1" s="404"/>
      <c r="MZH1" s="405"/>
      <c r="MZI1" s="432" t="s">
        <v>41</v>
      </c>
      <c r="MZJ1" s="404"/>
      <c r="MZK1" s="404"/>
      <c r="MZL1" s="404"/>
      <c r="MZM1" s="404"/>
      <c r="MZN1" s="404"/>
      <c r="MZO1" s="404"/>
      <c r="MZP1" s="405"/>
      <c r="MZQ1" s="432" t="s">
        <v>41</v>
      </c>
      <c r="MZR1" s="404"/>
      <c r="MZS1" s="404"/>
      <c r="MZT1" s="404"/>
      <c r="MZU1" s="404"/>
      <c r="MZV1" s="404"/>
      <c r="MZW1" s="404"/>
      <c r="MZX1" s="405"/>
      <c r="MZY1" s="432" t="s">
        <v>41</v>
      </c>
      <c r="MZZ1" s="404"/>
      <c r="NAA1" s="404"/>
      <c r="NAB1" s="404"/>
      <c r="NAC1" s="404"/>
      <c r="NAD1" s="404"/>
      <c r="NAE1" s="404"/>
      <c r="NAF1" s="405"/>
      <c r="NAG1" s="432" t="s">
        <v>41</v>
      </c>
      <c r="NAH1" s="404"/>
      <c r="NAI1" s="404"/>
      <c r="NAJ1" s="404"/>
      <c r="NAK1" s="404"/>
      <c r="NAL1" s="404"/>
      <c r="NAM1" s="404"/>
      <c r="NAN1" s="405"/>
      <c r="NAO1" s="432" t="s">
        <v>41</v>
      </c>
      <c r="NAP1" s="404"/>
      <c r="NAQ1" s="404"/>
      <c r="NAR1" s="404"/>
      <c r="NAS1" s="404"/>
      <c r="NAT1" s="404"/>
      <c r="NAU1" s="404"/>
      <c r="NAV1" s="405"/>
      <c r="NAW1" s="432" t="s">
        <v>41</v>
      </c>
      <c r="NAX1" s="404"/>
      <c r="NAY1" s="404"/>
      <c r="NAZ1" s="404"/>
      <c r="NBA1" s="404"/>
      <c r="NBB1" s="404"/>
      <c r="NBC1" s="404"/>
      <c r="NBD1" s="405"/>
      <c r="NBE1" s="432" t="s">
        <v>41</v>
      </c>
      <c r="NBF1" s="404"/>
      <c r="NBG1" s="404"/>
      <c r="NBH1" s="404"/>
      <c r="NBI1" s="404"/>
      <c r="NBJ1" s="404"/>
      <c r="NBK1" s="404"/>
      <c r="NBL1" s="405"/>
      <c r="NBM1" s="432" t="s">
        <v>41</v>
      </c>
      <c r="NBN1" s="404"/>
      <c r="NBO1" s="404"/>
      <c r="NBP1" s="404"/>
      <c r="NBQ1" s="404"/>
      <c r="NBR1" s="404"/>
      <c r="NBS1" s="404"/>
      <c r="NBT1" s="405"/>
      <c r="NBU1" s="432" t="s">
        <v>41</v>
      </c>
      <c r="NBV1" s="404"/>
      <c r="NBW1" s="404"/>
      <c r="NBX1" s="404"/>
      <c r="NBY1" s="404"/>
      <c r="NBZ1" s="404"/>
      <c r="NCA1" s="404"/>
      <c r="NCB1" s="405"/>
      <c r="NCC1" s="432" t="s">
        <v>41</v>
      </c>
      <c r="NCD1" s="404"/>
      <c r="NCE1" s="404"/>
      <c r="NCF1" s="404"/>
      <c r="NCG1" s="404"/>
      <c r="NCH1" s="404"/>
      <c r="NCI1" s="404"/>
      <c r="NCJ1" s="405"/>
      <c r="NCK1" s="432" t="s">
        <v>41</v>
      </c>
      <c r="NCL1" s="404"/>
      <c r="NCM1" s="404"/>
      <c r="NCN1" s="404"/>
      <c r="NCO1" s="404"/>
      <c r="NCP1" s="404"/>
      <c r="NCQ1" s="404"/>
      <c r="NCR1" s="405"/>
      <c r="NCS1" s="432" t="s">
        <v>41</v>
      </c>
      <c r="NCT1" s="404"/>
      <c r="NCU1" s="404"/>
      <c r="NCV1" s="404"/>
      <c r="NCW1" s="404"/>
      <c r="NCX1" s="404"/>
      <c r="NCY1" s="404"/>
      <c r="NCZ1" s="405"/>
      <c r="NDA1" s="432" t="s">
        <v>41</v>
      </c>
      <c r="NDB1" s="404"/>
      <c r="NDC1" s="404"/>
      <c r="NDD1" s="404"/>
      <c r="NDE1" s="404"/>
      <c r="NDF1" s="404"/>
      <c r="NDG1" s="404"/>
      <c r="NDH1" s="405"/>
      <c r="NDI1" s="432" t="s">
        <v>41</v>
      </c>
      <c r="NDJ1" s="404"/>
      <c r="NDK1" s="404"/>
      <c r="NDL1" s="404"/>
      <c r="NDM1" s="404"/>
      <c r="NDN1" s="404"/>
      <c r="NDO1" s="404"/>
      <c r="NDP1" s="405"/>
      <c r="NDQ1" s="432" t="s">
        <v>41</v>
      </c>
      <c r="NDR1" s="404"/>
      <c r="NDS1" s="404"/>
      <c r="NDT1" s="404"/>
      <c r="NDU1" s="404"/>
      <c r="NDV1" s="404"/>
      <c r="NDW1" s="404"/>
      <c r="NDX1" s="405"/>
      <c r="NDY1" s="432" t="s">
        <v>41</v>
      </c>
      <c r="NDZ1" s="404"/>
      <c r="NEA1" s="404"/>
      <c r="NEB1" s="404"/>
      <c r="NEC1" s="404"/>
      <c r="NED1" s="404"/>
      <c r="NEE1" s="404"/>
      <c r="NEF1" s="405"/>
      <c r="NEG1" s="432" t="s">
        <v>41</v>
      </c>
      <c r="NEH1" s="404"/>
      <c r="NEI1" s="404"/>
      <c r="NEJ1" s="404"/>
      <c r="NEK1" s="404"/>
      <c r="NEL1" s="404"/>
      <c r="NEM1" s="404"/>
      <c r="NEN1" s="405"/>
      <c r="NEO1" s="432" t="s">
        <v>41</v>
      </c>
      <c r="NEP1" s="404"/>
      <c r="NEQ1" s="404"/>
      <c r="NER1" s="404"/>
      <c r="NES1" s="404"/>
      <c r="NET1" s="404"/>
      <c r="NEU1" s="404"/>
      <c r="NEV1" s="405"/>
      <c r="NEW1" s="432" t="s">
        <v>41</v>
      </c>
      <c r="NEX1" s="404"/>
      <c r="NEY1" s="404"/>
      <c r="NEZ1" s="404"/>
      <c r="NFA1" s="404"/>
      <c r="NFB1" s="404"/>
      <c r="NFC1" s="404"/>
      <c r="NFD1" s="405"/>
      <c r="NFE1" s="432" t="s">
        <v>41</v>
      </c>
      <c r="NFF1" s="404"/>
      <c r="NFG1" s="404"/>
      <c r="NFH1" s="404"/>
      <c r="NFI1" s="404"/>
      <c r="NFJ1" s="404"/>
      <c r="NFK1" s="404"/>
      <c r="NFL1" s="405"/>
      <c r="NFM1" s="432" t="s">
        <v>41</v>
      </c>
      <c r="NFN1" s="404"/>
      <c r="NFO1" s="404"/>
      <c r="NFP1" s="404"/>
      <c r="NFQ1" s="404"/>
      <c r="NFR1" s="404"/>
      <c r="NFS1" s="404"/>
      <c r="NFT1" s="405"/>
      <c r="NFU1" s="432" t="s">
        <v>41</v>
      </c>
      <c r="NFV1" s="404"/>
      <c r="NFW1" s="404"/>
      <c r="NFX1" s="404"/>
      <c r="NFY1" s="404"/>
      <c r="NFZ1" s="404"/>
      <c r="NGA1" s="404"/>
      <c r="NGB1" s="405"/>
      <c r="NGC1" s="432" t="s">
        <v>41</v>
      </c>
      <c r="NGD1" s="404"/>
      <c r="NGE1" s="404"/>
      <c r="NGF1" s="404"/>
      <c r="NGG1" s="404"/>
      <c r="NGH1" s="404"/>
      <c r="NGI1" s="404"/>
      <c r="NGJ1" s="405"/>
      <c r="NGK1" s="432" t="s">
        <v>41</v>
      </c>
      <c r="NGL1" s="404"/>
      <c r="NGM1" s="404"/>
      <c r="NGN1" s="404"/>
      <c r="NGO1" s="404"/>
      <c r="NGP1" s="404"/>
      <c r="NGQ1" s="404"/>
      <c r="NGR1" s="405"/>
      <c r="NGS1" s="432" t="s">
        <v>41</v>
      </c>
      <c r="NGT1" s="404"/>
      <c r="NGU1" s="404"/>
      <c r="NGV1" s="404"/>
      <c r="NGW1" s="404"/>
      <c r="NGX1" s="404"/>
      <c r="NGY1" s="404"/>
      <c r="NGZ1" s="405"/>
      <c r="NHA1" s="432" t="s">
        <v>41</v>
      </c>
      <c r="NHB1" s="404"/>
      <c r="NHC1" s="404"/>
      <c r="NHD1" s="404"/>
      <c r="NHE1" s="404"/>
      <c r="NHF1" s="404"/>
      <c r="NHG1" s="404"/>
      <c r="NHH1" s="405"/>
      <c r="NHI1" s="432" t="s">
        <v>41</v>
      </c>
      <c r="NHJ1" s="404"/>
      <c r="NHK1" s="404"/>
      <c r="NHL1" s="404"/>
      <c r="NHM1" s="404"/>
      <c r="NHN1" s="404"/>
      <c r="NHO1" s="404"/>
      <c r="NHP1" s="405"/>
      <c r="NHQ1" s="432" t="s">
        <v>41</v>
      </c>
      <c r="NHR1" s="404"/>
      <c r="NHS1" s="404"/>
      <c r="NHT1" s="404"/>
      <c r="NHU1" s="404"/>
      <c r="NHV1" s="404"/>
      <c r="NHW1" s="404"/>
      <c r="NHX1" s="405"/>
      <c r="NHY1" s="432" t="s">
        <v>41</v>
      </c>
      <c r="NHZ1" s="404"/>
      <c r="NIA1" s="404"/>
      <c r="NIB1" s="404"/>
      <c r="NIC1" s="404"/>
      <c r="NID1" s="404"/>
      <c r="NIE1" s="404"/>
      <c r="NIF1" s="405"/>
      <c r="NIG1" s="432" t="s">
        <v>41</v>
      </c>
      <c r="NIH1" s="404"/>
      <c r="NII1" s="404"/>
      <c r="NIJ1" s="404"/>
      <c r="NIK1" s="404"/>
      <c r="NIL1" s="404"/>
      <c r="NIM1" s="404"/>
      <c r="NIN1" s="405"/>
      <c r="NIO1" s="432" t="s">
        <v>41</v>
      </c>
      <c r="NIP1" s="404"/>
      <c r="NIQ1" s="404"/>
      <c r="NIR1" s="404"/>
      <c r="NIS1" s="404"/>
      <c r="NIT1" s="404"/>
      <c r="NIU1" s="404"/>
      <c r="NIV1" s="405"/>
      <c r="NIW1" s="432" t="s">
        <v>41</v>
      </c>
      <c r="NIX1" s="404"/>
      <c r="NIY1" s="404"/>
      <c r="NIZ1" s="404"/>
      <c r="NJA1" s="404"/>
      <c r="NJB1" s="404"/>
      <c r="NJC1" s="404"/>
      <c r="NJD1" s="405"/>
      <c r="NJE1" s="432" t="s">
        <v>41</v>
      </c>
      <c r="NJF1" s="404"/>
      <c r="NJG1" s="404"/>
      <c r="NJH1" s="404"/>
      <c r="NJI1" s="404"/>
      <c r="NJJ1" s="404"/>
      <c r="NJK1" s="404"/>
      <c r="NJL1" s="405"/>
      <c r="NJM1" s="432" t="s">
        <v>41</v>
      </c>
      <c r="NJN1" s="404"/>
      <c r="NJO1" s="404"/>
      <c r="NJP1" s="404"/>
      <c r="NJQ1" s="404"/>
      <c r="NJR1" s="404"/>
      <c r="NJS1" s="404"/>
      <c r="NJT1" s="405"/>
      <c r="NJU1" s="432" t="s">
        <v>41</v>
      </c>
      <c r="NJV1" s="404"/>
      <c r="NJW1" s="404"/>
      <c r="NJX1" s="404"/>
      <c r="NJY1" s="404"/>
      <c r="NJZ1" s="404"/>
      <c r="NKA1" s="404"/>
      <c r="NKB1" s="405"/>
      <c r="NKC1" s="432" t="s">
        <v>41</v>
      </c>
      <c r="NKD1" s="404"/>
      <c r="NKE1" s="404"/>
      <c r="NKF1" s="404"/>
      <c r="NKG1" s="404"/>
      <c r="NKH1" s="404"/>
      <c r="NKI1" s="404"/>
      <c r="NKJ1" s="405"/>
      <c r="NKK1" s="432" t="s">
        <v>41</v>
      </c>
      <c r="NKL1" s="404"/>
      <c r="NKM1" s="404"/>
      <c r="NKN1" s="404"/>
      <c r="NKO1" s="404"/>
      <c r="NKP1" s="404"/>
      <c r="NKQ1" s="404"/>
      <c r="NKR1" s="405"/>
      <c r="NKS1" s="432" t="s">
        <v>41</v>
      </c>
      <c r="NKT1" s="404"/>
      <c r="NKU1" s="404"/>
      <c r="NKV1" s="404"/>
      <c r="NKW1" s="404"/>
      <c r="NKX1" s="404"/>
      <c r="NKY1" s="404"/>
      <c r="NKZ1" s="405"/>
      <c r="NLA1" s="432" t="s">
        <v>41</v>
      </c>
      <c r="NLB1" s="404"/>
      <c r="NLC1" s="404"/>
      <c r="NLD1" s="404"/>
      <c r="NLE1" s="404"/>
      <c r="NLF1" s="404"/>
      <c r="NLG1" s="404"/>
      <c r="NLH1" s="405"/>
      <c r="NLI1" s="432" t="s">
        <v>41</v>
      </c>
      <c r="NLJ1" s="404"/>
      <c r="NLK1" s="404"/>
      <c r="NLL1" s="404"/>
      <c r="NLM1" s="404"/>
      <c r="NLN1" s="404"/>
      <c r="NLO1" s="404"/>
      <c r="NLP1" s="405"/>
      <c r="NLQ1" s="432" t="s">
        <v>41</v>
      </c>
      <c r="NLR1" s="404"/>
      <c r="NLS1" s="404"/>
      <c r="NLT1" s="404"/>
      <c r="NLU1" s="404"/>
      <c r="NLV1" s="404"/>
      <c r="NLW1" s="404"/>
      <c r="NLX1" s="405"/>
      <c r="NLY1" s="432" t="s">
        <v>41</v>
      </c>
      <c r="NLZ1" s="404"/>
      <c r="NMA1" s="404"/>
      <c r="NMB1" s="404"/>
      <c r="NMC1" s="404"/>
      <c r="NMD1" s="404"/>
      <c r="NME1" s="404"/>
      <c r="NMF1" s="405"/>
      <c r="NMG1" s="432" t="s">
        <v>41</v>
      </c>
      <c r="NMH1" s="404"/>
      <c r="NMI1" s="404"/>
      <c r="NMJ1" s="404"/>
      <c r="NMK1" s="404"/>
      <c r="NML1" s="404"/>
      <c r="NMM1" s="404"/>
      <c r="NMN1" s="405"/>
      <c r="NMO1" s="432" t="s">
        <v>41</v>
      </c>
      <c r="NMP1" s="404"/>
      <c r="NMQ1" s="404"/>
      <c r="NMR1" s="404"/>
      <c r="NMS1" s="404"/>
      <c r="NMT1" s="404"/>
      <c r="NMU1" s="404"/>
      <c r="NMV1" s="405"/>
      <c r="NMW1" s="432" t="s">
        <v>41</v>
      </c>
      <c r="NMX1" s="404"/>
      <c r="NMY1" s="404"/>
      <c r="NMZ1" s="404"/>
      <c r="NNA1" s="404"/>
      <c r="NNB1" s="404"/>
      <c r="NNC1" s="404"/>
      <c r="NND1" s="405"/>
      <c r="NNE1" s="432" t="s">
        <v>41</v>
      </c>
      <c r="NNF1" s="404"/>
      <c r="NNG1" s="404"/>
      <c r="NNH1" s="404"/>
      <c r="NNI1" s="404"/>
      <c r="NNJ1" s="404"/>
      <c r="NNK1" s="404"/>
      <c r="NNL1" s="405"/>
      <c r="NNM1" s="432" t="s">
        <v>41</v>
      </c>
      <c r="NNN1" s="404"/>
      <c r="NNO1" s="404"/>
      <c r="NNP1" s="404"/>
      <c r="NNQ1" s="404"/>
      <c r="NNR1" s="404"/>
      <c r="NNS1" s="404"/>
      <c r="NNT1" s="405"/>
      <c r="NNU1" s="432" t="s">
        <v>41</v>
      </c>
      <c r="NNV1" s="404"/>
      <c r="NNW1" s="404"/>
      <c r="NNX1" s="404"/>
      <c r="NNY1" s="404"/>
      <c r="NNZ1" s="404"/>
      <c r="NOA1" s="404"/>
      <c r="NOB1" s="405"/>
      <c r="NOC1" s="432" t="s">
        <v>41</v>
      </c>
      <c r="NOD1" s="404"/>
      <c r="NOE1" s="404"/>
      <c r="NOF1" s="404"/>
      <c r="NOG1" s="404"/>
      <c r="NOH1" s="404"/>
      <c r="NOI1" s="404"/>
      <c r="NOJ1" s="405"/>
      <c r="NOK1" s="432" t="s">
        <v>41</v>
      </c>
      <c r="NOL1" s="404"/>
      <c r="NOM1" s="404"/>
      <c r="NON1" s="404"/>
      <c r="NOO1" s="404"/>
      <c r="NOP1" s="404"/>
      <c r="NOQ1" s="404"/>
      <c r="NOR1" s="405"/>
      <c r="NOS1" s="432" t="s">
        <v>41</v>
      </c>
      <c r="NOT1" s="404"/>
      <c r="NOU1" s="404"/>
      <c r="NOV1" s="404"/>
      <c r="NOW1" s="404"/>
      <c r="NOX1" s="404"/>
      <c r="NOY1" s="404"/>
      <c r="NOZ1" s="405"/>
      <c r="NPA1" s="432" t="s">
        <v>41</v>
      </c>
      <c r="NPB1" s="404"/>
      <c r="NPC1" s="404"/>
      <c r="NPD1" s="404"/>
      <c r="NPE1" s="404"/>
      <c r="NPF1" s="404"/>
      <c r="NPG1" s="404"/>
      <c r="NPH1" s="405"/>
      <c r="NPI1" s="432" t="s">
        <v>41</v>
      </c>
      <c r="NPJ1" s="404"/>
      <c r="NPK1" s="404"/>
      <c r="NPL1" s="404"/>
      <c r="NPM1" s="404"/>
      <c r="NPN1" s="404"/>
      <c r="NPO1" s="404"/>
      <c r="NPP1" s="405"/>
      <c r="NPQ1" s="432" t="s">
        <v>41</v>
      </c>
      <c r="NPR1" s="404"/>
      <c r="NPS1" s="404"/>
      <c r="NPT1" s="404"/>
      <c r="NPU1" s="404"/>
      <c r="NPV1" s="404"/>
      <c r="NPW1" s="404"/>
      <c r="NPX1" s="405"/>
      <c r="NPY1" s="432" t="s">
        <v>41</v>
      </c>
      <c r="NPZ1" s="404"/>
      <c r="NQA1" s="404"/>
      <c r="NQB1" s="404"/>
      <c r="NQC1" s="404"/>
      <c r="NQD1" s="404"/>
      <c r="NQE1" s="404"/>
      <c r="NQF1" s="405"/>
      <c r="NQG1" s="432" t="s">
        <v>41</v>
      </c>
      <c r="NQH1" s="404"/>
      <c r="NQI1" s="404"/>
      <c r="NQJ1" s="404"/>
      <c r="NQK1" s="404"/>
      <c r="NQL1" s="404"/>
      <c r="NQM1" s="404"/>
      <c r="NQN1" s="405"/>
      <c r="NQO1" s="432" t="s">
        <v>41</v>
      </c>
      <c r="NQP1" s="404"/>
      <c r="NQQ1" s="404"/>
      <c r="NQR1" s="404"/>
      <c r="NQS1" s="404"/>
      <c r="NQT1" s="404"/>
      <c r="NQU1" s="404"/>
      <c r="NQV1" s="405"/>
      <c r="NQW1" s="432" t="s">
        <v>41</v>
      </c>
      <c r="NQX1" s="404"/>
      <c r="NQY1" s="404"/>
      <c r="NQZ1" s="404"/>
      <c r="NRA1" s="404"/>
      <c r="NRB1" s="404"/>
      <c r="NRC1" s="404"/>
      <c r="NRD1" s="405"/>
      <c r="NRE1" s="432" t="s">
        <v>41</v>
      </c>
      <c r="NRF1" s="404"/>
      <c r="NRG1" s="404"/>
      <c r="NRH1" s="404"/>
      <c r="NRI1" s="404"/>
      <c r="NRJ1" s="404"/>
      <c r="NRK1" s="404"/>
      <c r="NRL1" s="405"/>
      <c r="NRM1" s="432" t="s">
        <v>41</v>
      </c>
      <c r="NRN1" s="404"/>
      <c r="NRO1" s="404"/>
      <c r="NRP1" s="404"/>
      <c r="NRQ1" s="404"/>
      <c r="NRR1" s="404"/>
      <c r="NRS1" s="404"/>
      <c r="NRT1" s="405"/>
      <c r="NRU1" s="432" t="s">
        <v>41</v>
      </c>
      <c r="NRV1" s="404"/>
      <c r="NRW1" s="404"/>
      <c r="NRX1" s="404"/>
      <c r="NRY1" s="404"/>
      <c r="NRZ1" s="404"/>
      <c r="NSA1" s="404"/>
      <c r="NSB1" s="405"/>
      <c r="NSC1" s="432" t="s">
        <v>41</v>
      </c>
      <c r="NSD1" s="404"/>
      <c r="NSE1" s="404"/>
      <c r="NSF1" s="404"/>
      <c r="NSG1" s="404"/>
      <c r="NSH1" s="404"/>
      <c r="NSI1" s="404"/>
      <c r="NSJ1" s="405"/>
      <c r="NSK1" s="432" t="s">
        <v>41</v>
      </c>
      <c r="NSL1" s="404"/>
      <c r="NSM1" s="404"/>
      <c r="NSN1" s="404"/>
      <c r="NSO1" s="404"/>
      <c r="NSP1" s="404"/>
      <c r="NSQ1" s="404"/>
      <c r="NSR1" s="405"/>
      <c r="NSS1" s="432" t="s">
        <v>41</v>
      </c>
      <c r="NST1" s="404"/>
      <c r="NSU1" s="404"/>
      <c r="NSV1" s="404"/>
      <c r="NSW1" s="404"/>
      <c r="NSX1" s="404"/>
      <c r="NSY1" s="404"/>
      <c r="NSZ1" s="405"/>
      <c r="NTA1" s="432" t="s">
        <v>41</v>
      </c>
      <c r="NTB1" s="404"/>
      <c r="NTC1" s="404"/>
      <c r="NTD1" s="404"/>
      <c r="NTE1" s="404"/>
      <c r="NTF1" s="404"/>
      <c r="NTG1" s="404"/>
      <c r="NTH1" s="405"/>
      <c r="NTI1" s="432" t="s">
        <v>41</v>
      </c>
      <c r="NTJ1" s="404"/>
      <c r="NTK1" s="404"/>
      <c r="NTL1" s="404"/>
      <c r="NTM1" s="404"/>
      <c r="NTN1" s="404"/>
      <c r="NTO1" s="404"/>
      <c r="NTP1" s="405"/>
      <c r="NTQ1" s="432" t="s">
        <v>41</v>
      </c>
      <c r="NTR1" s="404"/>
      <c r="NTS1" s="404"/>
      <c r="NTT1" s="404"/>
      <c r="NTU1" s="404"/>
      <c r="NTV1" s="404"/>
      <c r="NTW1" s="404"/>
      <c r="NTX1" s="405"/>
      <c r="NTY1" s="432" t="s">
        <v>41</v>
      </c>
      <c r="NTZ1" s="404"/>
      <c r="NUA1" s="404"/>
      <c r="NUB1" s="404"/>
      <c r="NUC1" s="404"/>
      <c r="NUD1" s="404"/>
      <c r="NUE1" s="404"/>
      <c r="NUF1" s="405"/>
      <c r="NUG1" s="432" t="s">
        <v>41</v>
      </c>
      <c r="NUH1" s="404"/>
      <c r="NUI1" s="404"/>
      <c r="NUJ1" s="404"/>
      <c r="NUK1" s="404"/>
      <c r="NUL1" s="404"/>
      <c r="NUM1" s="404"/>
      <c r="NUN1" s="405"/>
      <c r="NUO1" s="432" t="s">
        <v>41</v>
      </c>
      <c r="NUP1" s="404"/>
      <c r="NUQ1" s="404"/>
      <c r="NUR1" s="404"/>
      <c r="NUS1" s="404"/>
      <c r="NUT1" s="404"/>
      <c r="NUU1" s="404"/>
      <c r="NUV1" s="405"/>
      <c r="NUW1" s="432" t="s">
        <v>41</v>
      </c>
      <c r="NUX1" s="404"/>
      <c r="NUY1" s="404"/>
      <c r="NUZ1" s="404"/>
      <c r="NVA1" s="404"/>
      <c r="NVB1" s="404"/>
      <c r="NVC1" s="404"/>
      <c r="NVD1" s="405"/>
      <c r="NVE1" s="432" t="s">
        <v>41</v>
      </c>
      <c r="NVF1" s="404"/>
      <c r="NVG1" s="404"/>
      <c r="NVH1" s="404"/>
      <c r="NVI1" s="404"/>
      <c r="NVJ1" s="404"/>
      <c r="NVK1" s="404"/>
      <c r="NVL1" s="405"/>
      <c r="NVM1" s="432" t="s">
        <v>41</v>
      </c>
      <c r="NVN1" s="404"/>
      <c r="NVO1" s="404"/>
      <c r="NVP1" s="404"/>
      <c r="NVQ1" s="404"/>
      <c r="NVR1" s="404"/>
      <c r="NVS1" s="404"/>
      <c r="NVT1" s="405"/>
      <c r="NVU1" s="432" t="s">
        <v>41</v>
      </c>
      <c r="NVV1" s="404"/>
      <c r="NVW1" s="404"/>
      <c r="NVX1" s="404"/>
      <c r="NVY1" s="404"/>
      <c r="NVZ1" s="404"/>
      <c r="NWA1" s="404"/>
      <c r="NWB1" s="405"/>
      <c r="NWC1" s="432" t="s">
        <v>41</v>
      </c>
      <c r="NWD1" s="404"/>
      <c r="NWE1" s="404"/>
      <c r="NWF1" s="404"/>
      <c r="NWG1" s="404"/>
      <c r="NWH1" s="404"/>
      <c r="NWI1" s="404"/>
      <c r="NWJ1" s="405"/>
      <c r="NWK1" s="432" t="s">
        <v>41</v>
      </c>
      <c r="NWL1" s="404"/>
      <c r="NWM1" s="404"/>
      <c r="NWN1" s="404"/>
      <c r="NWO1" s="404"/>
      <c r="NWP1" s="404"/>
      <c r="NWQ1" s="404"/>
      <c r="NWR1" s="405"/>
      <c r="NWS1" s="432" t="s">
        <v>41</v>
      </c>
      <c r="NWT1" s="404"/>
      <c r="NWU1" s="404"/>
      <c r="NWV1" s="404"/>
      <c r="NWW1" s="404"/>
      <c r="NWX1" s="404"/>
      <c r="NWY1" s="404"/>
      <c r="NWZ1" s="405"/>
      <c r="NXA1" s="432" t="s">
        <v>41</v>
      </c>
      <c r="NXB1" s="404"/>
      <c r="NXC1" s="404"/>
      <c r="NXD1" s="404"/>
      <c r="NXE1" s="404"/>
      <c r="NXF1" s="404"/>
      <c r="NXG1" s="404"/>
      <c r="NXH1" s="405"/>
      <c r="NXI1" s="432" t="s">
        <v>41</v>
      </c>
      <c r="NXJ1" s="404"/>
      <c r="NXK1" s="404"/>
      <c r="NXL1" s="404"/>
      <c r="NXM1" s="404"/>
      <c r="NXN1" s="404"/>
      <c r="NXO1" s="404"/>
      <c r="NXP1" s="405"/>
      <c r="NXQ1" s="432" t="s">
        <v>41</v>
      </c>
      <c r="NXR1" s="404"/>
      <c r="NXS1" s="404"/>
      <c r="NXT1" s="404"/>
      <c r="NXU1" s="404"/>
      <c r="NXV1" s="404"/>
      <c r="NXW1" s="404"/>
      <c r="NXX1" s="405"/>
      <c r="NXY1" s="432" t="s">
        <v>41</v>
      </c>
      <c r="NXZ1" s="404"/>
      <c r="NYA1" s="404"/>
      <c r="NYB1" s="404"/>
      <c r="NYC1" s="404"/>
      <c r="NYD1" s="404"/>
      <c r="NYE1" s="404"/>
      <c r="NYF1" s="405"/>
      <c r="NYG1" s="432" t="s">
        <v>41</v>
      </c>
      <c r="NYH1" s="404"/>
      <c r="NYI1" s="404"/>
      <c r="NYJ1" s="404"/>
      <c r="NYK1" s="404"/>
      <c r="NYL1" s="404"/>
      <c r="NYM1" s="404"/>
      <c r="NYN1" s="405"/>
      <c r="NYO1" s="432" t="s">
        <v>41</v>
      </c>
      <c r="NYP1" s="404"/>
      <c r="NYQ1" s="404"/>
      <c r="NYR1" s="404"/>
      <c r="NYS1" s="404"/>
      <c r="NYT1" s="404"/>
      <c r="NYU1" s="404"/>
      <c r="NYV1" s="405"/>
      <c r="NYW1" s="432" t="s">
        <v>41</v>
      </c>
      <c r="NYX1" s="404"/>
      <c r="NYY1" s="404"/>
      <c r="NYZ1" s="404"/>
      <c r="NZA1" s="404"/>
      <c r="NZB1" s="404"/>
      <c r="NZC1" s="404"/>
      <c r="NZD1" s="405"/>
      <c r="NZE1" s="432" t="s">
        <v>41</v>
      </c>
      <c r="NZF1" s="404"/>
      <c r="NZG1" s="404"/>
      <c r="NZH1" s="404"/>
      <c r="NZI1" s="404"/>
      <c r="NZJ1" s="404"/>
      <c r="NZK1" s="404"/>
      <c r="NZL1" s="405"/>
      <c r="NZM1" s="432" t="s">
        <v>41</v>
      </c>
      <c r="NZN1" s="404"/>
      <c r="NZO1" s="404"/>
      <c r="NZP1" s="404"/>
      <c r="NZQ1" s="404"/>
      <c r="NZR1" s="404"/>
      <c r="NZS1" s="404"/>
      <c r="NZT1" s="405"/>
      <c r="NZU1" s="432" t="s">
        <v>41</v>
      </c>
      <c r="NZV1" s="404"/>
      <c r="NZW1" s="404"/>
      <c r="NZX1" s="404"/>
      <c r="NZY1" s="404"/>
      <c r="NZZ1" s="404"/>
      <c r="OAA1" s="404"/>
      <c r="OAB1" s="405"/>
      <c r="OAC1" s="432" t="s">
        <v>41</v>
      </c>
      <c r="OAD1" s="404"/>
      <c r="OAE1" s="404"/>
      <c r="OAF1" s="404"/>
      <c r="OAG1" s="404"/>
      <c r="OAH1" s="404"/>
      <c r="OAI1" s="404"/>
      <c r="OAJ1" s="405"/>
      <c r="OAK1" s="432" t="s">
        <v>41</v>
      </c>
      <c r="OAL1" s="404"/>
      <c r="OAM1" s="404"/>
      <c r="OAN1" s="404"/>
      <c r="OAO1" s="404"/>
      <c r="OAP1" s="404"/>
      <c r="OAQ1" s="404"/>
      <c r="OAR1" s="405"/>
      <c r="OAS1" s="432" t="s">
        <v>41</v>
      </c>
      <c r="OAT1" s="404"/>
      <c r="OAU1" s="404"/>
      <c r="OAV1" s="404"/>
      <c r="OAW1" s="404"/>
      <c r="OAX1" s="404"/>
      <c r="OAY1" s="404"/>
      <c r="OAZ1" s="405"/>
      <c r="OBA1" s="432" t="s">
        <v>41</v>
      </c>
      <c r="OBB1" s="404"/>
      <c r="OBC1" s="404"/>
      <c r="OBD1" s="404"/>
      <c r="OBE1" s="404"/>
      <c r="OBF1" s="404"/>
      <c r="OBG1" s="404"/>
      <c r="OBH1" s="405"/>
      <c r="OBI1" s="432" t="s">
        <v>41</v>
      </c>
      <c r="OBJ1" s="404"/>
      <c r="OBK1" s="404"/>
      <c r="OBL1" s="404"/>
      <c r="OBM1" s="404"/>
      <c r="OBN1" s="404"/>
      <c r="OBO1" s="404"/>
      <c r="OBP1" s="405"/>
      <c r="OBQ1" s="432" t="s">
        <v>41</v>
      </c>
      <c r="OBR1" s="404"/>
      <c r="OBS1" s="404"/>
      <c r="OBT1" s="404"/>
      <c r="OBU1" s="404"/>
      <c r="OBV1" s="404"/>
      <c r="OBW1" s="404"/>
      <c r="OBX1" s="405"/>
      <c r="OBY1" s="432" t="s">
        <v>41</v>
      </c>
      <c r="OBZ1" s="404"/>
      <c r="OCA1" s="404"/>
      <c r="OCB1" s="404"/>
      <c r="OCC1" s="404"/>
      <c r="OCD1" s="404"/>
      <c r="OCE1" s="404"/>
      <c r="OCF1" s="405"/>
      <c r="OCG1" s="432" t="s">
        <v>41</v>
      </c>
      <c r="OCH1" s="404"/>
      <c r="OCI1" s="404"/>
      <c r="OCJ1" s="404"/>
      <c r="OCK1" s="404"/>
      <c r="OCL1" s="404"/>
      <c r="OCM1" s="404"/>
      <c r="OCN1" s="405"/>
      <c r="OCO1" s="432" t="s">
        <v>41</v>
      </c>
      <c r="OCP1" s="404"/>
      <c r="OCQ1" s="404"/>
      <c r="OCR1" s="404"/>
      <c r="OCS1" s="404"/>
      <c r="OCT1" s="404"/>
      <c r="OCU1" s="404"/>
      <c r="OCV1" s="405"/>
      <c r="OCW1" s="432" t="s">
        <v>41</v>
      </c>
      <c r="OCX1" s="404"/>
      <c r="OCY1" s="404"/>
      <c r="OCZ1" s="404"/>
      <c r="ODA1" s="404"/>
      <c r="ODB1" s="404"/>
      <c r="ODC1" s="404"/>
      <c r="ODD1" s="405"/>
      <c r="ODE1" s="432" t="s">
        <v>41</v>
      </c>
      <c r="ODF1" s="404"/>
      <c r="ODG1" s="404"/>
      <c r="ODH1" s="404"/>
      <c r="ODI1" s="404"/>
      <c r="ODJ1" s="404"/>
      <c r="ODK1" s="404"/>
      <c r="ODL1" s="405"/>
      <c r="ODM1" s="432" t="s">
        <v>41</v>
      </c>
      <c r="ODN1" s="404"/>
      <c r="ODO1" s="404"/>
      <c r="ODP1" s="404"/>
      <c r="ODQ1" s="404"/>
      <c r="ODR1" s="404"/>
      <c r="ODS1" s="404"/>
      <c r="ODT1" s="405"/>
      <c r="ODU1" s="432" t="s">
        <v>41</v>
      </c>
      <c r="ODV1" s="404"/>
      <c r="ODW1" s="404"/>
      <c r="ODX1" s="404"/>
      <c r="ODY1" s="404"/>
      <c r="ODZ1" s="404"/>
      <c r="OEA1" s="404"/>
      <c r="OEB1" s="405"/>
      <c r="OEC1" s="432" t="s">
        <v>41</v>
      </c>
      <c r="OED1" s="404"/>
      <c r="OEE1" s="404"/>
      <c r="OEF1" s="404"/>
      <c r="OEG1" s="404"/>
      <c r="OEH1" s="404"/>
      <c r="OEI1" s="404"/>
      <c r="OEJ1" s="405"/>
      <c r="OEK1" s="432" t="s">
        <v>41</v>
      </c>
      <c r="OEL1" s="404"/>
      <c r="OEM1" s="404"/>
      <c r="OEN1" s="404"/>
      <c r="OEO1" s="404"/>
      <c r="OEP1" s="404"/>
      <c r="OEQ1" s="404"/>
      <c r="OER1" s="405"/>
      <c r="OES1" s="432" t="s">
        <v>41</v>
      </c>
      <c r="OET1" s="404"/>
      <c r="OEU1" s="404"/>
      <c r="OEV1" s="404"/>
      <c r="OEW1" s="404"/>
      <c r="OEX1" s="404"/>
      <c r="OEY1" s="404"/>
      <c r="OEZ1" s="405"/>
      <c r="OFA1" s="432" t="s">
        <v>41</v>
      </c>
      <c r="OFB1" s="404"/>
      <c r="OFC1" s="404"/>
      <c r="OFD1" s="404"/>
      <c r="OFE1" s="404"/>
      <c r="OFF1" s="404"/>
      <c r="OFG1" s="404"/>
      <c r="OFH1" s="405"/>
      <c r="OFI1" s="432" t="s">
        <v>41</v>
      </c>
      <c r="OFJ1" s="404"/>
      <c r="OFK1" s="404"/>
      <c r="OFL1" s="404"/>
      <c r="OFM1" s="404"/>
      <c r="OFN1" s="404"/>
      <c r="OFO1" s="404"/>
      <c r="OFP1" s="405"/>
      <c r="OFQ1" s="432" t="s">
        <v>41</v>
      </c>
      <c r="OFR1" s="404"/>
      <c r="OFS1" s="404"/>
      <c r="OFT1" s="404"/>
      <c r="OFU1" s="404"/>
      <c r="OFV1" s="404"/>
      <c r="OFW1" s="404"/>
      <c r="OFX1" s="405"/>
      <c r="OFY1" s="432" t="s">
        <v>41</v>
      </c>
      <c r="OFZ1" s="404"/>
      <c r="OGA1" s="404"/>
      <c r="OGB1" s="404"/>
      <c r="OGC1" s="404"/>
      <c r="OGD1" s="404"/>
      <c r="OGE1" s="404"/>
      <c r="OGF1" s="405"/>
      <c r="OGG1" s="432" t="s">
        <v>41</v>
      </c>
      <c r="OGH1" s="404"/>
      <c r="OGI1" s="404"/>
      <c r="OGJ1" s="404"/>
      <c r="OGK1" s="404"/>
      <c r="OGL1" s="404"/>
      <c r="OGM1" s="404"/>
      <c r="OGN1" s="405"/>
      <c r="OGO1" s="432" t="s">
        <v>41</v>
      </c>
      <c r="OGP1" s="404"/>
      <c r="OGQ1" s="404"/>
      <c r="OGR1" s="404"/>
      <c r="OGS1" s="404"/>
      <c r="OGT1" s="404"/>
      <c r="OGU1" s="404"/>
      <c r="OGV1" s="405"/>
      <c r="OGW1" s="432" t="s">
        <v>41</v>
      </c>
      <c r="OGX1" s="404"/>
      <c r="OGY1" s="404"/>
      <c r="OGZ1" s="404"/>
      <c r="OHA1" s="404"/>
      <c r="OHB1" s="404"/>
      <c r="OHC1" s="404"/>
      <c r="OHD1" s="405"/>
      <c r="OHE1" s="432" t="s">
        <v>41</v>
      </c>
      <c r="OHF1" s="404"/>
      <c r="OHG1" s="404"/>
      <c r="OHH1" s="404"/>
      <c r="OHI1" s="404"/>
      <c r="OHJ1" s="404"/>
      <c r="OHK1" s="404"/>
      <c r="OHL1" s="405"/>
      <c r="OHM1" s="432" t="s">
        <v>41</v>
      </c>
      <c r="OHN1" s="404"/>
      <c r="OHO1" s="404"/>
      <c r="OHP1" s="404"/>
      <c r="OHQ1" s="404"/>
      <c r="OHR1" s="404"/>
      <c r="OHS1" s="404"/>
      <c r="OHT1" s="405"/>
      <c r="OHU1" s="432" t="s">
        <v>41</v>
      </c>
      <c r="OHV1" s="404"/>
      <c r="OHW1" s="404"/>
      <c r="OHX1" s="404"/>
      <c r="OHY1" s="404"/>
      <c r="OHZ1" s="404"/>
      <c r="OIA1" s="404"/>
      <c r="OIB1" s="405"/>
      <c r="OIC1" s="432" t="s">
        <v>41</v>
      </c>
      <c r="OID1" s="404"/>
      <c r="OIE1" s="404"/>
      <c r="OIF1" s="404"/>
      <c r="OIG1" s="404"/>
      <c r="OIH1" s="404"/>
      <c r="OII1" s="404"/>
      <c r="OIJ1" s="405"/>
      <c r="OIK1" s="432" t="s">
        <v>41</v>
      </c>
      <c r="OIL1" s="404"/>
      <c r="OIM1" s="404"/>
      <c r="OIN1" s="404"/>
      <c r="OIO1" s="404"/>
      <c r="OIP1" s="404"/>
      <c r="OIQ1" s="404"/>
      <c r="OIR1" s="405"/>
      <c r="OIS1" s="432" t="s">
        <v>41</v>
      </c>
      <c r="OIT1" s="404"/>
      <c r="OIU1" s="404"/>
      <c r="OIV1" s="404"/>
      <c r="OIW1" s="404"/>
      <c r="OIX1" s="404"/>
      <c r="OIY1" s="404"/>
      <c r="OIZ1" s="405"/>
      <c r="OJA1" s="432" t="s">
        <v>41</v>
      </c>
      <c r="OJB1" s="404"/>
      <c r="OJC1" s="404"/>
      <c r="OJD1" s="404"/>
      <c r="OJE1" s="404"/>
      <c r="OJF1" s="404"/>
      <c r="OJG1" s="404"/>
      <c r="OJH1" s="405"/>
      <c r="OJI1" s="432" t="s">
        <v>41</v>
      </c>
      <c r="OJJ1" s="404"/>
      <c r="OJK1" s="404"/>
      <c r="OJL1" s="404"/>
      <c r="OJM1" s="404"/>
      <c r="OJN1" s="404"/>
      <c r="OJO1" s="404"/>
      <c r="OJP1" s="405"/>
      <c r="OJQ1" s="432" t="s">
        <v>41</v>
      </c>
      <c r="OJR1" s="404"/>
      <c r="OJS1" s="404"/>
      <c r="OJT1" s="404"/>
      <c r="OJU1" s="404"/>
      <c r="OJV1" s="404"/>
      <c r="OJW1" s="404"/>
      <c r="OJX1" s="405"/>
      <c r="OJY1" s="432" t="s">
        <v>41</v>
      </c>
      <c r="OJZ1" s="404"/>
      <c r="OKA1" s="404"/>
      <c r="OKB1" s="404"/>
      <c r="OKC1" s="404"/>
      <c r="OKD1" s="404"/>
      <c r="OKE1" s="404"/>
      <c r="OKF1" s="405"/>
      <c r="OKG1" s="432" t="s">
        <v>41</v>
      </c>
      <c r="OKH1" s="404"/>
      <c r="OKI1" s="404"/>
      <c r="OKJ1" s="404"/>
      <c r="OKK1" s="404"/>
      <c r="OKL1" s="404"/>
      <c r="OKM1" s="404"/>
      <c r="OKN1" s="405"/>
      <c r="OKO1" s="432" t="s">
        <v>41</v>
      </c>
      <c r="OKP1" s="404"/>
      <c r="OKQ1" s="404"/>
      <c r="OKR1" s="404"/>
      <c r="OKS1" s="404"/>
      <c r="OKT1" s="404"/>
      <c r="OKU1" s="404"/>
      <c r="OKV1" s="405"/>
      <c r="OKW1" s="432" t="s">
        <v>41</v>
      </c>
      <c r="OKX1" s="404"/>
      <c r="OKY1" s="404"/>
      <c r="OKZ1" s="404"/>
      <c r="OLA1" s="404"/>
      <c r="OLB1" s="404"/>
      <c r="OLC1" s="404"/>
      <c r="OLD1" s="405"/>
      <c r="OLE1" s="432" t="s">
        <v>41</v>
      </c>
      <c r="OLF1" s="404"/>
      <c r="OLG1" s="404"/>
      <c r="OLH1" s="404"/>
      <c r="OLI1" s="404"/>
      <c r="OLJ1" s="404"/>
      <c r="OLK1" s="404"/>
      <c r="OLL1" s="405"/>
      <c r="OLM1" s="432" t="s">
        <v>41</v>
      </c>
      <c r="OLN1" s="404"/>
      <c r="OLO1" s="404"/>
      <c r="OLP1" s="404"/>
      <c r="OLQ1" s="404"/>
      <c r="OLR1" s="404"/>
      <c r="OLS1" s="404"/>
      <c r="OLT1" s="405"/>
      <c r="OLU1" s="432" t="s">
        <v>41</v>
      </c>
      <c r="OLV1" s="404"/>
      <c r="OLW1" s="404"/>
      <c r="OLX1" s="404"/>
      <c r="OLY1" s="404"/>
      <c r="OLZ1" s="404"/>
      <c r="OMA1" s="404"/>
      <c r="OMB1" s="405"/>
      <c r="OMC1" s="432" t="s">
        <v>41</v>
      </c>
      <c r="OMD1" s="404"/>
      <c r="OME1" s="404"/>
      <c r="OMF1" s="404"/>
      <c r="OMG1" s="404"/>
      <c r="OMH1" s="404"/>
      <c r="OMI1" s="404"/>
      <c r="OMJ1" s="405"/>
      <c r="OMK1" s="432" t="s">
        <v>41</v>
      </c>
      <c r="OML1" s="404"/>
      <c r="OMM1" s="404"/>
      <c r="OMN1" s="404"/>
      <c r="OMO1" s="404"/>
      <c r="OMP1" s="404"/>
      <c r="OMQ1" s="404"/>
      <c r="OMR1" s="405"/>
      <c r="OMS1" s="432" t="s">
        <v>41</v>
      </c>
      <c r="OMT1" s="404"/>
      <c r="OMU1" s="404"/>
      <c r="OMV1" s="404"/>
      <c r="OMW1" s="404"/>
      <c r="OMX1" s="404"/>
      <c r="OMY1" s="404"/>
      <c r="OMZ1" s="405"/>
      <c r="ONA1" s="432" t="s">
        <v>41</v>
      </c>
      <c r="ONB1" s="404"/>
      <c r="ONC1" s="404"/>
      <c r="OND1" s="404"/>
      <c r="ONE1" s="404"/>
      <c r="ONF1" s="404"/>
      <c r="ONG1" s="404"/>
      <c r="ONH1" s="405"/>
      <c r="ONI1" s="432" t="s">
        <v>41</v>
      </c>
      <c r="ONJ1" s="404"/>
      <c r="ONK1" s="404"/>
      <c r="ONL1" s="404"/>
      <c r="ONM1" s="404"/>
      <c r="ONN1" s="404"/>
      <c r="ONO1" s="404"/>
      <c r="ONP1" s="405"/>
      <c r="ONQ1" s="432" t="s">
        <v>41</v>
      </c>
      <c r="ONR1" s="404"/>
      <c r="ONS1" s="404"/>
      <c r="ONT1" s="404"/>
      <c r="ONU1" s="404"/>
      <c r="ONV1" s="404"/>
      <c r="ONW1" s="404"/>
      <c r="ONX1" s="405"/>
      <c r="ONY1" s="432" t="s">
        <v>41</v>
      </c>
      <c r="ONZ1" s="404"/>
      <c r="OOA1" s="404"/>
      <c r="OOB1" s="404"/>
      <c r="OOC1" s="404"/>
      <c r="OOD1" s="404"/>
      <c r="OOE1" s="404"/>
      <c r="OOF1" s="405"/>
      <c r="OOG1" s="432" t="s">
        <v>41</v>
      </c>
      <c r="OOH1" s="404"/>
      <c r="OOI1" s="404"/>
      <c r="OOJ1" s="404"/>
      <c r="OOK1" s="404"/>
      <c r="OOL1" s="404"/>
      <c r="OOM1" s="404"/>
      <c r="OON1" s="405"/>
      <c r="OOO1" s="432" t="s">
        <v>41</v>
      </c>
      <c r="OOP1" s="404"/>
      <c r="OOQ1" s="404"/>
      <c r="OOR1" s="404"/>
      <c r="OOS1" s="404"/>
      <c r="OOT1" s="404"/>
      <c r="OOU1" s="404"/>
      <c r="OOV1" s="405"/>
      <c r="OOW1" s="432" t="s">
        <v>41</v>
      </c>
      <c r="OOX1" s="404"/>
      <c r="OOY1" s="404"/>
      <c r="OOZ1" s="404"/>
      <c r="OPA1" s="404"/>
      <c r="OPB1" s="404"/>
      <c r="OPC1" s="404"/>
      <c r="OPD1" s="405"/>
      <c r="OPE1" s="432" t="s">
        <v>41</v>
      </c>
      <c r="OPF1" s="404"/>
      <c r="OPG1" s="404"/>
      <c r="OPH1" s="404"/>
      <c r="OPI1" s="404"/>
      <c r="OPJ1" s="404"/>
      <c r="OPK1" s="404"/>
      <c r="OPL1" s="405"/>
      <c r="OPM1" s="432" t="s">
        <v>41</v>
      </c>
      <c r="OPN1" s="404"/>
      <c r="OPO1" s="404"/>
      <c r="OPP1" s="404"/>
      <c r="OPQ1" s="404"/>
      <c r="OPR1" s="404"/>
      <c r="OPS1" s="404"/>
      <c r="OPT1" s="405"/>
      <c r="OPU1" s="432" t="s">
        <v>41</v>
      </c>
      <c r="OPV1" s="404"/>
      <c r="OPW1" s="404"/>
      <c r="OPX1" s="404"/>
      <c r="OPY1" s="404"/>
      <c r="OPZ1" s="404"/>
      <c r="OQA1" s="404"/>
      <c r="OQB1" s="405"/>
      <c r="OQC1" s="432" t="s">
        <v>41</v>
      </c>
      <c r="OQD1" s="404"/>
      <c r="OQE1" s="404"/>
      <c r="OQF1" s="404"/>
      <c r="OQG1" s="404"/>
      <c r="OQH1" s="404"/>
      <c r="OQI1" s="404"/>
      <c r="OQJ1" s="405"/>
      <c r="OQK1" s="432" t="s">
        <v>41</v>
      </c>
      <c r="OQL1" s="404"/>
      <c r="OQM1" s="404"/>
      <c r="OQN1" s="404"/>
      <c r="OQO1" s="404"/>
      <c r="OQP1" s="404"/>
      <c r="OQQ1" s="404"/>
      <c r="OQR1" s="405"/>
      <c r="OQS1" s="432" t="s">
        <v>41</v>
      </c>
      <c r="OQT1" s="404"/>
      <c r="OQU1" s="404"/>
      <c r="OQV1" s="404"/>
      <c r="OQW1" s="404"/>
      <c r="OQX1" s="404"/>
      <c r="OQY1" s="404"/>
      <c r="OQZ1" s="405"/>
      <c r="ORA1" s="432" t="s">
        <v>41</v>
      </c>
      <c r="ORB1" s="404"/>
      <c r="ORC1" s="404"/>
      <c r="ORD1" s="404"/>
      <c r="ORE1" s="404"/>
      <c r="ORF1" s="404"/>
      <c r="ORG1" s="404"/>
      <c r="ORH1" s="405"/>
      <c r="ORI1" s="432" t="s">
        <v>41</v>
      </c>
      <c r="ORJ1" s="404"/>
      <c r="ORK1" s="404"/>
      <c r="ORL1" s="404"/>
      <c r="ORM1" s="404"/>
      <c r="ORN1" s="404"/>
      <c r="ORO1" s="404"/>
      <c r="ORP1" s="405"/>
      <c r="ORQ1" s="432" t="s">
        <v>41</v>
      </c>
      <c r="ORR1" s="404"/>
      <c r="ORS1" s="404"/>
      <c r="ORT1" s="404"/>
      <c r="ORU1" s="404"/>
      <c r="ORV1" s="404"/>
      <c r="ORW1" s="404"/>
      <c r="ORX1" s="405"/>
      <c r="ORY1" s="432" t="s">
        <v>41</v>
      </c>
      <c r="ORZ1" s="404"/>
      <c r="OSA1" s="404"/>
      <c r="OSB1" s="404"/>
      <c r="OSC1" s="404"/>
      <c r="OSD1" s="404"/>
      <c r="OSE1" s="404"/>
      <c r="OSF1" s="405"/>
      <c r="OSG1" s="432" t="s">
        <v>41</v>
      </c>
      <c r="OSH1" s="404"/>
      <c r="OSI1" s="404"/>
      <c r="OSJ1" s="404"/>
      <c r="OSK1" s="404"/>
      <c r="OSL1" s="404"/>
      <c r="OSM1" s="404"/>
      <c r="OSN1" s="405"/>
      <c r="OSO1" s="432" t="s">
        <v>41</v>
      </c>
      <c r="OSP1" s="404"/>
      <c r="OSQ1" s="404"/>
      <c r="OSR1" s="404"/>
      <c r="OSS1" s="404"/>
      <c r="OST1" s="404"/>
      <c r="OSU1" s="404"/>
      <c r="OSV1" s="405"/>
      <c r="OSW1" s="432" t="s">
        <v>41</v>
      </c>
      <c r="OSX1" s="404"/>
      <c r="OSY1" s="404"/>
      <c r="OSZ1" s="404"/>
      <c r="OTA1" s="404"/>
      <c r="OTB1" s="404"/>
      <c r="OTC1" s="404"/>
      <c r="OTD1" s="405"/>
      <c r="OTE1" s="432" t="s">
        <v>41</v>
      </c>
      <c r="OTF1" s="404"/>
      <c r="OTG1" s="404"/>
      <c r="OTH1" s="404"/>
      <c r="OTI1" s="404"/>
      <c r="OTJ1" s="404"/>
      <c r="OTK1" s="404"/>
      <c r="OTL1" s="405"/>
      <c r="OTM1" s="432" t="s">
        <v>41</v>
      </c>
      <c r="OTN1" s="404"/>
      <c r="OTO1" s="404"/>
      <c r="OTP1" s="404"/>
      <c r="OTQ1" s="404"/>
      <c r="OTR1" s="404"/>
      <c r="OTS1" s="404"/>
      <c r="OTT1" s="405"/>
      <c r="OTU1" s="432" t="s">
        <v>41</v>
      </c>
      <c r="OTV1" s="404"/>
      <c r="OTW1" s="404"/>
      <c r="OTX1" s="404"/>
      <c r="OTY1" s="404"/>
      <c r="OTZ1" s="404"/>
      <c r="OUA1" s="404"/>
      <c r="OUB1" s="405"/>
      <c r="OUC1" s="432" t="s">
        <v>41</v>
      </c>
      <c r="OUD1" s="404"/>
      <c r="OUE1" s="404"/>
      <c r="OUF1" s="404"/>
      <c r="OUG1" s="404"/>
      <c r="OUH1" s="404"/>
      <c r="OUI1" s="404"/>
      <c r="OUJ1" s="405"/>
      <c r="OUK1" s="432" t="s">
        <v>41</v>
      </c>
      <c r="OUL1" s="404"/>
      <c r="OUM1" s="404"/>
      <c r="OUN1" s="404"/>
      <c r="OUO1" s="404"/>
      <c r="OUP1" s="404"/>
      <c r="OUQ1" s="404"/>
      <c r="OUR1" s="405"/>
      <c r="OUS1" s="432" t="s">
        <v>41</v>
      </c>
      <c r="OUT1" s="404"/>
      <c r="OUU1" s="404"/>
      <c r="OUV1" s="404"/>
      <c r="OUW1" s="404"/>
      <c r="OUX1" s="404"/>
      <c r="OUY1" s="404"/>
      <c r="OUZ1" s="405"/>
      <c r="OVA1" s="432" t="s">
        <v>41</v>
      </c>
      <c r="OVB1" s="404"/>
      <c r="OVC1" s="404"/>
      <c r="OVD1" s="404"/>
      <c r="OVE1" s="404"/>
      <c r="OVF1" s="404"/>
      <c r="OVG1" s="404"/>
      <c r="OVH1" s="405"/>
      <c r="OVI1" s="432" t="s">
        <v>41</v>
      </c>
      <c r="OVJ1" s="404"/>
      <c r="OVK1" s="404"/>
      <c r="OVL1" s="404"/>
      <c r="OVM1" s="404"/>
      <c r="OVN1" s="404"/>
      <c r="OVO1" s="404"/>
      <c r="OVP1" s="405"/>
      <c r="OVQ1" s="432" t="s">
        <v>41</v>
      </c>
      <c r="OVR1" s="404"/>
      <c r="OVS1" s="404"/>
      <c r="OVT1" s="404"/>
      <c r="OVU1" s="404"/>
      <c r="OVV1" s="404"/>
      <c r="OVW1" s="404"/>
      <c r="OVX1" s="405"/>
      <c r="OVY1" s="432" t="s">
        <v>41</v>
      </c>
      <c r="OVZ1" s="404"/>
      <c r="OWA1" s="404"/>
      <c r="OWB1" s="404"/>
      <c r="OWC1" s="404"/>
      <c r="OWD1" s="404"/>
      <c r="OWE1" s="404"/>
      <c r="OWF1" s="405"/>
      <c r="OWG1" s="432" t="s">
        <v>41</v>
      </c>
      <c r="OWH1" s="404"/>
      <c r="OWI1" s="404"/>
      <c r="OWJ1" s="404"/>
      <c r="OWK1" s="404"/>
      <c r="OWL1" s="404"/>
      <c r="OWM1" s="404"/>
      <c r="OWN1" s="405"/>
      <c r="OWO1" s="432" t="s">
        <v>41</v>
      </c>
      <c r="OWP1" s="404"/>
      <c r="OWQ1" s="404"/>
      <c r="OWR1" s="404"/>
      <c r="OWS1" s="404"/>
      <c r="OWT1" s="404"/>
      <c r="OWU1" s="404"/>
      <c r="OWV1" s="405"/>
      <c r="OWW1" s="432" t="s">
        <v>41</v>
      </c>
      <c r="OWX1" s="404"/>
      <c r="OWY1" s="404"/>
      <c r="OWZ1" s="404"/>
      <c r="OXA1" s="404"/>
      <c r="OXB1" s="404"/>
      <c r="OXC1" s="404"/>
      <c r="OXD1" s="405"/>
      <c r="OXE1" s="432" t="s">
        <v>41</v>
      </c>
      <c r="OXF1" s="404"/>
      <c r="OXG1" s="404"/>
      <c r="OXH1" s="404"/>
      <c r="OXI1" s="404"/>
      <c r="OXJ1" s="404"/>
      <c r="OXK1" s="404"/>
      <c r="OXL1" s="405"/>
      <c r="OXM1" s="432" t="s">
        <v>41</v>
      </c>
      <c r="OXN1" s="404"/>
      <c r="OXO1" s="404"/>
      <c r="OXP1" s="404"/>
      <c r="OXQ1" s="404"/>
      <c r="OXR1" s="404"/>
      <c r="OXS1" s="404"/>
      <c r="OXT1" s="405"/>
      <c r="OXU1" s="432" t="s">
        <v>41</v>
      </c>
      <c r="OXV1" s="404"/>
      <c r="OXW1" s="404"/>
      <c r="OXX1" s="404"/>
      <c r="OXY1" s="404"/>
      <c r="OXZ1" s="404"/>
      <c r="OYA1" s="404"/>
      <c r="OYB1" s="405"/>
      <c r="OYC1" s="432" t="s">
        <v>41</v>
      </c>
      <c r="OYD1" s="404"/>
      <c r="OYE1" s="404"/>
      <c r="OYF1" s="404"/>
      <c r="OYG1" s="404"/>
      <c r="OYH1" s="404"/>
      <c r="OYI1" s="404"/>
      <c r="OYJ1" s="405"/>
      <c r="OYK1" s="432" t="s">
        <v>41</v>
      </c>
      <c r="OYL1" s="404"/>
      <c r="OYM1" s="404"/>
      <c r="OYN1" s="404"/>
      <c r="OYO1" s="404"/>
      <c r="OYP1" s="404"/>
      <c r="OYQ1" s="404"/>
      <c r="OYR1" s="405"/>
      <c r="OYS1" s="432" t="s">
        <v>41</v>
      </c>
      <c r="OYT1" s="404"/>
      <c r="OYU1" s="404"/>
      <c r="OYV1" s="404"/>
      <c r="OYW1" s="404"/>
      <c r="OYX1" s="404"/>
      <c r="OYY1" s="404"/>
      <c r="OYZ1" s="405"/>
      <c r="OZA1" s="432" t="s">
        <v>41</v>
      </c>
      <c r="OZB1" s="404"/>
      <c r="OZC1" s="404"/>
      <c r="OZD1" s="404"/>
      <c r="OZE1" s="404"/>
      <c r="OZF1" s="404"/>
      <c r="OZG1" s="404"/>
      <c r="OZH1" s="405"/>
      <c r="OZI1" s="432" t="s">
        <v>41</v>
      </c>
      <c r="OZJ1" s="404"/>
      <c r="OZK1" s="404"/>
      <c r="OZL1" s="404"/>
      <c r="OZM1" s="404"/>
      <c r="OZN1" s="404"/>
      <c r="OZO1" s="404"/>
      <c r="OZP1" s="405"/>
      <c r="OZQ1" s="432" t="s">
        <v>41</v>
      </c>
      <c r="OZR1" s="404"/>
      <c r="OZS1" s="404"/>
      <c r="OZT1" s="404"/>
      <c r="OZU1" s="404"/>
      <c r="OZV1" s="404"/>
      <c r="OZW1" s="404"/>
      <c r="OZX1" s="405"/>
      <c r="OZY1" s="432" t="s">
        <v>41</v>
      </c>
      <c r="OZZ1" s="404"/>
      <c r="PAA1" s="404"/>
      <c r="PAB1" s="404"/>
      <c r="PAC1" s="404"/>
      <c r="PAD1" s="404"/>
      <c r="PAE1" s="404"/>
      <c r="PAF1" s="405"/>
      <c r="PAG1" s="432" t="s">
        <v>41</v>
      </c>
      <c r="PAH1" s="404"/>
      <c r="PAI1" s="404"/>
      <c r="PAJ1" s="404"/>
      <c r="PAK1" s="404"/>
      <c r="PAL1" s="404"/>
      <c r="PAM1" s="404"/>
      <c r="PAN1" s="405"/>
      <c r="PAO1" s="432" t="s">
        <v>41</v>
      </c>
      <c r="PAP1" s="404"/>
      <c r="PAQ1" s="404"/>
      <c r="PAR1" s="404"/>
      <c r="PAS1" s="404"/>
      <c r="PAT1" s="404"/>
      <c r="PAU1" s="404"/>
      <c r="PAV1" s="405"/>
      <c r="PAW1" s="432" t="s">
        <v>41</v>
      </c>
      <c r="PAX1" s="404"/>
      <c r="PAY1" s="404"/>
      <c r="PAZ1" s="404"/>
      <c r="PBA1" s="404"/>
      <c r="PBB1" s="404"/>
      <c r="PBC1" s="404"/>
      <c r="PBD1" s="405"/>
      <c r="PBE1" s="432" t="s">
        <v>41</v>
      </c>
      <c r="PBF1" s="404"/>
      <c r="PBG1" s="404"/>
      <c r="PBH1" s="404"/>
      <c r="PBI1" s="404"/>
      <c r="PBJ1" s="404"/>
      <c r="PBK1" s="404"/>
      <c r="PBL1" s="405"/>
      <c r="PBM1" s="432" t="s">
        <v>41</v>
      </c>
      <c r="PBN1" s="404"/>
      <c r="PBO1" s="404"/>
      <c r="PBP1" s="404"/>
      <c r="PBQ1" s="404"/>
      <c r="PBR1" s="404"/>
      <c r="PBS1" s="404"/>
      <c r="PBT1" s="405"/>
      <c r="PBU1" s="432" t="s">
        <v>41</v>
      </c>
      <c r="PBV1" s="404"/>
      <c r="PBW1" s="404"/>
      <c r="PBX1" s="404"/>
      <c r="PBY1" s="404"/>
      <c r="PBZ1" s="404"/>
      <c r="PCA1" s="404"/>
      <c r="PCB1" s="405"/>
      <c r="PCC1" s="432" t="s">
        <v>41</v>
      </c>
      <c r="PCD1" s="404"/>
      <c r="PCE1" s="404"/>
      <c r="PCF1" s="404"/>
      <c r="PCG1" s="404"/>
      <c r="PCH1" s="404"/>
      <c r="PCI1" s="404"/>
      <c r="PCJ1" s="405"/>
      <c r="PCK1" s="432" t="s">
        <v>41</v>
      </c>
      <c r="PCL1" s="404"/>
      <c r="PCM1" s="404"/>
      <c r="PCN1" s="404"/>
      <c r="PCO1" s="404"/>
      <c r="PCP1" s="404"/>
      <c r="PCQ1" s="404"/>
      <c r="PCR1" s="405"/>
      <c r="PCS1" s="432" t="s">
        <v>41</v>
      </c>
      <c r="PCT1" s="404"/>
      <c r="PCU1" s="404"/>
      <c r="PCV1" s="404"/>
      <c r="PCW1" s="404"/>
      <c r="PCX1" s="404"/>
      <c r="PCY1" s="404"/>
      <c r="PCZ1" s="405"/>
      <c r="PDA1" s="432" t="s">
        <v>41</v>
      </c>
      <c r="PDB1" s="404"/>
      <c r="PDC1" s="404"/>
      <c r="PDD1" s="404"/>
      <c r="PDE1" s="404"/>
      <c r="PDF1" s="404"/>
      <c r="PDG1" s="404"/>
      <c r="PDH1" s="405"/>
      <c r="PDI1" s="432" t="s">
        <v>41</v>
      </c>
      <c r="PDJ1" s="404"/>
      <c r="PDK1" s="404"/>
      <c r="PDL1" s="404"/>
      <c r="PDM1" s="404"/>
      <c r="PDN1" s="404"/>
      <c r="PDO1" s="404"/>
      <c r="PDP1" s="405"/>
      <c r="PDQ1" s="432" t="s">
        <v>41</v>
      </c>
      <c r="PDR1" s="404"/>
      <c r="PDS1" s="404"/>
      <c r="PDT1" s="404"/>
      <c r="PDU1" s="404"/>
      <c r="PDV1" s="404"/>
      <c r="PDW1" s="404"/>
      <c r="PDX1" s="405"/>
      <c r="PDY1" s="432" t="s">
        <v>41</v>
      </c>
      <c r="PDZ1" s="404"/>
      <c r="PEA1" s="404"/>
      <c r="PEB1" s="404"/>
      <c r="PEC1" s="404"/>
      <c r="PED1" s="404"/>
      <c r="PEE1" s="404"/>
      <c r="PEF1" s="405"/>
      <c r="PEG1" s="432" t="s">
        <v>41</v>
      </c>
      <c r="PEH1" s="404"/>
      <c r="PEI1" s="404"/>
      <c r="PEJ1" s="404"/>
      <c r="PEK1" s="404"/>
      <c r="PEL1" s="404"/>
      <c r="PEM1" s="404"/>
      <c r="PEN1" s="405"/>
      <c r="PEO1" s="432" t="s">
        <v>41</v>
      </c>
      <c r="PEP1" s="404"/>
      <c r="PEQ1" s="404"/>
      <c r="PER1" s="404"/>
      <c r="PES1" s="404"/>
      <c r="PET1" s="404"/>
      <c r="PEU1" s="404"/>
      <c r="PEV1" s="405"/>
      <c r="PEW1" s="432" t="s">
        <v>41</v>
      </c>
      <c r="PEX1" s="404"/>
      <c r="PEY1" s="404"/>
      <c r="PEZ1" s="404"/>
      <c r="PFA1" s="404"/>
      <c r="PFB1" s="404"/>
      <c r="PFC1" s="404"/>
      <c r="PFD1" s="405"/>
      <c r="PFE1" s="432" t="s">
        <v>41</v>
      </c>
      <c r="PFF1" s="404"/>
      <c r="PFG1" s="404"/>
      <c r="PFH1" s="404"/>
      <c r="PFI1" s="404"/>
      <c r="PFJ1" s="404"/>
      <c r="PFK1" s="404"/>
      <c r="PFL1" s="405"/>
      <c r="PFM1" s="432" t="s">
        <v>41</v>
      </c>
      <c r="PFN1" s="404"/>
      <c r="PFO1" s="404"/>
      <c r="PFP1" s="404"/>
      <c r="PFQ1" s="404"/>
      <c r="PFR1" s="404"/>
      <c r="PFS1" s="404"/>
      <c r="PFT1" s="405"/>
      <c r="PFU1" s="432" t="s">
        <v>41</v>
      </c>
      <c r="PFV1" s="404"/>
      <c r="PFW1" s="404"/>
      <c r="PFX1" s="404"/>
      <c r="PFY1" s="404"/>
      <c r="PFZ1" s="404"/>
      <c r="PGA1" s="404"/>
      <c r="PGB1" s="405"/>
      <c r="PGC1" s="432" t="s">
        <v>41</v>
      </c>
      <c r="PGD1" s="404"/>
      <c r="PGE1" s="404"/>
      <c r="PGF1" s="404"/>
      <c r="PGG1" s="404"/>
      <c r="PGH1" s="404"/>
      <c r="PGI1" s="404"/>
      <c r="PGJ1" s="405"/>
      <c r="PGK1" s="432" t="s">
        <v>41</v>
      </c>
      <c r="PGL1" s="404"/>
      <c r="PGM1" s="404"/>
      <c r="PGN1" s="404"/>
      <c r="PGO1" s="404"/>
      <c r="PGP1" s="404"/>
      <c r="PGQ1" s="404"/>
      <c r="PGR1" s="405"/>
      <c r="PGS1" s="432" t="s">
        <v>41</v>
      </c>
      <c r="PGT1" s="404"/>
      <c r="PGU1" s="404"/>
      <c r="PGV1" s="404"/>
      <c r="PGW1" s="404"/>
      <c r="PGX1" s="404"/>
      <c r="PGY1" s="404"/>
      <c r="PGZ1" s="405"/>
      <c r="PHA1" s="432" t="s">
        <v>41</v>
      </c>
      <c r="PHB1" s="404"/>
      <c r="PHC1" s="404"/>
      <c r="PHD1" s="404"/>
      <c r="PHE1" s="404"/>
      <c r="PHF1" s="404"/>
      <c r="PHG1" s="404"/>
      <c r="PHH1" s="405"/>
      <c r="PHI1" s="432" t="s">
        <v>41</v>
      </c>
      <c r="PHJ1" s="404"/>
      <c r="PHK1" s="404"/>
      <c r="PHL1" s="404"/>
      <c r="PHM1" s="404"/>
      <c r="PHN1" s="404"/>
      <c r="PHO1" s="404"/>
      <c r="PHP1" s="405"/>
      <c r="PHQ1" s="432" t="s">
        <v>41</v>
      </c>
      <c r="PHR1" s="404"/>
      <c r="PHS1" s="404"/>
      <c r="PHT1" s="404"/>
      <c r="PHU1" s="404"/>
      <c r="PHV1" s="404"/>
      <c r="PHW1" s="404"/>
      <c r="PHX1" s="405"/>
      <c r="PHY1" s="432" t="s">
        <v>41</v>
      </c>
      <c r="PHZ1" s="404"/>
      <c r="PIA1" s="404"/>
      <c r="PIB1" s="404"/>
      <c r="PIC1" s="404"/>
      <c r="PID1" s="404"/>
      <c r="PIE1" s="404"/>
      <c r="PIF1" s="405"/>
      <c r="PIG1" s="432" t="s">
        <v>41</v>
      </c>
      <c r="PIH1" s="404"/>
      <c r="PII1" s="404"/>
      <c r="PIJ1" s="404"/>
      <c r="PIK1" s="404"/>
      <c r="PIL1" s="404"/>
      <c r="PIM1" s="404"/>
      <c r="PIN1" s="405"/>
      <c r="PIO1" s="432" t="s">
        <v>41</v>
      </c>
      <c r="PIP1" s="404"/>
      <c r="PIQ1" s="404"/>
      <c r="PIR1" s="404"/>
      <c r="PIS1" s="404"/>
      <c r="PIT1" s="404"/>
      <c r="PIU1" s="404"/>
      <c r="PIV1" s="405"/>
      <c r="PIW1" s="432" t="s">
        <v>41</v>
      </c>
      <c r="PIX1" s="404"/>
      <c r="PIY1" s="404"/>
      <c r="PIZ1" s="404"/>
      <c r="PJA1" s="404"/>
      <c r="PJB1" s="404"/>
      <c r="PJC1" s="404"/>
      <c r="PJD1" s="405"/>
      <c r="PJE1" s="432" t="s">
        <v>41</v>
      </c>
      <c r="PJF1" s="404"/>
      <c r="PJG1" s="404"/>
      <c r="PJH1" s="404"/>
      <c r="PJI1" s="404"/>
      <c r="PJJ1" s="404"/>
      <c r="PJK1" s="404"/>
      <c r="PJL1" s="405"/>
      <c r="PJM1" s="432" t="s">
        <v>41</v>
      </c>
      <c r="PJN1" s="404"/>
      <c r="PJO1" s="404"/>
      <c r="PJP1" s="404"/>
      <c r="PJQ1" s="404"/>
      <c r="PJR1" s="404"/>
      <c r="PJS1" s="404"/>
      <c r="PJT1" s="405"/>
      <c r="PJU1" s="432" t="s">
        <v>41</v>
      </c>
      <c r="PJV1" s="404"/>
      <c r="PJW1" s="404"/>
      <c r="PJX1" s="404"/>
      <c r="PJY1" s="404"/>
      <c r="PJZ1" s="404"/>
      <c r="PKA1" s="404"/>
      <c r="PKB1" s="405"/>
      <c r="PKC1" s="432" t="s">
        <v>41</v>
      </c>
      <c r="PKD1" s="404"/>
      <c r="PKE1" s="404"/>
      <c r="PKF1" s="404"/>
      <c r="PKG1" s="404"/>
      <c r="PKH1" s="404"/>
      <c r="PKI1" s="404"/>
      <c r="PKJ1" s="405"/>
      <c r="PKK1" s="432" t="s">
        <v>41</v>
      </c>
      <c r="PKL1" s="404"/>
      <c r="PKM1" s="404"/>
      <c r="PKN1" s="404"/>
      <c r="PKO1" s="404"/>
      <c r="PKP1" s="404"/>
      <c r="PKQ1" s="404"/>
      <c r="PKR1" s="405"/>
      <c r="PKS1" s="432" t="s">
        <v>41</v>
      </c>
      <c r="PKT1" s="404"/>
      <c r="PKU1" s="404"/>
      <c r="PKV1" s="404"/>
      <c r="PKW1" s="404"/>
      <c r="PKX1" s="404"/>
      <c r="PKY1" s="404"/>
      <c r="PKZ1" s="405"/>
      <c r="PLA1" s="432" t="s">
        <v>41</v>
      </c>
      <c r="PLB1" s="404"/>
      <c r="PLC1" s="404"/>
      <c r="PLD1" s="404"/>
      <c r="PLE1" s="404"/>
      <c r="PLF1" s="404"/>
      <c r="PLG1" s="404"/>
      <c r="PLH1" s="405"/>
      <c r="PLI1" s="432" t="s">
        <v>41</v>
      </c>
      <c r="PLJ1" s="404"/>
      <c r="PLK1" s="404"/>
      <c r="PLL1" s="404"/>
      <c r="PLM1" s="404"/>
      <c r="PLN1" s="404"/>
      <c r="PLO1" s="404"/>
      <c r="PLP1" s="405"/>
      <c r="PLQ1" s="432" t="s">
        <v>41</v>
      </c>
      <c r="PLR1" s="404"/>
      <c r="PLS1" s="404"/>
      <c r="PLT1" s="404"/>
      <c r="PLU1" s="404"/>
      <c r="PLV1" s="404"/>
      <c r="PLW1" s="404"/>
      <c r="PLX1" s="405"/>
      <c r="PLY1" s="432" t="s">
        <v>41</v>
      </c>
      <c r="PLZ1" s="404"/>
      <c r="PMA1" s="404"/>
      <c r="PMB1" s="404"/>
      <c r="PMC1" s="404"/>
      <c r="PMD1" s="404"/>
      <c r="PME1" s="404"/>
      <c r="PMF1" s="405"/>
      <c r="PMG1" s="432" t="s">
        <v>41</v>
      </c>
      <c r="PMH1" s="404"/>
      <c r="PMI1" s="404"/>
      <c r="PMJ1" s="404"/>
      <c r="PMK1" s="404"/>
      <c r="PML1" s="404"/>
      <c r="PMM1" s="404"/>
      <c r="PMN1" s="405"/>
      <c r="PMO1" s="432" t="s">
        <v>41</v>
      </c>
      <c r="PMP1" s="404"/>
      <c r="PMQ1" s="404"/>
      <c r="PMR1" s="404"/>
      <c r="PMS1" s="404"/>
      <c r="PMT1" s="404"/>
      <c r="PMU1" s="404"/>
      <c r="PMV1" s="405"/>
      <c r="PMW1" s="432" t="s">
        <v>41</v>
      </c>
      <c r="PMX1" s="404"/>
      <c r="PMY1" s="404"/>
      <c r="PMZ1" s="404"/>
      <c r="PNA1" s="404"/>
      <c r="PNB1" s="404"/>
      <c r="PNC1" s="404"/>
      <c r="PND1" s="405"/>
      <c r="PNE1" s="432" t="s">
        <v>41</v>
      </c>
      <c r="PNF1" s="404"/>
      <c r="PNG1" s="404"/>
      <c r="PNH1" s="404"/>
      <c r="PNI1" s="404"/>
      <c r="PNJ1" s="404"/>
      <c r="PNK1" s="404"/>
      <c r="PNL1" s="405"/>
      <c r="PNM1" s="432" t="s">
        <v>41</v>
      </c>
      <c r="PNN1" s="404"/>
      <c r="PNO1" s="404"/>
      <c r="PNP1" s="404"/>
      <c r="PNQ1" s="404"/>
      <c r="PNR1" s="404"/>
      <c r="PNS1" s="404"/>
      <c r="PNT1" s="405"/>
      <c r="PNU1" s="432" t="s">
        <v>41</v>
      </c>
      <c r="PNV1" s="404"/>
      <c r="PNW1" s="404"/>
      <c r="PNX1" s="404"/>
      <c r="PNY1" s="404"/>
      <c r="PNZ1" s="404"/>
      <c r="POA1" s="404"/>
      <c r="POB1" s="405"/>
      <c r="POC1" s="432" t="s">
        <v>41</v>
      </c>
      <c r="POD1" s="404"/>
      <c r="POE1" s="404"/>
      <c r="POF1" s="404"/>
      <c r="POG1" s="404"/>
      <c r="POH1" s="404"/>
      <c r="POI1" s="404"/>
      <c r="POJ1" s="405"/>
      <c r="POK1" s="432" t="s">
        <v>41</v>
      </c>
      <c r="POL1" s="404"/>
      <c r="POM1" s="404"/>
      <c r="PON1" s="404"/>
      <c r="POO1" s="404"/>
      <c r="POP1" s="404"/>
      <c r="POQ1" s="404"/>
      <c r="POR1" s="405"/>
      <c r="POS1" s="432" t="s">
        <v>41</v>
      </c>
      <c r="POT1" s="404"/>
      <c r="POU1" s="404"/>
      <c r="POV1" s="404"/>
      <c r="POW1" s="404"/>
      <c r="POX1" s="404"/>
      <c r="POY1" s="404"/>
      <c r="POZ1" s="405"/>
      <c r="PPA1" s="432" t="s">
        <v>41</v>
      </c>
      <c r="PPB1" s="404"/>
      <c r="PPC1" s="404"/>
      <c r="PPD1" s="404"/>
      <c r="PPE1" s="404"/>
      <c r="PPF1" s="404"/>
      <c r="PPG1" s="404"/>
      <c r="PPH1" s="405"/>
      <c r="PPI1" s="432" t="s">
        <v>41</v>
      </c>
      <c r="PPJ1" s="404"/>
      <c r="PPK1" s="404"/>
      <c r="PPL1" s="404"/>
      <c r="PPM1" s="404"/>
      <c r="PPN1" s="404"/>
      <c r="PPO1" s="404"/>
      <c r="PPP1" s="405"/>
      <c r="PPQ1" s="432" t="s">
        <v>41</v>
      </c>
      <c r="PPR1" s="404"/>
      <c r="PPS1" s="404"/>
      <c r="PPT1" s="404"/>
      <c r="PPU1" s="404"/>
      <c r="PPV1" s="404"/>
      <c r="PPW1" s="404"/>
      <c r="PPX1" s="405"/>
      <c r="PPY1" s="432" t="s">
        <v>41</v>
      </c>
      <c r="PPZ1" s="404"/>
      <c r="PQA1" s="404"/>
      <c r="PQB1" s="404"/>
      <c r="PQC1" s="404"/>
      <c r="PQD1" s="404"/>
      <c r="PQE1" s="404"/>
      <c r="PQF1" s="405"/>
      <c r="PQG1" s="432" t="s">
        <v>41</v>
      </c>
      <c r="PQH1" s="404"/>
      <c r="PQI1" s="404"/>
      <c r="PQJ1" s="404"/>
      <c r="PQK1" s="404"/>
      <c r="PQL1" s="404"/>
      <c r="PQM1" s="404"/>
      <c r="PQN1" s="405"/>
      <c r="PQO1" s="432" t="s">
        <v>41</v>
      </c>
      <c r="PQP1" s="404"/>
      <c r="PQQ1" s="404"/>
      <c r="PQR1" s="404"/>
      <c r="PQS1" s="404"/>
      <c r="PQT1" s="404"/>
      <c r="PQU1" s="404"/>
      <c r="PQV1" s="405"/>
      <c r="PQW1" s="432" t="s">
        <v>41</v>
      </c>
      <c r="PQX1" s="404"/>
      <c r="PQY1" s="404"/>
      <c r="PQZ1" s="404"/>
      <c r="PRA1" s="404"/>
      <c r="PRB1" s="404"/>
      <c r="PRC1" s="404"/>
      <c r="PRD1" s="405"/>
      <c r="PRE1" s="432" t="s">
        <v>41</v>
      </c>
      <c r="PRF1" s="404"/>
      <c r="PRG1" s="404"/>
      <c r="PRH1" s="404"/>
      <c r="PRI1" s="404"/>
      <c r="PRJ1" s="404"/>
      <c r="PRK1" s="404"/>
      <c r="PRL1" s="405"/>
      <c r="PRM1" s="432" t="s">
        <v>41</v>
      </c>
      <c r="PRN1" s="404"/>
      <c r="PRO1" s="404"/>
      <c r="PRP1" s="404"/>
      <c r="PRQ1" s="404"/>
      <c r="PRR1" s="404"/>
      <c r="PRS1" s="404"/>
      <c r="PRT1" s="405"/>
      <c r="PRU1" s="432" t="s">
        <v>41</v>
      </c>
      <c r="PRV1" s="404"/>
      <c r="PRW1" s="404"/>
      <c r="PRX1" s="404"/>
      <c r="PRY1" s="404"/>
      <c r="PRZ1" s="404"/>
      <c r="PSA1" s="404"/>
      <c r="PSB1" s="405"/>
      <c r="PSC1" s="432" t="s">
        <v>41</v>
      </c>
      <c r="PSD1" s="404"/>
      <c r="PSE1" s="404"/>
      <c r="PSF1" s="404"/>
      <c r="PSG1" s="404"/>
      <c r="PSH1" s="404"/>
      <c r="PSI1" s="404"/>
      <c r="PSJ1" s="405"/>
      <c r="PSK1" s="432" t="s">
        <v>41</v>
      </c>
      <c r="PSL1" s="404"/>
      <c r="PSM1" s="404"/>
      <c r="PSN1" s="404"/>
      <c r="PSO1" s="404"/>
      <c r="PSP1" s="404"/>
      <c r="PSQ1" s="404"/>
      <c r="PSR1" s="405"/>
      <c r="PSS1" s="432" t="s">
        <v>41</v>
      </c>
      <c r="PST1" s="404"/>
      <c r="PSU1" s="404"/>
      <c r="PSV1" s="404"/>
      <c r="PSW1" s="404"/>
      <c r="PSX1" s="404"/>
      <c r="PSY1" s="404"/>
      <c r="PSZ1" s="405"/>
      <c r="PTA1" s="432" t="s">
        <v>41</v>
      </c>
      <c r="PTB1" s="404"/>
      <c r="PTC1" s="404"/>
      <c r="PTD1" s="404"/>
      <c r="PTE1" s="404"/>
      <c r="PTF1" s="404"/>
      <c r="PTG1" s="404"/>
      <c r="PTH1" s="405"/>
      <c r="PTI1" s="432" t="s">
        <v>41</v>
      </c>
      <c r="PTJ1" s="404"/>
      <c r="PTK1" s="404"/>
      <c r="PTL1" s="404"/>
      <c r="PTM1" s="404"/>
      <c r="PTN1" s="404"/>
      <c r="PTO1" s="404"/>
      <c r="PTP1" s="405"/>
      <c r="PTQ1" s="432" t="s">
        <v>41</v>
      </c>
      <c r="PTR1" s="404"/>
      <c r="PTS1" s="404"/>
      <c r="PTT1" s="404"/>
      <c r="PTU1" s="404"/>
      <c r="PTV1" s="404"/>
      <c r="PTW1" s="404"/>
      <c r="PTX1" s="405"/>
      <c r="PTY1" s="432" t="s">
        <v>41</v>
      </c>
      <c r="PTZ1" s="404"/>
      <c r="PUA1" s="404"/>
      <c r="PUB1" s="404"/>
      <c r="PUC1" s="404"/>
      <c r="PUD1" s="404"/>
      <c r="PUE1" s="404"/>
      <c r="PUF1" s="405"/>
      <c r="PUG1" s="432" t="s">
        <v>41</v>
      </c>
      <c r="PUH1" s="404"/>
      <c r="PUI1" s="404"/>
      <c r="PUJ1" s="404"/>
      <c r="PUK1" s="404"/>
      <c r="PUL1" s="404"/>
      <c r="PUM1" s="404"/>
      <c r="PUN1" s="405"/>
      <c r="PUO1" s="432" t="s">
        <v>41</v>
      </c>
      <c r="PUP1" s="404"/>
      <c r="PUQ1" s="404"/>
      <c r="PUR1" s="404"/>
      <c r="PUS1" s="404"/>
      <c r="PUT1" s="404"/>
      <c r="PUU1" s="404"/>
      <c r="PUV1" s="405"/>
      <c r="PUW1" s="432" t="s">
        <v>41</v>
      </c>
      <c r="PUX1" s="404"/>
      <c r="PUY1" s="404"/>
      <c r="PUZ1" s="404"/>
      <c r="PVA1" s="404"/>
      <c r="PVB1" s="404"/>
      <c r="PVC1" s="404"/>
      <c r="PVD1" s="405"/>
      <c r="PVE1" s="432" t="s">
        <v>41</v>
      </c>
      <c r="PVF1" s="404"/>
      <c r="PVG1" s="404"/>
      <c r="PVH1" s="404"/>
      <c r="PVI1" s="404"/>
      <c r="PVJ1" s="404"/>
      <c r="PVK1" s="404"/>
      <c r="PVL1" s="405"/>
      <c r="PVM1" s="432" t="s">
        <v>41</v>
      </c>
      <c r="PVN1" s="404"/>
      <c r="PVO1" s="404"/>
      <c r="PVP1" s="404"/>
      <c r="PVQ1" s="404"/>
      <c r="PVR1" s="404"/>
      <c r="PVS1" s="404"/>
      <c r="PVT1" s="405"/>
      <c r="PVU1" s="432" t="s">
        <v>41</v>
      </c>
      <c r="PVV1" s="404"/>
      <c r="PVW1" s="404"/>
      <c r="PVX1" s="404"/>
      <c r="PVY1" s="404"/>
      <c r="PVZ1" s="404"/>
      <c r="PWA1" s="404"/>
      <c r="PWB1" s="405"/>
      <c r="PWC1" s="432" t="s">
        <v>41</v>
      </c>
      <c r="PWD1" s="404"/>
      <c r="PWE1" s="404"/>
      <c r="PWF1" s="404"/>
      <c r="PWG1" s="404"/>
      <c r="PWH1" s="404"/>
      <c r="PWI1" s="404"/>
      <c r="PWJ1" s="405"/>
      <c r="PWK1" s="432" t="s">
        <v>41</v>
      </c>
      <c r="PWL1" s="404"/>
      <c r="PWM1" s="404"/>
      <c r="PWN1" s="404"/>
      <c r="PWO1" s="404"/>
      <c r="PWP1" s="404"/>
      <c r="PWQ1" s="404"/>
      <c r="PWR1" s="405"/>
      <c r="PWS1" s="432" t="s">
        <v>41</v>
      </c>
      <c r="PWT1" s="404"/>
      <c r="PWU1" s="404"/>
      <c r="PWV1" s="404"/>
      <c r="PWW1" s="404"/>
      <c r="PWX1" s="404"/>
      <c r="PWY1" s="404"/>
      <c r="PWZ1" s="405"/>
      <c r="PXA1" s="432" t="s">
        <v>41</v>
      </c>
      <c r="PXB1" s="404"/>
      <c r="PXC1" s="404"/>
      <c r="PXD1" s="404"/>
      <c r="PXE1" s="404"/>
      <c r="PXF1" s="404"/>
      <c r="PXG1" s="404"/>
      <c r="PXH1" s="405"/>
      <c r="PXI1" s="432" t="s">
        <v>41</v>
      </c>
      <c r="PXJ1" s="404"/>
      <c r="PXK1" s="404"/>
      <c r="PXL1" s="404"/>
      <c r="PXM1" s="404"/>
      <c r="PXN1" s="404"/>
      <c r="PXO1" s="404"/>
      <c r="PXP1" s="405"/>
      <c r="PXQ1" s="432" t="s">
        <v>41</v>
      </c>
      <c r="PXR1" s="404"/>
      <c r="PXS1" s="404"/>
      <c r="PXT1" s="404"/>
      <c r="PXU1" s="404"/>
      <c r="PXV1" s="404"/>
      <c r="PXW1" s="404"/>
      <c r="PXX1" s="405"/>
      <c r="PXY1" s="432" t="s">
        <v>41</v>
      </c>
      <c r="PXZ1" s="404"/>
      <c r="PYA1" s="404"/>
      <c r="PYB1" s="404"/>
      <c r="PYC1" s="404"/>
      <c r="PYD1" s="404"/>
      <c r="PYE1" s="404"/>
      <c r="PYF1" s="405"/>
      <c r="PYG1" s="432" t="s">
        <v>41</v>
      </c>
      <c r="PYH1" s="404"/>
      <c r="PYI1" s="404"/>
      <c r="PYJ1" s="404"/>
      <c r="PYK1" s="404"/>
      <c r="PYL1" s="404"/>
      <c r="PYM1" s="404"/>
      <c r="PYN1" s="405"/>
      <c r="PYO1" s="432" t="s">
        <v>41</v>
      </c>
      <c r="PYP1" s="404"/>
      <c r="PYQ1" s="404"/>
      <c r="PYR1" s="404"/>
      <c r="PYS1" s="404"/>
      <c r="PYT1" s="404"/>
      <c r="PYU1" s="404"/>
      <c r="PYV1" s="405"/>
      <c r="PYW1" s="432" t="s">
        <v>41</v>
      </c>
      <c r="PYX1" s="404"/>
      <c r="PYY1" s="404"/>
      <c r="PYZ1" s="404"/>
      <c r="PZA1" s="404"/>
      <c r="PZB1" s="404"/>
      <c r="PZC1" s="404"/>
      <c r="PZD1" s="405"/>
      <c r="PZE1" s="432" t="s">
        <v>41</v>
      </c>
      <c r="PZF1" s="404"/>
      <c r="PZG1" s="404"/>
      <c r="PZH1" s="404"/>
      <c r="PZI1" s="404"/>
      <c r="PZJ1" s="404"/>
      <c r="PZK1" s="404"/>
      <c r="PZL1" s="405"/>
      <c r="PZM1" s="432" t="s">
        <v>41</v>
      </c>
      <c r="PZN1" s="404"/>
      <c r="PZO1" s="404"/>
      <c r="PZP1" s="404"/>
      <c r="PZQ1" s="404"/>
      <c r="PZR1" s="404"/>
      <c r="PZS1" s="404"/>
      <c r="PZT1" s="405"/>
      <c r="PZU1" s="432" t="s">
        <v>41</v>
      </c>
      <c r="PZV1" s="404"/>
      <c r="PZW1" s="404"/>
      <c r="PZX1" s="404"/>
      <c r="PZY1" s="404"/>
      <c r="PZZ1" s="404"/>
      <c r="QAA1" s="404"/>
      <c r="QAB1" s="405"/>
      <c r="QAC1" s="432" t="s">
        <v>41</v>
      </c>
      <c r="QAD1" s="404"/>
      <c r="QAE1" s="404"/>
      <c r="QAF1" s="404"/>
      <c r="QAG1" s="404"/>
      <c r="QAH1" s="404"/>
      <c r="QAI1" s="404"/>
      <c r="QAJ1" s="405"/>
      <c r="QAK1" s="432" t="s">
        <v>41</v>
      </c>
      <c r="QAL1" s="404"/>
      <c r="QAM1" s="404"/>
      <c r="QAN1" s="404"/>
      <c r="QAO1" s="404"/>
      <c r="QAP1" s="404"/>
      <c r="QAQ1" s="404"/>
      <c r="QAR1" s="405"/>
      <c r="QAS1" s="432" t="s">
        <v>41</v>
      </c>
      <c r="QAT1" s="404"/>
      <c r="QAU1" s="404"/>
      <c r="QAV1" s="404"/>
      <c r="QAW1" s="404"/>
      <c r="QAX1" s="404"/>
      <c r="QAY1" s="404"/>
      <c r="QAZ1" s="405"/>
      <c r="QBA1" s="432" t="s">
        <v>41</v>
      </c>
      <c r="QBB1" s="404"/>
      <c r="QBC1" s="404"/>
      <c r="QBD1" s="404"/>
      <c r="QBE1" s="404"/>
      <c r="QBF1" s="404"/>
      <c r="QBG1" s="404"/>
      <c r="QBH1" s="405"/>
      <c r="QBI1" s="432" t="s">
        <v>41</v>
      </c>
      <c r="QBJ1" s="404"/>
      <c r="QBK1" s="404"/>
      <c r="QBL1" s="404"/>
      <c r="QBM1" s="404"/>
      <c r="QBN1" s="404"/>
      <c r="QBO1" s="404"/>
      <c r="QBP1" s="405"/>
      <c r="QBQ1" s="432" t="s">
        <v>41</v>
      </c>
      <c r="QBR1" s="404"/>
      <c r="QBS1" s="404"/>
      <c r="QBT1" s="404"/>
      <c r="QBU1" s="404"/>
      <c r="QBV1" s="404"/>
      <c r="QBW1" s="404"/>
      <c r="QBX1" s="405"/>
      <c r="QBY1" s="432" t="s">
        <v>41</v>
      </c>
      <c r="QBZ1" s="404"/>
      <c r="QCA1" s="404"/>
      <c r="QCB1" s="404"/>
      <c r="QCC1" s="404"/>
      <c r="QCD1" s="404"/>
      <c r="QCE1" s="404"/>
      <c r="QCF1" s="405"/>
      <c r="QCG1" s="432" t="s">
        <v>41</v>
      </c>
      <c r="QCH1" s="404"/>
      <c r="QCI1" s="404"/>
      <c r="QCJ1" s="404"/>
      <c r="QCK1" s="404"/>
      <c r="QCL1" s="404"/>
      <c r="QCM1" s="404"/>
      <c r="QCN1" s="405"/>
      <c r="QCO1" s="432" t="s">
        <v>41</v>
      </c>
      <c r="QCP1" s="404"/>
      <c r="QCQ1" s="404"/>
      <c r="QCR1" s="404"/>
      <c r="QCS1" s="404"/>
      <c r="QCT1" s="404"/>
      <c r="QCU1" s="404"/>
      <c r="QCV1" s="405"/>
      <c r="QCW1" s="432" t="s">
        <v>41</v>
      </c>
      <c r="QCX1" s="404"/>
      <c r="QCY1" s="404"/>
      <c r="QCZ1" s="404"/>
      <c r="QDA1" s="404"/>
      <c r="QDB1" s="404"/>
      <c r="QDC1" s="404"/>
      <c r="QDD1" s="405"/>
      <c r="QDE1" s="432" t="s">
        <v>41</v>
      </c>
      <c r="QDF1" s="404"/>
      <c r="QDG1" s="404"/>
      <c r="QDH1" s="404"/>
      <c r="QDI1" s="404"/>
      <c r="QDJ1" s="404"/>
      <c r="QDK1" s="404"/>
      <c r="QDL1" s="405"/>
      <c r="QDM1" s="432" t="s">
        <v>41</v>
      </c>
      <c r="QDN1" s="404"/>
      <c r="QDO1" s="404"/>
      <c r="QDP1" s="404"/>
      <c r="QDQ1" s="404"/>
      <c r="QDR1" s="404"/>
      <c r="QDS1" s="404"/>
      <c r="QDT1" s="405"/>
      <c r="QDU1" s="432" t="s">
        <v>41</v>
      </c>
      <c r="QDV1" s="404"/>
      <c r="QDW1" s="404"/>
      <c r="QDX1" s="404"/>
      <c r="QDY1" s="404"/>
      <c r="QDZ1" s="404"/>
      <c r="QEA1" s="404"/>
      <c r="QEB1" s="405"/>
      <c r="QEC1" s="432" t="s">
        <v>41</v>
      </c>
      <c r="QED1" s="404"/>
      <c r="QEE1" s="404"/>
      <c r="QEF1" s="404"/>
      <c r="QEG1" s="404"/>
      <c r="QEH1" s="404"/>
      <c r="QEI1" s="404"/>
      <c r="QEJ1" s="405"/>
      <c r="QEK1" s="432" t="s">
        <v>41</v>
      </c>
      <c r="QEL1" s="404"/>
      <c r="QEM1" s="404"/>
      <c r="QEN1" s="404"/>
      <c r="QEO1" s="404"/>
      <c r="QEP1" s="404"/>
      <c r="QEQ1" s="404"/>
      <c r="QER1" s="405"/>
      <c r="QES1" s="432" t="s">
        <v>41</v>
      </c>
      <c r="QET1" s="404"/>
      <c r="QEU1" s="404"/>
      <c r="QEV1" s="404"/>
      <c r="QEW1" s="404"/>
      <c r="QEX1" s="404"/>
      <c r="QEY1" s="404"/>
      <c r="QEZ1" s="405"/>
      <c r="QFA1" s="432" t="s">
        <v>41</v>
      </c>
      <c r="QFB1" s="404"/>
      <c r="QFC1" s="404"/>
      <c r="QFD1" s="404"/>
      <c r="QFE1" s="404"/>
      <c r="QFF1" s="404"/>
      <c r="QFG1" s="404"/>
      <c r="QFH1" s="405"/>
      <c r="QFI1" s="432" t="s">
        <v>41</v>
      </c>
      <c r="QFJ1" s="404"/>
      <c r="QFK1" s="404"/>
      <c r="QFL1" s="404"/>
      <c r="QFM1" s="404"/>
      <c r="QFN1" s="404"/>
      <c r="QFO1" s="404"/>
      <c r="QFP1" s="405"/>
      <c r="QFQ1" s="432" t="s">
        <v>41</v>
      </c>
      <c r="QFR1" s="404"/>
      <c r="QFS1" s="404"/>
      <c r="QFT1" s="404"/>
      <c r="QFU1" s="404"/>
      <c r="QFV1" s="404"/>
      <c r="QFW1" s="404"/>
      <c r="QFX1" s="405"/>
      <c r="QFY1" s="432" t="s">
        <v>41</v>
      </c>
      <c r="QFZ1" s="404"/>
      <c r="QGA1" s="404"/>
      <c r="QGB1" s="404"/>
      <c r="QGC1" s="404"/>
      <c r="QGD1" s="404"/>
      <c r="QGE1" s="404"/>
      <c r="QGF1" s="405"/>
      <c r="QGG1" s="432" t="s">
        <v>41</v>
      </c>
      <c r="QGH1" s="404"/>
      <c r="QGI1" s="404"/>
      <c r="QGJ1" s="404"/>
      <c r="QGK1" s="404"/>
      <c r="QGL1" s="404"/>
      <c r="QGM1" s="404"/>
      <c r="QGN1" s="405"/>
      <c r="QGO1" s="432" t="s">
        <v>41</v>
      </c>
      <c r="QGP1" s="404"/>
      <c r="QGQ1" s="404"/>
      <c r="QGR1" s="404"/>
      <c r="QGS1" s="404"/>
      <c r="QGT1" s="404"/>
      <c r="QGU1" s="404"/>
      <c r="QGV1" s="405"/>
      <c r="QGW1" s="432" t="s">
        <v>41</v>
      </c>
      <c r="QGX1" s="404"/>
      <c r="QGY1" s="404"/>
      <c r="QGZ1" s="404"/>
      <c r="QHA1" s="404"/>
      <c r="QHB1" s="404"/>
      <c r="QHC1" s="404"/>
      <c r="QHD1" s="405"/>
      <c r="QHE1" s="432" t="s">
        <v>41</v>
      </c>
      <c r="QHF1" s="404"/>
      <c r="QHG1" s="404"/>
      <c r="QHH1" s="404"/>
      <c r="QHI1" s="404"/>
      <c r="QHJ1" s="404"/>
      <c r="QHK1" s="404"/>
      <c r="QHL1" s="405"/>
      <c r="QHM1" s="432" t="s">
        <v>41</v>
      </c>
      <c r="QHN1" s="404"/>
      <c r="QHO1" s="404"/>
      <c r="QHP1" s="404"/>
      <c r="QHQ1" s="404"/>
      <c r="QHR1" s="404"/>
      <c r="QHS1" s="404"/>
      <c r="QHT1" s="405"/>
      <c r="QHU1" s="432" t="s">
        <v>41</v>
      </c>
      <c r="QHV1" s="404"/>
      <c r="QHW1" s="404"/>
      <c r="QHX1" s="404"/>
      <c r="QHY1" s="404"/>
      <c r="QHZ1" s="404"/>
      <c r="QIA1" s="404"/>
      <c r="QIB1" s="405"/>
      <c r="QIC1" s="432" t="s">
        <v>41</v>
      </c>
      <c r="QID1" s="404"/>
      <c r="QIE1" s="404"/>
      <c r="QIF1" s="404"/>
      <c r="QIG1" s="404"/>
      <c r="QIH1" s="404"/>
      <c r="QII1" s="404"/>
      <c r="QIJ1" s="405"/>
      <c r="QIK1" s="432" t="s">
        <v>41</v>
      </c>
      <c r="QIL1" s="404"/>
      <c r="QIM1" s="404"/>
      <c r="QIN1" s="404"/>
      <c r="QIO1" s="404"/>
      <c r="QIP1" s="404"/>
      <c r="QIQ1" s="404"/>
      <c r="QIR1" s="405"/>
      <c r="QIS1" s="432" t="s">
        <v>41</v>
      </c>
      <c r="QIT1" s="404"/>
      <c r="QIU1" s="404"/>
      <c r="QIV1" s="404"/>
      <c r="QIW1" s="404"/>
      <c r="QIX1" s="404"/>
      <c r="QIY1" s="404"/>
      <c r="QIZ1" s="405"/>
      <c r="QJA1" s="432" t="s">
        <v>41</v>
      </c>
      <c r="QJB1" s="404"/>
      <c r="QJC1" s="404"/>
      <c r="QJD1" s="404"/>
      <c r="QJE1" s="404"/>
      <c r="QJF1" s="404"/>
      <c r="QJG1" s="404"/>
      <c r="QJH1" s="405"/>
      <c r="QJI1" s="432" t="s">
        <v>41</v>
      </c>
      <c r="QJJ1" s="404"/>
      <c r="QJK1" s="404"/>
      <c r="QJL1" s="404"/>
      <c r="QJM1" s="404"/>
      <c r="QJN1" s="404"/>
      <c r="QJO1" s="404"/>
      <c r="QJP1" s="405"/>
      <c r="QJQ1" s="432" t="s">
        <v>41</v>
      </c>
      <c r="QJR1" s="404"/>
      <c r="QJS1" s="404"/>
      <c r="QJT1" s="404"/>
      <c r="QJU1" s="404"/>
      <c r="QJV1" s="404"/>
      <c r="QJW1" s="404"/>
      <c r="QJX1" s="405"/>
      <c r="QJY1" s="432" t="s">
        <v>41</v>
      </c>
      <c r="QJZ1" s="404"/>
      <c r="QKA1" s="404"/>
      <c r="QKB1" s="404"/>
      <c r="QKC1" s="404"/>
      <c r="QKD1" s="404"/>
      <c r="QKE1" s="404"/>
      <c r="QKF1" s="405"/>
      <c r="QKG1" s="432" t="s">
        <v>41</v>
      </c>
      <c r="QKH1" s="404"/>
      <c r="QKI1" s="404"/>
      <c r="QKJ1" s="404"/>
      <c r="QKK1" s="404"/>
      <c r="QKL1" s="404"/>
      <c r="QKM1" s="404"/>
      <c r="QKN1" s="405"/>
      <c r="QKO1" s="432" t="s">
        <v>41</v>
      </c>
      <c r="QKP1" s="404"/>
      <c r="QKQ1" s="404"/>
      <c r="QKR1" s="404"/>
      <c r="QKS1" s="404"/>
      <c r="QKT1" s="404"/>
      <c r="QKU1" s="404"/>
      <c r="QKV1" s="405"/>
      <c r="QKW1" s="432" t="s">
        <v>41</v>
      </c>
      <c r="QKX1" s="404"/>
      <c r="QKY1" s="404"/>
      <c r="QKZ1" s="404"/>
      <c r="QLA1" s="404"/>
      <c r="QLB1" s="404"/>
      <c r="QLC1" s="404"/>
      <c r="QLD1" s="405"/>
      <c r="QLE1" s="432" t="s">
        <v>41</v>
      </c>
      <c r="QLF1" s="404"/>
      <c r="QLG1" s="404"/>
      <c r="QLH1" s="404"/>
      <c r="QLI1" s="404"/>
      <c r="QLJ1" s="404"/>
      <c r="QLK1" s="404"/>
      <c r="QLL1" s="405"/>
      <c r="QLM1" s="432" t="s">
        <v>41</v>
      </c>
      <c r="QLN1" s="404"/>
      <c r="QLO1" s="404"/>
      <c r="QLP1" s="404"/>
      <c r="QLQ1" s="404"/>
      <c r="QLR1" s="404"/>
      <c r="QLS1" s="404"/>
      <c r="QLT1" s="405"/>
      <c r="QLU1" s="432" t="s">
        <v>41</v>
      </c>
      <c r="QLV1" s="404"/>
      <c r="QLW1" s="404"/>
      <c r="QLX1" s="404"/>
      <c r="QLY1" s="404"/>
      <c r="QLZ1" s="404"/>
      <c r="QMA1" s="404"/>
      <c r="QMB1" s="405"/>
      <c r="QMC1" s="432" t="s">
        <v>41</v>
      </c>
      <c r="QMD1" s="404"/>
      <c r="QME1" s="404"/>
      <c r="QMF1" s="404"/>
      <c r="QMG1" s="404"/>
      <c r="QMH1" s="404"/>
      <c r="QMI1" s="404"/>
      <c r="QMJ1" s="405"/>
      <c r="QMK1" s="432" t="s">
        <v>41</v>
      </c>
      <c r="QML1" s="404"/>
      <c r="QMM1" s="404"/>
      <c r="QMN1" s="404"/>
      <c r="QMO1" s="404"/>
      <c r="QMP1" s="404"/>
      <c r="QMQ1" s="404"/>
      <c r="QMR1" s="405"/>
      <c r="QMS1" s="432" t="s">
        <v>41</v>
      </c>
      <c r="QMT1" s="404"/>
      <c r="QMU1" s="404"/>
      <c r="QMV1" s="404"/>
      <c r="QMW1" s="404"/>
      <c r="QMX1" s="404"/>
      <c r="QMY1" s="404"/>
      <c r="QMZ1" s="405"/>
      <c r="QNA1" s="432" t="s">
        <v>41</v>
      </c>
      <c r="QNB1" s="404"/>
      <c r="QNC1" s="404"/>
      <c r="QND1" s="404"/>
      <c r="QNE1" s="404"/>
      <c r="QNF1" s="404"/>
      <c r="QNG1" s="404"/>
      <c r="QNH1" s="405"/>
      <c r="QNI1" s="432" t="s">
        <v>41</v>
      </c>
      <c r="QNJ1" s="404"/>
      <c r="QNK1" s="404"/>
      <c r="QNL1" s="404"/>
      <c r="QNM1" s="404"/>
      <c r="QNN1" s="404"/>
      <c r="QNO1" s="404"/>
      <c r="QNP1" s="405"/>
      <c r="QNQ1" s="432" t="s">
        <v>41</v>
      </c>
      <c r="QNR1" s="404"/>
      <c r="QNS1" s="404"/>
      <c r="QNT1" s="404"/>
      <c r="QNU1" s="404"/>
      <c r="QNV1" s="404"/>
      <c r="QNW1" s="404"/>
      <c r="QNX1" s="405"/>
      <c r="QNY1" s="432" t="s">
        <v>41</v>
      </c>
      <c r="QNZ1" s="404"/>
      <c r="QOA1" s="404"/>
      <c r="QOB1" s="404"/>
      <c r="QOC1" s="404"/>
      <c r="QOD1" s="404"/>
      <c r="QOE1" s="404"/>
      <c r="QOF1" s="405"/>
      <c r="QOG1" s="432" t="s">
        <v>41</v>
      </c>
      <c r="QOH1" s="404"/>
      <c r="QOI1" s="404"/>
      <c r="QOJ1" s="404"/>
      <c r="QOK1" s="404"/>
      <c r="QOL1" s="404"/>
      <c r="QOM1" s="404"/>
      <c r="QON1" s="405"/>
      <c r="QOO1" s="432" t="s">
        <v>41</v>
      </c>
      <c r="QOP1" s="404"/>
      <c r="QOQ1" s="404"/>
      <c r="QOR1" s="404"/>
      <c r="QOS1" s="404"/>
      <c r="QOT1" s="404"/>
      <c r="QOU1" s="404"/>
      <c r="QOV1" s="405"/>
      <c r="QOW1" s="432" t="s">
        <v>41</v>
      </c>
      <c r="QOX1" s="404"/>
      <c r="QOY1" s="404"/>
      <c r="QOZ1" s="404"/>
      <c r="QPA1" s="404"/>
      <c r="QPB1" s="404"/>
      <c r="QPC1" s="404"/>
      <c r="QPD1" s="405"/>
      <c r="QPE1" s="432" t="s">
        <v>41</v>
      </c>
      <c r="QPF1" s="404"/>
      <c r="QPG1" s="404"/>
      <c r="QPH1" s="404"/>
      <c r="QPI1" s="404"/>
      <c r="QPJ1" s="404"/>
      <c r="QPK1" s="404"/>
      <c r="QPL1" s="405"/>
      <c r="QPM1" s="432" t="s">
        <v>41</v>
      </c>
      <c r="QPN1" s="404"/>
      <c r="QPO1" s="404"/>
      <c r="QPP1" s="404"/>
      <c r="QPQ1" s="404"/>
      <c r="QPR1" s="404"/>
      <c r="QPS1" s="404"/>
      <c r="QPT1" s="405"/>
      <c r="QPU1" s="432" t="s">
        <v>41</v>
      </c>
      <c r="QPV1" s="404"/>
      <c r="QPW1" s="404"/>
      <c r="QPX1" s="404"/>
      <c r="QPY1" s="404"/>
      <c r="QPZ1" s="404"/>
      <c r="QQA1" s="404"/>
      <c r="QQB1" s="405"/>
      <c r="QQC1" s="432" t="s">
        <v>41</v>
      </c>
      <c r="QQD1" s="404"/>
      <c r="QQE1" s="404"/>
      <c r="QQF1" s="404"/>
      <c r="QQG1" s="404"/>
      <c r="QQH1" s="404"/>
      <c r="QQI1" s="404"/>
      <c r="QQJ1" s="405"/>
      <c r="QQK1" s="432" t="s">
        <v>41</v>
      </c>
      <c r="QQL1" s="404"/>
      <c r="QQM1" s="404"/>
      <c r="QQN1" s="404"/>
      <c r="QQO1" s="404"/>
      <c r="QQP1" s="404"/>
      <c r="QQQ1" s="404"/>
      <c r="QQR1" s="405"/>
      <c r="QQS1" s="432" t="s">
        <v>41</v>
      </c>
      <c r="QQT1" s="404"/>
      <c r="QQU1" s="404"/>
      <c r="QQV1" s="404"/>
      <c r="QQW1" s="404"/>
      <c r="QQX1" s="404"/>
      <c r="QQY1" s="404"/>
      <c r="QQZ1" s="405"/>
      <c r="QRA1" s="432" t="s">
        <v>41</v>
      </c>
      <c r="QRB1" s="404"/>
      <c r="QRC1" s="404"/>
      <c r="QRD1" s="404"/>
      <c r="QRE1" s="404"/>
      <c r="QRF1" s="404"/>
      <c r="QRG1" s="404"/>
      <c r="QRH1" s="405"/>
      <c r="QRI1" s="432" t="s">
        <v>41</v>
      </c>
      <c r="QRJ1" s="404"/>
      <c r="QRK1" s="404"/>
      <c r="QRL1" s="404"/>
      <c r="QRM1" s="404"/>
      <c r="QRN1" s="404"/>
      <c r="QRO1" s="404"/>
      <c r="QRP1" s="405"/>
      <c r="QRQ1" s="432" t="s">
        <v>41</v>
      </c>
      <c r="QRR1" s="404"/>
      <c r="QRS1" s="404"/>
      <c r="QRT1" s="404"/>
      <c r="QRU1" s="404"/>
      <c r="QRV1" s="404"/>
      <c r="QRW1" s="404"/>
      <c r="QRX1" s="405"/>
      <c r="QRY1" s="432" t="s">
        <v>41</v>
      </c>
      <c r="QRZ1" s="404"/>
      <c r="QSA1" s="404"/>
      <c r="QSB1" s="404"/>
      <c r="QSC1" s="404"/>
      <c r="QSD1" s="404"/>
      <c r="QSE1" s="404"/>
      <c r="QSF1" s="405"/>
      <c r="QSG1" s="432" t="s">
        <v>41</v>
      </c>
      <c r="QSH1" s="404"/>
      <c r="QSI1" s="404"/>
      <c r="QSJ1" s="404"/>
      <c r="QSK1" s="404"/>
      <c r="QSL1" s="404"/>
      <c r="QSM1" s="404"/>
      <c r="QSN1" s="405"/>
      <c r="QSO1" s="432" t="s">
        <v>41</v>
      </c>
      <c r="QSP1" s="404"/>
      <c r="QSQ1" s="404"/>
      <c r="QSR1" s="404"/>
      <c r="QSS1" s="404"/>
      <c r="QST1" s="404"/>
      <c r="QSU1" s="404"/>
      <c r="QSV1" s="405"/>
      <c r="QSW1" s="432" t="s">
        <v>41</v>
      </c>
      <c r="QSX1" s="404"/>
      <c r="QSY1" s="404"/>
      <c r="QSZ1" s="404"/>
      <c r="QTA1" s="404"/>
      <c r="QTB1" s="404"/>
      <c r="QTC1" s="404"/>
      <c r="QTD1" s="405"/>
      <c r="QTE1" s="432" t="s">
        <v>41</v>
      </c>
      <c r="QTF1" s="404"/>
      <c r="QTG1" s="404"/>
      <c r="QTH1" s="404"/>
      <c r="QTI1" s="404"/>
      <c r="QTJ1" s="404"/>
      <c r="QTK1" s="404"/>
      <c r="QTL1" s="405"/>
      <c r="QTM1" s="432" t="s">
        <v>41</v>
      </c>
      <c r="QTN1" s="404"/>
      <c r="QTO1" s="404"/>
      <c r="QTP1" s="404"/>
      <c r="QTQ1" s="404"/>
      <c r="QTR1" s="404"/>
      <c r="QTS1" s="404"/>
      <c r="QTT1" s="405"/>
      <c r="QTU1" s="432" t="s">
        <v>41</v>
      </c>
      <c r="QTV1" s="404"/>
      <c r="QTW1" s="404"/>
      <c r="QTX1" s="404"/>
      <c r="QTY1" s="404"/>
      <c r="QTZ1" s="404"/>
      <c r="QUA1" s="404"/>
      <c r="QUB1" s="405"/>
      <c r="QUC1" s="432" t="s">
        <v>41</v>
      </c>
      <c r="QUD1" s="404"/>
      <c r="QUE1" s="404"/>
      <c r="QUF1" s="404"/>
      <c r="QUG1" s="404"/>
      <c r="QUH1" s="404"/>
      <c r="QUI1" s="404"/>
      <c r="QUJ1" s="405"/>
      <c r="QUK1" s="432" t="s">
        <v>41</v>
      </c>
      <c r="QUL1" s="404"/>
      <c r="QUM1" s="404"/>
      <c r="QUN1" s="404"/>
      <c r="QUO1" s="404"/>
      <c r="QUP1" s="404"/>
      <c r="QUQ1" s="404"/>
      <c r="QUR1" s="405"/>
      <c r="QUS1" s="432" t="s">
        <v>41</v>
      </c>
      <c r="QUT1" s="404"/>
      <c r="QUU1" s="404"/>
      <c r="QUV1" s="404"/>
      <c r="QUW1" s="404"/>
      <c r="QUX1" s="404"/>
      <c r="QUY1" s="404"/>
      <c r="QUZ1" s="405"/>
      <c r="QVA1" s="432" t="s">
        <v>41</v>
      </c>
      <c r="QVB1" s="404"/>
      <c r="QVC1" s="404"/>
      <c r="QVD1" s="404"/>
      <c r="QVE1" s="404"/>
      <c r="QVF1" s="404"/>
      <c r="QVG1" s="404"/>
      <c r="QVH1" s="405"/>
      <c r="QVI1" s="432" t="s">
        <v>41</v>
      </c>
      <c r="QVJ1" s="404"/>
      <c r="QVK1" s="404"/>
      <c r="QVL1" s="404"/>
      <c r="QVM1" s="404"/>
      <c r="QVN1" s="404"/>
      <c r="QVO1" s="404"/>
      <c r="QVP1" s="405"/>
      <c r="QVQ1" s="432" t="s">
        <v>41</v>
      </c>
      <c r="QVR1" s="404"/>
      <c r="QVS1" s="404"/>
      <c r="QVT1" s="404"/>
      <c r="QVU1" s="404"/>
      <c r="QVV1" s="404"/>
      <c r="QVW1" s="404"/>
      <c r="QVX1" s="405"/>
      <c r="QVY1" s="432" t="s">
        <v>41</v>
      </c>
      <c r="QVZ1" s="404"/>
      <c r="QWA1" s="404"/>
      <c r="QWB1" s="404"/>
      <c r="QWC1" s="404"/>
      <c r="QWD1" s="404"/>
      <c r="QWE1" s="404"/>
      <c r="QWF1" s="405"/>
      <c r="QWG1" s="432" t="s">
        <v>41</v>
      </c>
      <c r="QWH1" s="404"/>
      <c r="QWI1" s="404"/>
      <c r="QWJ1" s="404"/>
      <c r="QWK1" s="404"/>
      <c r="QWL1" s="404"/>
      <c r="QWM1" s="404"/>
      <c r="QWN1" s="405"/>
      <c r="QWO1" s="432" t="s">
        <v>41</v>
      </c>
      <c r="QWP1" s="404"/>
      <c r="QWQ1" s="404"/>
      <c r="QWR1" s="404"/>
      <c r="QWS1" s="404"/>
      <c r="QWT1" s="404"/>
      <c r="QWU1" s="404"/>
      <c r="QWV1" s="405"/>
      <c r="QWW1" s="432" t="s">
        <v>41</v>
      </c>
      <c r="QWX1" s="404"/>
      <c r="QWY1" s="404"/>
      <c r="QWZ1" s="404"/>
      <c r="QXA1" s="404"/>
      <c r="QXB1" s="404"/>
      <c r="QXC1" s="404"/>
      <c r="QXD1" s="405"/>
      <c r="QXE1" s="432" t="s">
        <v>41</v>
      </c>
      <c r="QXF1" s="404"/>
      <c r="QXG1" s="404"/>
      <c r="QXH1" s="404"/>
      <c r="QXI1" s="404"/>
      <c r="QXJ1" s="404"/>
      <c r="QXK1" s="404"/>
      <c r="QXL1" s="405"/>
      <c r="QXM1" s="432" t="s">
        <v>41</v>
      </c>
      <c r="QXN1" s="404"/>
      <c r="QXO1" s="404"/>
      <c r="QXP1" s="404"/>
      <c r="QXQ1" s="404"/>
      <c r="QXR1" s="404"/>
      <c r="QXS1" s="404"/>
      <c r="QXT1" s="405"/>
      <c r="QXU1" s="432" t="s">
        <v>41</v>
      </c>
      <c r="QXV1" s="404"/>
      <c r="QXW1" s="404"/>
      <c r="QXX1" s="404"/>
      <c r="QXY1" s="404"/>
      <c r="QXZ1" s="404"/>
      <c r="QYA1" s="404"/>
      <c r="QYB1" s="405"/>
      <c r="QYC1" s="432" t="s">
        <v>41</v>
      </c>
      <c r="QYD1" s="404"/>
      <c r="QYE1" s="404"/>
      <c r="QYF1" s="404"/>
      <c r="QYG1" s="404"/>
      <c r="QYH1" s="404"/>
      <c r="QYI1" s="404"/>
      <c r="QYJ1" s="405"/>
      <c r="QYK1" s="432" t="s">
        <v>41</v>
      </c>
      <c r="QYL1" s="404"/>
      <c r="QYM1" s="404"/>
      <c r="QYN1" s="404"/>
      <c r="QYO1" s="404"/>
      <c r="QYP1" s="404"/>
      <c r="QYQ1" s="404"/>
      <c r="QYR1" s="405"/>
      <c r="QYS1" s="432" t="s">
        <v>41</v>
      </c>
      <c r="QYT1" s="404"/>
      <c r="QYU1" s="404"/>
      <c r="QYV1" s="404"/>
      <c r="QYW1" s="404"/>
      <c r="QYX1" s="404"/>
      <c r="QYY1" s="404"/>
      <c r="QYZ1" s="405"/>
      <c r="QZA1" s="432" t="s">
        <v>41</v>
      </c>
      <c r="QZB1" s="404"/>
      <c r="QZC1" s="404"/>
      <c r="QZD1" s="404"/>
      <c r="QZE1" s="404"/>
      <c r="QZF1" s="404"/>
      <c r="QZG1" s="404"/>
      <c r="QZH1" s="405"/>
      <c r="QZI1" s="432" t="s">
        <v>41</v>
      </c>
      <c r="QZJ1" s="404"/>
      <c r="QZK1" s="404"/>
      <c r="QZL1" s="404"/>
      <c r="QZM1" s="404"/>
      <c r="QZN1" s="404"/>
      <c r="QZO1" s="404"/>
      <c r="QZP1" s="405"/>
      <c r="QZQ1" s="432" t="s">
        <v>41</v>
      </c>
      <c r="QZR1" s="404"/>
      <c r="QZS1" s="404"/>
      <c r="QZT1" s="404"/>
      <c r="QZU1" s="404"/>
      <c r="QZV1" s="404"/>
      <c r="QZW1" s="404"/>
      <c r="QZX1" s="405"/>
      <c r="QZY1" s="432" t="s">
        <v>41</v>
      </c>
      <c r="QZZ1" s="404"/>
      <c r="RAA1" s="404"/>
      <c r="RAB1" s="404"/>
      <c r="RAC1" s="404"/>
      <c r="RAD1" s="404"/>
      <c r="RAE1" s="404"/>
      <c r="RAF1" s="405"/>
      <c r="RAG1" s="432" t="s">
        <v>41</v>
      </c>
      <c r="RAH1" s="404"/>
      <c r="RAI1" s="404"/>
      <c r="RAJ1" s="404"/>
      <c r="RAK1" s="404"/>
      <c r="RAL1" s="404"/>
      <c r="RAM1" s="404"/>
      <c r="RAN1" s="405"/>
      <c r="RAO1" s="432" t="s">
        <v>41</v>
      </c>
      <c r="RAP1" s="404"/>
      <c r="RAQ1" s="404"/>
      <c r="RAR1" s="404"/>
      <c r="RAS1" s="404"/>
      <c r="RAT1" s="404"/>
      <c r="RAU1" s="404"/>
      <c r="RAV1" s="405"/>
      <c r="RAW1" s="432" t="s">
        <v>41</v>
      </c>
      <c r="RAX1" s="404"/>
      <c r="RAY1" s="404"/>
      <c r="RAZ1" s="404"/>
      <c r="RBA1" s="404"/>
      <c r="RBB1" s="404"/>
      <c r="RBC1" s="404"/>
      <c r="RBD1" s="405"/>
      <c r="RBE1" s="432" t="s">
        <v>41</v>
      </c>
      <c r="RBF1" s="404"/>
      <c r="RBG1" s="404"/>
      <c r="RBH1" s="404"/>
      <c r="RBI1" s="404"/>
      <c r="RBJ1" s="404"/>
      <c r="RBK1" s="404"/>
      <c r="RBL1" s="405"/>
      <c r="RBM1" s="432" t="s">
        <v>41</v>
      </c>
      <c r="RBN1" s="404"/>
      <c r="RBO1" s="404"/>
      <c r="RBP1" s="404"/>
      <c r="RBQ1" s="404"/>
      <c r="RBR1" s="404"/>
      <c r="RBS1" s="404"/>
      <c r="RBT1" s="405"/>
      <c r="RBU1" s="432" t="s">
        <v>41</v>
      </c>
      <c r="RBV1" s="404"/>
      <c r="RBW1" s="404"/>
      <c r="RBX1" s="404"/>
      <c r="RBY1" s="404"/>
      <c r="RBZ1" s="404"/>
      <c r="RCA1" s="404"/>
      <c r="RCB1" s="405"/>
      <c r="RCC1" s="432" t="s">
        <v>41</v>
      </c>
      <c r="RCD1" s="404"/>
      <c r="RCE1" s="404"/>
      <c r="RCF1" s="404"/>
      <c r="RCG1" s="404"/>
      <c r="RCH1" s="404"/>
      <c r="RCI1" s="404"/>
      <c r="RCJ1" s="405"/>
      <c r="RCK1" s="432" t="s">
        <v>41</v>
      </c>
      <c r="RCL1" s="404"/>
      <c r="RCM1" s="404"/>
      <c r="RCN1" s="404"/>
      <c r="RCO1" s="404"/>
      <c r="RCP1" s="404"/>
      <c r="RCQ1" s="404"/>
      <c r="RCR1" s="405"/>
      <c r="RCS1" s="432" t="s">
        <v>41</v>
      </c>
      <c r="RCT1" s="404"/>
      <c r="RCU1" s="404"/>
      <c r="RCV1" s="404"/>
      <c r="RCW1" s="404"/>
      <c r="RCX1" s="404"/>
      <c r="RCY1" s="404"/>
      <c r="RCZ1" s="405"/>
      <c r="RDA1" s="432" t="s">
        <v>41</v>
      </c>
      <c r="RDB1" s="404"/>
      <c r="RDC1" s="404"/>
      <c r="RDD1" s="404"/>
      <c r="RDE1" s="404"/>
      <c r="RDF1" s="404"/>
      <c r="RDG1" s="404"/>
      <c r="RDH1" s="405"/>
      <c r="RDI1" s="432" t="s">
        <v>41</v>
      </c>
      <c r="RDJ1" s="404"/>
      <c r="RDK1" s="404"/>
      <c r="RDL1" s="404"/>
      <c r="RDM1" s="404"/>
      <c r="RDN1" s="404"/>
      <c r="RDO1" s="404"/>
      <c r="RDP1" s="405"/>
      <c r="RDQ1" s="432" t="s">
        <v>41</v>
      </c>
      <c r="RDR1" s="404"/>
      <c r="RDS1" s="404"/>
      <c r="RDT1" s="404"/>
      <c r="RDU1" s="404"/>
      <c r="RDV1" s="404"/>
      <c r="RDW1" s="404"/>
      <c r="RDX1" s="405"/>
      <c r="RDY1" s="432" t="s">
        <v>41</v>
      </c>
      <c r="RDZ1" s="404"/>
      <c r="REA1" s="404"/>
      <c r="REB1" s="404"/>
      <c r="REC1" s="404"/>
      <c r="RED1" s="404"/>
      <c r="REE1" s="404"/>
      <c r="REF1" s="405"/>
      <c r="REG1" s="432" t="s">
        <v>41</v>
      </c>
      <c r="REH1" s="404"/>
      <c r="REI1" s="404"/>
      <c r="REJ1" s="404"/>
      <c r="REK1" s="404"/>
      <c r="REL1" s="404"/>
      <c r="REM1" s="404"/>
      <c r="REN1" s="405"/>
      <c r="REO1" s="432" t="s">
        <v>41</v>
      </c>
      <c r="REP1" s="404"/>
      <c r="REQ1" s="404"/>
      <c r="RER1" s="404"/>
      <c r="RES1" s="404"/>
      <c r="RET1" s="404"/>
      <c r="REU1" s="404"/>
      <c r="REV1" s="405"/>
      <c r="REW1" s="432" t="s">
        <v>41</v>
      </c>
      <c r="REX1" s="404"/>
      <c r="REY1" s="404"/>
      <c r="REZ1" s="404"/>
      <c r="RFA1" s="404"/>
      <c r="RFB1" s="404"/>
      <c r="RFC1" s="404"/>
      <c r="RFD1" s="405"/>
      <c r="RFE1" s="432" t="s">
        <v>41</v>
      </c>
      <c r="RFF1" s="404"/>
      <c r="RFG1" s="404"/>
      <c r="RFH1" s="404"/>
      <c r="RFI1" s="404"/>
      <c r="RFJ1" s="404"/>
      <c r="RFK1" s="404"/>
      <c r="RFL1" s="405"/>
      <c r="RFM1" s="432" t="s">
        <v>41</v>
      </c>
      <c r="RFN1" s="404"/>
      <c r="RFO1" s="404"/>
      <c r="RFP1" s="404"/>
      <c r="RFQ1" s="404"/>
      <c r="RFR1" s="404"/>
      <c r="RFS1" s="404"/>
      <c r="RFT1" s="405"/>
      <c r="RFU1" s="432" t="s">
        <v>41</v>
      </c>
      <c r="RFV1" s="404"/>
      <c r="RFW1" s="404"/>
      <c r="RFX1" s="404"/>
      <c r="RFY1" s="404"/>
      <c r="RFZ1" s="404"/>
      <c r="RGA1" s="404"/>
      <c r="RGB1" s="405"/>
      <c r="RGC1" s="432" t="s">
        <v>41</v>
      </c>
      <c r="RGD1" s="404"/>
      <c r="RGE1" s="404"/>
      <c r="RGF1" s="404"/>
      <c r="RGG1" s="404"/>
      <c r="RGH1" s="404"/>
      <c r="RGI1" s="404"/>
      <c r="RGJ1" s="405"/>
      <c r="RGK1" s="432" t="s">
        <v>41</v>
      </c>
      <c r="RGL1" s="404"/>
      <c r="RGM1" s="404"/>
      <c r="RGN1" s="404"/>
      <c r="RGO1" s="404"/>
      <c r="RGP1" s="404"/>
      <c r="RGQ1" s="404"/>
      <c r="RGR1" s="405"/>
      <c r="RGS1" s="432" t="s">
        <v>41</v>
      </c>
      <c r="RGT1" s="404"/>
      <c r="RGU1" s="404"/>
      <c r="RGV1" s="404"/>
      <c r="RGW1" s="404"/>
      <c r="RGX1" s="404"/>
      <c r="RGY1" s="404"/>
      <c r="RGZ1" s="405"/>
      <c r="RHA1" s="432" t="s">
        <v>41</v>
      </c>
      <c r="RHB1" s="404"/>
      <c r="RHC1" s="404"/>
      <c r="RHD1" s="404"/>
      <c r="RHE1" s="404"/>
      <c r="RHF1" s="404"/>
      <c r="RHG1" s="404"/>
      <c r="RHH1" s="405"/>
      <c r="RHI1" s="432" t="s">
        <v>41</v>
      </c>
      <c r="RHJ1" s="404"/>
      <c r="RHK1" s="404"/>
      <c r="RHL1" s="404"/>
      <c r="RHM1" s="404"/>
      <c r="RHN1" s="404"/>
      <c r="RHO1" s="404"/>
      <c r="RHP1" s="405"/>
      <c r="RHQ1" s="432" t="s">
        <v>41</v>
      </c>
      <c r="RHR1" s="404"/>
      <c r="RHS1" s="404"/>
      <c r="RHT1" s="404"/>
      <c r="RHU1" s="404"/>
      <c r="RHV1" s="404"/>
      <c r="RHW1" s="404"/>
      <c r="RHX1" s="405"/>
      <c r="RHY1" s="432" t="s">
        <v>41</v>
      </c>
      <c r="RHZ1" s="404"/>
      <c r="RIA1" s="404"/>
      <c r="RIB1" s="404"/>
      <c r="RIC1" s="404"/>
      <c r="RID1" s="404"/>
      <c r="RIE1" s="404"/>
      <c r="RIF1" s="405"/>
      <c r="RIG1" s="432" t="s">
        <v>41</v>
      </c>
      <c r="RIH1" s="404"/>
      <c r="RII1" s="404"/>
      <c r="RIJ1" s="404"/>
      <c r="RIK1" s="404"/>
      <c r="RIL1" s="404"/>
      <c r="RIM1" s="404"/>
      <c r="RIN1" s="405"/>
      <c r="RIO1" s="432" t="s">
        <v>41</v>
      </c>
      <c r="RIP1" s="404"/>
      <c r="RIQ1" s="404"/>
      <c r="RIR1" s="404"/>
      <c r="RIS1" s="404"/>
      <c r="RIT1" s="404"/>
      <c r="RIU1" s="404"/>
      <c r="RIV1" s="405"/>
      <c r="RIW1" s="432" t="s">
        <v>41</v>
      </c>
      <c r="RIX1" s="404"/>
      <c r="RIY1" s="404"/>
      <c r="RIZ1" s="404"/>
      <c r="RJA1" s="404"/>
      <c r="RJB1" s="404"/>
      <c r="RJC1" s="404"/>
      <c r="RJD1" s="405"/>
      <c r="RJE1" s="432" t="s">
        <v>41</v>
      </c>
      <c r="RJF1" s="404"/>
      <c r="RJG1" s="404"/>
      <c r="RJH1" s="404"/>
      <c r="RJI1" s="404"/>
      <c r="RJJ1" s="404"/>
      <c r="RJK1" s="404"/>
      <c r="RJL1" s="405"/>
      <c r="RJM1" s="432" t="s">
        <v>41</v>
      </c>
      <c r="RJN1" s="404"/>
      <c r="RJO1" s="404"/>
      <c r="RJP1" s="404"/>
      <c r="RJQ1" s="404"/>
      <c r="RJR1" s="404"/>
      <c r="RJS1" s="404"/>
      <c r="RJT1" s="405"/>
      <c r="RJU1" s="432" t="s">
        <v>41</v>
      </c>
      <c r="RJV1" s="404"/>
      <c r="RJW1" s="404"/>
      <c r="RJX1" s="404"/>
      <c r="RJY1" s="404"/>
      <c r="RJZ1" s="404"/>
      <c r="RKA1" s="404"/>
      <c r="RKB1" s="405"/>
      <c r="RKC1" s="432" t="s">
        <v>41</v>
      </c>
      <c r="RKD1" s="404"/>
      <c r="RKE1" s="404"/>
      <c r="RKF1" s="404"/>
      <c r="RKG1" s="404"/>
      <c r="RKH1" s="404"/>
      <c r="RKI1" s="404"/>
      <c r="RKJ1" s="405"/>
      <c r="RKK1" s="432" t="s">
        <v>41</v>
      </c>
      <c r="RKL1" s="404"/>
      <c r="RKM1" s="404"/>
      <c r="RKN1" s="404"/>
      <c r="RKO1" s="404"/>
      <c r="RKP1" s="404"/>
      <c r="RKQ1" s="404"/>
      <c r="RKR1" s="405"/>
      <c r="RKS1" s="432" t="s">
        <v>41</v>
      </c>
      <c r="RKT1" s="404"/>
      <c r="RKU1" s="404"/>
      <c r="RKV1" s="404"/>
      <c r="RKW1" s="404"/>
      <c r="RKX1" s="404"/>
      <c r="RKY1" s="404"/>
      <c r="RKZ1" s="405"/>
      <c r="RLA1" s="432" t="s">
        <v>41</v>
      </c>
      <c r="RLB1" s="404"/>
      <c r="RLC1" s="404"/>
      <c r="RLD1" s="404"/>
      <c r="RLE1" s="404"/>
      <c r="RLF1" s="404"/>
      <c r="RLG1" s="404"/>
      <c r="RLH1" s="405"/>
      <c r="RLI1" s="432" t="s">
        <v>41</v>
      </c>
      <c r="RLJ1" s="404"/>
      <c r="RLK1" s="404"/>
      <c r="RLL1" s="404"/>
      <c r="RLM1" s="404"/>
      <c r="RLN1" s="404"/>
      <c r="RLO1" s="404"/>
      <c r="RLP1" s="405"/>
      <c r="RLQ1" s="432" t="s">
        <v>41</v>
      </c>
      <c r="RLR1" s="404"/>
      <c r="RLS1" s="404"/>
      <c r="RLT1" s="404"/>
      <c r="RLU1" s="404"/>
      <c r="RLV1" s="404"/>
      <c r="RLW1" s="404"/>
      <c r="RLX1" s="405"/>
      <c r="RLY1" s="432" t="s">
        <v>41</v>
      </c>
      <c r="RLZ1" s="404"/>
      <c r="RMA1" s="404"/>
      <c r="RMB1" s="404"/>
      <c r="RMC1" s="404"/>
      <c r="RMD1" s="404"/>
      <c r="RME1" s="404"/>
      <c r="RMF1" s="405"/>
      <c r="RMG1" s="432" t="s">
        <v>41</v>
      </c>
      <c r="RMH1" s="404"/>
      <c r="RMI1" s="404"/>
      <c r="RMJ1" s="404"/>
      <c r="RMK1" s="404"/>
      <c r="RML1" s="404"/>
      <c r="RMM1" s="404"/>
      <c r="RMN1" s="405"/>
      <c r="RMO1" s="432" t="s">
        <v>41</v>
      </c>
      <c r="RMP1" s="404"/>
      <c r="RMQ1" s="404"/>
      <c r="RMR1" s="404"/>
      <c r="RMS1" s="404"/>
      <c r="RMT1" s="404"/>
      <c r="RMU1" s="404"/>
      <c r="RMV1" s="405"/>
      <c r="RMW1" s="432" t="s">
        <v>41</v>
      </c>
      <c r="RMX1" s="404"/>
      <c r="RMY1" s="404"/>
      <c r="RMZ1" s="404"/>
      <c r="RNA1" s="404"/>
      <c r="RNB1" s="404"/>
      <c r="RNC1" s="404"/>
      <c r="RND1" s="405"/>
      <c r="RNE1" s="432" t="s">
        <v>41</v>
      </c>
      <c r="RNF1" s="404"/>
      <c r="RNG1" s="404"/>
      <c r="RNH1" s="404"/>
      <c r="RNI1" s="404"/>
      <c r="RNJ1" s="404"/>
      <c r="RNK1" s="404"/>
      <c r="RNL1" s="405"/>
      <c r="RNM1" s="432" t="s">
        <v>41</v>
      </c>
      <c r="RNN1" s="404"/>
      <c r="RNO1" s="404"/>
      <c r="RNP1" s="404"/>
      <c r="RNQ1" s="404"/>
      <c r="RNR1" s="404"/>
      <c r="RNS1" s="404"/>
      <c r="RNT1" s="405"/>
      <c r="RNU1" s="432" t="s">
        <v>41</v>
      </c>
      <c r="RNV1" s="404"/>
      <c r="RNW1" s="404"/>
      <c r="RNX1" s="404"/>
      <c r="RNY1" s="404"/>
      <c r="RNZ1" s="404"/>
      <c r="ROA1" s="404"/>
      <c r="ROB1" s="405"/>
      <c r="ROC1" s="432" t="s">
        <v>41</v>
      </c>
      <c r="ROD1" s="404"/>
      <c r="ROE1" s="404"/>
      <c r="ROF1" s="404"/>
      <c r="ROG1" s="404"/>
      <c r="ROH1" s="404"/>
      <c r="ROI1" s="404"/>
      <c r="ROJ1" s="405"/>
      <c r="ROK1" s="432" t="s">
        <v>41</v>
      </c>
      <c r="ROL1" s="404"/>
      <c r="ROM1" s="404"/>
      <c r="RON1" s="404"/>
      <c r="ROO1" s="404"/>
      <c r="ROP1" s="404"/>
      <c r="ROQ1" s="404"/>
      <c r="ROR1" s="405"/>
      <c r="ROS1" s="432" t="s">
        <v>41</v>
      </c>
      <c r="ROT1" s="404"/>
      <c r="ROU1" s="404"/>
      <c r="ROV1" s="404"/>
      <c r="ROW1" s="404"/>
      <c r="ROX1" s="404"/>
      <c r="ROY1" s="404"/>
      <c r="ROZ1" s="405"/>
      <c r="RPA1" s="432" t="s">
        <v>41</v>
      </c>
      <c r="RPB1" s="404"/>
      <c r="RPC1" s="404"/>
      <c r="RPD1" s="404"/>
      <c r="RPE1" s="404"/>
      <c r="RPF1" s="404"/>
      <c r="RPG1" s="404"/>
      <c r="RPH1" s="405"/>
      <c r="RPI1" s="432" t="s">
        <v>41</v>
      </c>
      <c r="RPJ1" s="404"/>
      <c r="RPK1" s="404"/>
      <c r="RPL1" s="404"/>
      <c r="RPM1" s="404"/>
      <c r="RPN1" s="404"/>
      <c r="RPO1" s="404"/>
      <c r="RPP1" s="405"/>
      <c r="RPQ1" s="432" t="s">
        <v>41</v>
      </c>
      <c r="RPR1" s="404"/>
      <c r="RPS1" s="404"/>
      <c r="RPT1" s="404"/>
      <c r="RPU1" s="404"/>
      <c r="RPV1" s="404"/>
      <c r="RPW1" s="404"/>
      <c r="RPX1" s="405"/>
      <c r="RPY1" s="432" t="s">
        <v>41</v>
      </c>
      <c r="RPZ1" s="404"/>
      <c r="RQA1" s="404"/>
      <c r="RQB1" s="404"/>
      <c r="RQC1" s="404"/>
      <c r="RQD1" s="404"/>
      <c r="RQE1" s="404"/>
      <c r="RQF1" s="405"/>
      <c r="RQG1" s="432" t="s">
        <v>41</v>
      </c>
      <c r="RQH1" s="404"/>
      <c r="RQI1" s="404"/>
      <c r="RQJ1" s="404"/>
      <c r="RQK1" s="404"/>
      <c r="RQL1" s="404"/>
      <c r="RQM1" s="404"/>
      <c r="RQN1" s="405"/>
      <c r="RQO1" s="432" t="s">
        <v>41</v>
      </c>
      <c r="RQP1" s="404"/>
      <c r="RQQ1" s="404"/>
      <c r="RQR1" s="404"/>
      <c r="RQS1" s="404"/>
      <c r="RQT1" s="404"/>
      <c r="RQU1" s="404"/>
      <c r="RQV1" s="405"/>
      <c r="RQW1" s="432" t="s">
        <v>41</v>
      </c>
      <c r="RQX1" s="404"/>
      <c r="RQY1" s="404"/>
      <c r="RQZ1" s="404"/>
      <c r="RRA1" s="404"/>
      <c r="RRB1" s="404"/>
      <c r="RRC1" s="404"/>
      <c r="RRD1" s="405"/>
      <c r="RRE1" s="432" t="s">
        <v>41</v>
      </c>
      <c r="RRF1" s="404"/>
      <c r="RRG1" s="404"/>
      <c r="RRH1" s="404"/>
      <c r="RRI1" s="404"/>
      <c r="RRJ1" s="404"/>
      <c r="RRK1" s="404"/>
      <c r="RRL1" s="405"/>
      <c r="RRM1" s="432" t="s">
        <v>41</v>
      </c>
      <c r="RRN1" s="404"/>
      <c r="RRO1" s="404"/>
      <c r="RRP1" s="404"/>
      <c r="RRQ1" s="404"/>
      <c r="RRR1" s="404"/>
      <c r="RRS1" s="404"/>
      <c r="RRT1" s="405"/>
      <c r="RRU1" s="432" t="s">
        <v>41</v>
      </c>
      <c r="RRV1" s="404"/>
      <c r="RRW1" s="404"/>
      <c r="RRX1" s="404"/>
      <c r="RRY1" s="404"/>
      <c r="RRZ1" s="404"/>
      <c r="RSA1" s="404"/>
      <c r="RSB1" s="405"/>
      <c r="RSC1" s="432" t="s">
        <v>41</v>
      </c>
      <c r="RSD1" s="404"/>
      <c r="RSE1" s="404"/>
      <c r="RSF1" s="404"/>
      <c r="RSG1" s="404"/>
      <c r="RSH1" s="404"/>
      <c r="RSI1" s="404"/>
      <c r="RSJ1" s="405"/>
      <c r="RSK1" s="432" t="s">
        <v>41</v>
      </c>
      <c r="RSL1" s="404"/>
      <c r="RSM1" s="404"/>
      <c r="RSN1" s="404"/>
      <c r="RSO1" s="404"/>
      <c r="RSP1" s="404"/>
      <c r="RSQ1" s="404"/>
      <c r="RSR1" s="405"/>
      <c r="RSS1" s="432" t="s">
        <v>41</v>
      </c>
      <c r="RST1" s="404"/>
      <c r="RSU1" s="404"/>
      <c r="RSV1" s="404"/>
      <c r="RSW1" s="404"/>
      <c r="RSX1" s="404"/>
      <c r="RSY1" s="404"/>
      <c r="RSZ1" s="405"/>
      <c r="RTA1" s="432" t="s">
        <v>41</v>
      </c>
      <c r="RTB1" s="404"/>
      <c r="RTC1" s="404"/>
      <c r="RTD1" s="404"/>
      <c r="RTE1" s="404"/>
      <c r="RTF1" s="404"/>
      <c r="RTG1" s="404"/>
      <c r="RTH1" s="405"/>
      <c r="RTI1" s="432" t="s">
        <v>41</v>
      </c>
      <c r="RTJ1" s="404"/>
      <c r="RTK1" s="404"/>
      <c r="RTL1" s="404"/>
      <c r="RTM1" s="404"/>
      <c r="RTN1" s="404"/>
      <c r="RTO1" s="404"/>
      <c r="RTP1" s="405"/>
      <c r="RTQ1" s="432" t="s">
        <v>41</v>
      </c>
      <c r="RTR1" s="404"/>
      <c r="RTS1" s="404"/>
      <c r="RTT1" s="404"/>
      <c r="RTU1" s="404"/>
      <c r="RTV1" s="404"/>
      <c r="RTW1" s="404"/>
      <c r="RTX1" s="405"/>
      <c r="RTY1" s="432" t="s">
        <v>41</v>
      </c>
      <c r="RTZ1" s="404"/>
      <c r="RUA1" s="404"/>
      <c r="RUB1" s="404"/>
      <c r="RUC1" s="404"/>
      <c r="RUD1" s="404"/>
      <c r="RUE1" s="404"/>
      <c r="RUF1" s="405"/>
      <c r="RUG1" s="432" t="s">
        <v>41</v>
      </c>
      <c r="RUH1" s="404"/>
      <c r="RUI1" s="404"/>
      <c r="RUJ1" s="404"/>
      <c r="RUK1" s="404"/>
      <c r="RUL1" s="404"/>
      <c r="RUM1" s="404"/>
      <c r="RUN1" s="405"/>
      <c r="RUO1" s="432" t="s">
        <v>41</v>
      </c>
      <c r="RUP1" s="404"/>
      <c r="RUQ1" s="404"/>
      <c r="RUR1" s="404"/>
      <c r="RUS1" s="404"/>
      <c r="RUT1" s="404"/>
      <c r="RUU1" s="404"/>
      <c r="RUV1" s="405"/>
      <c r="RUW1" s="432" t="s">
        <v>41</v>
      </c>
      <c r="RUX1" s="404"/>
      <c r="RUY1" s="404"/>
      <c r="RUZ1" s="404"/>
      <c r="RVA1" s="404"/>
      <c r="RVB1" s="404"/>
      <c r="RVC1" s="404"/>
      <c r="RVD1" s="405"/>
      <c r="RVE1" s="432" t="s">
        <v>41</v>
      </c>
      <c r="RVF1" s="404"/>
      <c r="RVG1" s="404"/>
      <c r="RVH1" s="404"/>
      <c r="RVI1" s="404"/>
      <c r="RVJ1" s="404"/>
      <c r="RVK1" s="404"/>
      <c r="RVL1" s="405"/>
      <c r="RVM1" s="432" t="s">
        <v>41</v>
      </c>
      <c r="RVN1" s="404"/>
      <c r="RVO1" s="404"/>
      <c r="RVP1" s="404"/>
      <c r="RVQ1" s="404"/>
      <c r="RVR1" s="404"/>
      <c r="RVS1" s="404"/>
      <c r="RVT1" s="405"/>
      <c r="RVU1" s="432" t="s">
        <v>41</v>
      </c>
      <c r="RVV1" s="404"/>
      <c r="RVW1" s="404"/>
      <c r="RVX1" s="404"/>
      <c r="RVY1" s="404"/>
      <c r="RVZ1" s="404"/>
      <c r="RWA1" s="404"/>
      <c r="RWB1" s="405"/>
      <c r="RWC1" s="432" t="s">
        <v>41</v>
      </c>
      <c r="RWD1" s="404"/>
      <c r="RWE1" s="404"/>
      <c r="RWF1" s="404"/>
      <c r="RWG1" s="404"/>
      <c r="RWH1" s="404"/>
      <c r="RWI1" s="404"/>
      <c r="RWJ1" s="405"/>
      <c r="RWK1" s="432" t="s">
        <v>41</v>
      </c>
      <c r="RWL1" s="404"/>
      <c r="RWM1" s="404"/>
      <c r="RWN1" s="404"/>
      <c r="RWO1" s="404"/>
      <c r="RWP1" s="404"/>
      <c r="RWQ1" s="404"/>
      <c r="RWR1" s="405"/>
      <c r="RWS1" s="432" t="s">
        <v>41</v>
      </c>
      <c r="RWT1" s="404"/>
      <c r="RWU1" s="404"/>
      <c r="RWV1" s="404"/>
      <c r="RWW1" s="404"/>
      <c r="RWX1" s="404"/>
      <c r="RWY1" s="404"/>
      <c r="RWZ1" s="405"/>
      <c r="RXA1" s="432" t="s">
        <v>41</v>
      </c>
      <c r="RXB1" s="404"/>
      <c r="RXC1" s="404"/>
      <c r="RXD1" s="404"/>
      <c r="RXE1" s="404"/>
      <c r="RXF1" s="404"/>
      <c r="RXG1" s="404"/>
      <c r="RXH1" s="405"/>
      <c r="RXI1" s="432" t="s">
        <v>41</v>
      </c>
      <c r="RXJ1" s="404"/>
      <c r="RXK1" s="404"/>
      <c r="RXL1" s="404"/>
      <c r="RXM1" s="404"/>
      <c r="RXN1" s="404"/>
      <c r="RXO1" s="404"/>
      <c r="RXP1" s="405"/>
      <c r="RXQ1" s="432" t="s">
        <v>41</v>
      </c>
      <c r="RXR1" s="404"/>
      <c r="RXS1" s="404"/>
      <c r="RXT1" s="404"/>
      <c r="RXU1" s="404"/>
      <c r="RXV1" s="404"/>
      <c r="RXW1" s="404"/>
      <c r="RXX1" s="405"/>
      <c r="RXY1" s="432" t="s">
        <v>41</v>
      </c>
      <c r="RXZ1" s="404"/>
      <c r="RYA1" s="404"/>
      <c r="RYB1" s="404"/>
      <c r="RYC1" s="404"/>
      <c r="RYD1" s="404"/>
      <c r="RYE1" s="404"/>
      <c r="RYF1" s="405"/>
      <c r="RYG1" s="432" t="s">
        <v>41</v>
      </c>
      <c r="RYH1" s="404"/>
      <c r="RYI1" s="404"/>
      <c r="RYJ1" s="404"/>
      <c r="RYK1" s="404"/>
      <c r="RYL1" s="404"/>
      <c r="RYM1" s="404"/>
      <c r="RYN1" s="405"/>
      <c r="RYO1" s="432" t="s">
        <v>41</v>
      </c>
      <c r="RYP1" s="404"/>
      <c r="RYQ1" s="404"/>
      <c r="RYR1" s="404"/>
      <c r="RYS1" s="404"/>
      <c r="RYT1" s="404"/>
      <c r="RYU1" s="404"/>
      <c r="RYV1" s="405"/>
      <c r="RYW1" s="432" t="s">
        <v>41</v>
      </c>
      <c r="RYX1" s="404"/>
      <c r="RYY1" s="404"/>
      <c r="RYZ1" s="404"/>
      <c r="RZA1" s="404"/>
      <c r="RZB1" s="404"/>
      <c r="RZC1" s="404"/>
      <c r="RZD1" s="405"/>
      <c r="RZE1" s="432" t="s">
        <v>41</v>
      </c>
      <c r="RZF1" s="404"/>
      <c r="RZG1" s="404"/>
      <c r="RZH1" s="404"/>
      <c r="RZI1" s="404"/>
      <c r="RZJ1" s="404"/>
      <c r="RZK1" s="404"/>
      <c r="RZL1" s="405"/>
      <c r="RZM1" s="432" t="s">
        <v>41</v>
      </c>
      <c r="RZN1" s="404"/>
      <c r="RZO1" s="404"/>
      <c r="RZP1" s="404"/>
      <c r="RZQ1" s="404"/>
      <c r="RZR1" s="404"/>
      <c r="RZS1" s="404"/>
      <c r="RZT1" s="405"/>
      <c r="RZU1" s="432" t="s">
        <v>41</v>
      </c>
      <c r="RZV1" s="404"/>
      <c r="RZW1" s="404"/>
      <c r="RZX1" s="404"/>
      <c r="RZY1" s="404"/>
      <c r="RZZ1" s="404"/>
      <c r="SAA1" s="404"/>
      <c r="SAB1" s="405"/>
      <c r="SAC1" s="432" t="s">
        <v>41</v>
      </c>
      <c r="SAD1" s="404"/>
      <c r="SAE1" s="404"/>
      <c r="SAF1" s="404"/>
      <c r="SAG1" s="404"/>
      <c r="SAH1" s="404"/>
      <c r="SAI1" s="404"/>
      <c r="SAJ1" s="405"/>
      <c r="SAK1" s="432" t="s">
        <v>41</v>
      </c>
      <c r="SAL1" s="404"/>
      <c r="SAM1" s="404"/>
      <c r="SAN1" s="404"/>
      <c r="SAO1" s="404"/>
      <c r="SAP1" s="404"/>
      <c r="SAQ1" s="404"/>
      <c r="SAR1" s="405"/>
      <c r="SAS1" s="432" t="s">
        <v>41</v>
      </c>
      <c r="SAT1" s="404"/>
      <c r="SAU1" s="404"/>
      <c r="SAV1" s="404"/>
      <c r="SAW1" s="404"/>
      <c r="SAX1" s="404"/>
      <c r="SAY1" s="404"/>
      <c r="SAZ1" s="405"/>
      <c r="SBA1" s="432" t="s">
        <v>41</v>
      </c>
      <c r="SBB1" s="404"/>
      <c r="SBC1" s="404"/>
      <c r="SBD1" s="404"/>
      <c r="SBE1" s="404"/>
      <c r="SBF1" s="404"/>
      <c r="SBG1" s="404"/>
      <c r="SBH1" s="405"/>
      <c r="SBI1" s="432" t="s">
        <v>41</v>
      </c>
      <c r="SBJ1" s="404"/>
      <c r="SBK1" s="404"/>
      <c r="SBL1" s="404"/>
      <c r="SBM1" s="404"/>
      <c r="SBN1" s="404"/>
      <c r="SBO1" s="404"/>
      <c r="SBP1" s="405"/>
      <c r="SBQ1" s="432" t="s">
        <v>41</v>
      </c>
      <c r="SBR1" s="404"/>
      <c r="SBS1" s="404"/>
      <c r="SBT1" s="404"/>
      <c r="SBU1" s="404"/>
      <c r="SBV1" s="404"/>
      <c r="SBW1" s="404"/>
      <c r="SBX1" s="405"/>
      <c r="SBY1" s="432" t="s">
        <v>41</v>
      </c>
      <c r="SBZ1" s="404"/>
      <c r="SCA1" s="404"/>
      <c r="SCB1" s="404"/>
      <c r="SCC1" s="404"/>
      <c r="SCD1" s="404"/>
      <c r="SCE1" s="404"/>
      <c r="SCF1" s="405"/>
      <c r="SCG1" s="432" t="s">
        <v>41</v>
      </c>
      <c r="SCH1" s="404"/>
      <c r="SCI1" s="404"/>
      <c r="SCJ1" s="404"/>
      <c r="SCK1" s="404"/>
      <c r="SCL1" s="404"/>
      <c r="SCM1" s="404"/>
      <c r="SCN1" s="405"/>
      <c r="SCO1" s="432" t="s">
        <v>41</v>
      </c>
      <c r="SCP1" s="404"/>
      <c r="SCQ1" s="404"/>
      <c r="SCR1" s="404"/>
      <c r="SCS1" s="404"/>
      <c r="SCT1" s="404"/>
      <c r="SCU1" s="404"/>
      <c r="SCV1" s="405"/>
      <c r="SCW1" s="432" t="s">
        <v>41</v>
      </c>
      <c r="SCX1" s="404"/>
      <c r="SCY1" s="404"/>
      <c r="SCZ1" s="404"/>
      <c r="SDA1" s="404"/>
      <c r="SDB1" s="404"/>
      <c r="SDC1" s="404"/>
      <c r="SDD1" s="405"/>
      <c r="SDE1" s="432" t="s">
        <v>41</v>
      </c>
      <c r="SDF1" s="404"/>
      <c r="SDG1" s="404"/>
      <c r="SDH1" s="404"/>
      <c r="SDI1" s="404"/>
      <c r="SDJ1" s="404"/>
      <c r="SDK1" s="404"/>
      <c r="SDL1" s="405"/>
      <c r="SDM1" s="432" t="s">
        <v>41</v>
      </c>
      <c r="SDN1" s="404"/>
      <c r="SDO1" s="404"/>
      <c r="SDP1" s="404"/>
      <c r="SDQ1" s="404"/>
      <c r="SDR1" s="404"/>
      <c r="SDS1" s="404"/>
      <c r="SDT1" s="405"/>
      <c r="SDU1" s="432" t="s">
        <v>41</v>
      </c>
      <c r="SDV1" s="404"/>
      <c r="SDW1" s="404"/>
      <c r="SDX1" s="404"/>
      <c r="SDY1" s="404"/>
      <c r="SDZ1" s="404"/>
      <c r="SEA1" s="404"/>
      <c r="SEB1" s="405"/>
      <c r="SEC1" s="432" t="s">
        <v>41</v>
      </c>
      <c r="SED1" s="404"/>
      <c r="SEE1" s="404"/>
      <c r="SEF1" s="404"/>
      <c r="SEG1" s="404"/>
      <c r="SEH1" s="404"/>
      <c r="SEI1" s="404"/>
      <c r="SEJ1" s="405"/>
      <c r="SEK1" s="432" t="s">
        <v>41</v>
      </c>
      <c r="SEL1" s="404"/>
      <c r="SEM1" s="404"/>
      <c r="SEN1" s="404"/>
      <c r="SEO1" s="404"/>
      <c r="SEP1" s="404"/>
      <c r="SEQ1" s="404"/>
      <c r="SER1" s="405"/>
      <c r="SES1" s="432" t="s">
        <v>41</v>
      </c>
      <c r="SET1" s="404"/>
      <c r="SEU1" s="404"/>
      <c r="SEV1" s="404"/>
      <c r="SEW1" s="404"/>
      <c r="SEX1" s="404"/>
      <c r="SEY1" s="404"/>
      <c r="SEZ1" s="405"/>
      <c r="SFA1" s="432" t="s">
        <v>41</v>
      </c>
      <c r="SFB1" s="404"/>
      <c r="SFC1" s="404"/>
      <c r="SFD1" s="404"/>
      <c r="SFE1" s="404"/>
      <c r="SFF1" s="404"/>
      <c r="SFG1" s="404"/>
      <c r="SFH1" s="405"/>
      <c r="SFI1" s="432" t="s">
        <v>41</v>
      </c>
      <c r="SFJ1" s="404"/>
      <c r="SFK1" s="404"/>
      <c r="SFL1" s="404"/>
      <c r="SFM1" s="404"/>
      <c r="SFN1" s="404"/>
      <c r="SFO1" s="404"/>
      <c r="SFP1" s="405"/>
      <c r="SFQ1" s="432" t="s">
        <v>41</v>
      </c>
      <c r="SFR1" s="404"/>
      <c r="SFS1" s="404"/>
      <c r="SFT1" s="404"/>
      <c r="SFU1" s="404"/>
      <c r="SFV1" s="404"/>
      <c r="SFW1" s="404"/>
      <c r="SFX1" s="405"/>
      <c r="SFY1" s="432" t="s">
        <v>41</v>
      </c>
      <c r="SFZ1" s="404"/>
      <c r="SGA1" s="404"/>
      <c r="SGB1" s="404"/>
      <c r="SGC1" s="404"/>
      <c r="SGD1" s="404"/>
      <c r="SGE1" s="404"/>
      <c r="SGF1" s="405"/>
      <c r="SGG1" s="432" t="s">
        <v>41</v>
      </c>
      <c r="SGH1" s="404"/>
      <c r="SGI1" s="404"/>
      <c r="SGJ1" s="404"/>
      <c r="SGK1" s="404"/>
      <c r="SGL1" s="404"/>
      <c r="SGM1" s="404"/>
      <c r="SGN1" s="405"/>
      <c r="SGO1" s="432" t="s">
        <v>41</v>
      </c>
      <c r="SGP1" s="404"/>
      <c r="SGQ1" s="404"/>
      <c r="SGR1" s="404"/>
      <c r="SGS1" s="404"/>
      <c r="SGT1" s="404"/>
      <c r="SGU1" s="404"/>
      <c r="SGV1" s="405"/>
      <c r="SGW1" s="432" t="s">
        <v>41</v>
      </c>
      <c r="SGX1" s="404"/>
      <c r="SGY1" s="404"/>
      <c r="SGZ1" s="404"/>
      <c r="SHA1" s="404"/>
      <c r="SHB1" s="404"/>
      <c r="SHC1" s="404"/>
      <c r="SHD1" s="405"/>
      <c r="SHE1" s="432" t="s">
        <v>41</v>
      </c>
      <c r="SHF1" s="404"/>
      <c r="SHG1" s="404"/>
      <c r="SHH1" s="404"/>
      <c r="SHI1" s="404"/>
      <c r="SHJ1" s="404"/>
      <c r="SHK1" s="404"/>
      <c r="SHL1" s="405"/>
      <c r="SHM1" s="432" t="s">
        <v>41</v>
      </c>
      <c r="SHN1" s="404"/>
      <c r="SHO1" s="404"/>
      <c r="SHP1" s="404"/>
      <c r="SHQ1" s="404"/>
      <c r="SHR1" s="404"/>
      <c r="SHS1" s="404"/>
      <c r="SHT1" s="405"/>
      <c r="SHU1" s="432" t="s">
        <v>41</v>
      </c>
      <c r="SHV1" s="404"/>
      <c r="SHW1" s="404"/>
      <c r="SHX1" s="404"/>
      <c r="SHY1" s="404"/>
      <c r="SHZ1" s="404"/>
      <c r="SIA1" s="404"/>
      <c r="SIB1" s="405"/>
      <c r="SIC1" s="432" t="s">
        <v>41</v>
      </c>
      <c r="SID1" s="404"/>
      <c r="SIE1" s="404"/>
      <c r="SIF1" s="404"/>
      <c r="SIG1" s="404"/>
      <c r="SIH1" s="404"/>
      <c r="SII1" s="404"/>
      <c r="SIJ1" s="405"/>
      <c r="SIK1" s="432" t="s">
        <v>41</v>
      </c>
      <c r="SIL1" s="404"/>
      <c r="SIM1" s="404"/>
      <c r="SIN1" s="404"/>
      <c r="SIO1" s="404"/>
      <c r="SIP1" s="404"/>
      <c r="SIQ1" s="404"/>
      <c r="SIR1" s="405"/>
      <c r="SIS1" s="432" t="s">
        <v>41</v>
      </c>
      <c r="SIT1" s="404"/>
      <c r="SIU1" s="404"/>
      <c r="SIV1" s="404"/>
      <c r="SIW1" s="404"/>
      <c r="SIX1" s="404"/>
      <c r="SIY1" s="404"/>
      <c r="SIZ1" s="405"/>
      <c r="SJA1" s="432" t="s">
        <v>41</v>
      </c>
      <c r="SJB1" s="404"/>
      <c r="SJC1" s="404"/>
      <c r="SJD1" s="404"/>
      <c r="SJE1" s="404"/>
      <c r="SJF1" s="404"/>
      <c r="SJG1" s="404"/>
      <c r="SJH1" s="405"/>
      <c r="SJI1" s="432" t="s">
        <v>41</v>
      </c>
      <c r="SJJ1" s="404"/>
      <c r="SJK1" s="404"/>
      <c r="SJL1" s="404"/>
      <c r="SJM1" s="404"/>
      <c r="SJN1" s="404"/>
      <c r="SJO1" s="404"/>
      <c r="SJP1" s="405"/>
      <c r="SJQ1" s="432" t="s">
        <v>41</v>
      </c>
      <c r="SJR1" s="404"/>
      <c r="SJS1" s="404"/>
      <c r="SJT1" s="404"/>
      <c r="SJU1" s="404"/>
      <c r="SJV1" s="404"/>
      <c r="SJW1" s="404"/>
      <c r="SJX1" s="405"/>
      <c r="SJY1" s="432" t="s">
        <v>41</v>
      </c>
      <c r="SJZ1" s="404"/>
      <c r="SKA1" s="404"/>
      <c r="SKB1" s="404"/>
      <c r="SKC1" s="404"/>
      <c r="SKD1" s="404"/>
      <c r="SKE1" s="404"/>
      <c r="SKF1" s="405"/>
      <c r="SKG1" s="432" t="s">
        <v>41</v>
      </c>
      <c r="SKH1" s="404"/>
      <c r="SKI1" s="404"/>
      <c r="SKJ1" s="404"/>
      <c r="SKK1" s="404"/>
      <c r="SKL1" s="404"/>
      <c r="SKM1" s="404"/>
      <c r="SKN1" s="405"/>
      <c r="SKO1" s="432" t="s">
        <v>41</v>
      </c>
      <c r="SKP1" s="404"/>
      <c r="SKQ1" s="404"/>
      <c r="SKR1" s="404"/>
      <c r="SKS1" s="404"/>
      <c r="SKT1" s="404"/>
      <c r="SKU1" s="404"/>
      <c r="SKV1" s="405"/>
      <c r="SKW1" s="432" t="s">
        <v>41</v>
      </c>
      <c r="SKX1" s="404"/>
      <c r="SKY1" s="404"/>
      <c r="SKZ1" s="404"/>
      <c r="SLA1" s="404"/>
      <c r="SLB1" s="404"/>
      <c r="SLC1" s="404"/>
      <c r="SLD1" s="405"/>
      <c r="SLE1" s="432" t="s">
        <v>41</v>
      </c>
      <c r="SLF1" s="404"/>
      <c r="SLG1" s="404"/>
      <c r="SLH1" s="404"/>
      <c r="SLI1" s="404"/>
      <c r="SLJ1" s="404"/>
      <c r="SLK1" s="404"/>
      <c r="SLL1" s="405"/>
      <c r="SLM1" s="432" t="s">
        <v>41</v>
      </c>
      <c r="SLN1" s="404"/>
      <c r="SLO1" s="404"/>
      <c r="SLP1" s="404"/>
      <c r="SLQ1" s="404"/>
      <c r="SLR1" s="404"/>
      <c r="SLS1" s="404"/>
      <c r="SLT1" s="405"/>
      <c r="SLU1" s="432" t="s">
        <v>41</v>
      </c>
      <c r="SLV1" s="404"/>
      <c r="SLW1" s="404"/>
      <c r="SLX1" s="404"/>
      <c r="SLY1" s="404"/>
      <c r="SLZ1" s="404"/>
      <c r="SMA1" s="404"/>
      <c r="SMB1" s="405"/>
      <c r="SMC1" s="432" t="s">
        <v>41</v>
      </c>
      <c r="SMD1" s="404"/>
      <c r="SME1" s="404"/>
      <c r="SMF1" s="404"/>
      <c r="SMG1" s="404"/>
      <c r="SMH1" s="404"/>
      <c r="SMI1" s="404"/>
      <c r="SMJ1" s="405"/>
      <c r="SMK1" s="432" t="s">
        <v>41</v>
      </c>
      <c r="SML1" s="404"/>
      <c r="SMM1" s="404"/>
      <c r="SMN1" s="404"/>
      <c r="SMO1" s="404"/>
      <c r="SMP1" s="404"/>
      <c r="SMQ1" s="404"/>
      <c r="SMR1" s="405"/>
      <c r="SMS1" s="432" t="s">
        <v>41</v>
      </c>
      <c r="SMT1" s="404"/>
      <c r="SMU1" s="404"/>
      <c r="SMV1" s="404"/>
      <c r="SMW1" s="404"/>
      <c r="SMX1" s="404"/>
      <c r="SMY1" s="404"/>
      <c r="SMZ1" s="405"/>
      <c r="SNA1" s="432" t="s">
        <v>41</v>
      </c>
      <c r="SNB1" s="404"/>
      <c r="SNC1" s="404"/>
      <c r="SND1" s="404"/>
      <c r="SNE1" s="404"/>
      <c r="SNF1" s="404"/>
      <c r="SNG1" s="404"/>
      <c r="SNH1" s="405"/>
      <c r="SNI1" s="432" t="s">
        <v>41</v>
      </c>
      <c r="SNJ1" s="404"/>
      <c r="SNK1" s="404"/>
      <c r="SNL1" s="404"/>
      <c r="SNM1" s="404"/>
      <c r="SNN1" s="404"/>
      <c r="SNO1" s="404"/>
      <c r="SNP1" s="405"/>
      <c r="SNQ1" s="432" t="s">
        <v>41</v>
      </c>
      <c r="SNR1" s="404"/>
      <c r="SNS1" s="404"/>
      <c r="SNT1" s="404"/>
      <c r="SNU1" s="404"/>
      <c r="SNV1" s="404"/>
      <c r="SNW1" s="404"/>
      <c r="SNX1" s="405"/>
      <c r="SNY1" s="432" t="s">
        <v>41</v>
      </c>
      <c r="SNZ1" s="404"/>
      <c r="SOA1" s="404"/>
      <c r="SOB1" s="404"/>
      <c r="SOC1" s="404"/>
      <c r="SOD1" s="404"/>
      <c r="SOE1" s="404"/>
      <c r="SOF1" s="405"/>
      <c r="SOG1" s="432" t="s">
        <v>41</v>
      </c>
      <c r="SOH1" s="404"/>
      <c r="SOI1" s="404"/>
      <c r="SOJ1" s="404"/>
      <c r="SOK1" s="404"/>
      <c r="SOL1" s="404"/>
      <c r="SOM1" s="404"/>
      <c r="SON1" s="405"/>
      <c r="SOO1" s="432" t="s">
        <v>41</v>
      </c>
      <c r="SOP1" s="404"/>
      <c r="SOQ1" s="404"/>
      <c r="SOR1" s="404"/>
      <c r="SOS1" s="404"/>
      <c r="SOT1" s="404"/>
      <c r="SOU1" s="404"/>
      <c r="SOV1" s="405"/>
      <c r="SOW1" s="432" t="s">
        <v>41</v>
      </c>
      <c r="SOX1" s="404"/>
      <c r="SOY1" s="404"/>
      <c r="SOZ1" s="404"/>
      <c r="SPA1" s="404"/>
      <c r="SPB1" s="404"/>
      <c r="SPC1" s="404"/>
      <c r="SPD1" s="405"/>
      <c r="SPE1" s="432" t="s">
        <v>41</v>
      </c>
      <c r="SPF1" s="404"/>
      <c r="SPG1" s="404"/>
      <c r="SPH1" s="404"/>
      <c r="SPI1" s="404"/>
      <c r="SPJ1" s="404"/>
      <c r="SPK1" s="404"/>
      <c r="SPL1" s="405"/>
      <c r="SPM1" s="432" t="s">
        <v>41</v>
      </c>
      <c r="SPN1" s="404"/>
      <c r="SPO1" s="404"/>
      <c r="SPP1" s="404"/>
      <c r="SPQ1" s="404"/>
      <c r="SPR1" s="404"/>
      <c r="SPS1" s="404"/>
      <c r="SPT1" s="405"/>
      <c r="SPU1" s="432" t="s">
        <v>41</v>
      </c>
      <c r="SPV1" s="404"/>
      <c r="SPW1" s="404"/>
      <c r="SPX1" s="404"/>
      <c r="SPY1" s="404"/>
      <c r="SPZ1" s="404"/>
      <c r="SQA1" s="404"/>
      <c r="SQB1" s="405"/>
      <c r="SQC1" s="432" t="s">
        <v>41</v>
      </c>
      <c r="SQD1" s="404"/>
      <c r="SQE1" s="404"/>
      <c r="SQF1" s="404"/>
      <c r="SQG1" s="404"/>
      <c r="SQH1" s="404"/>
      <c r="SQI1" s="404"/>
      <c r="SQJ1" s="405"/>
      <c r="SQK1" s="432" t="s">
        <v>41</v>
      </c>
      <c r="SQL1" s="404"/>
      <c r="SQM1" s="404"/>
      <c r="SQN1" s="404"/>
      <c r="SQO1" s="404"/>
      <c r="SQP1" s="404"/>
      <c r="SQQ1" s="404"/>
      <c r="SQR1" s="405"/>
      <c r="SQS1" s="432" t="s">
        <v>41</v>
      </c>
      <c r="SQT1" s="404"/>
      <c r="SQU1" s="404"/>
      <c r="SQV1" s="404"/>
      <c r="SQW1" s="404"/>
      <c r="SQX1" s="404"/>
      <c r="SQY1" s="404"/>
      <c r="SQZ1" s="405"/>
      <c r="SRA1" s="432" t="s">
        <v>41</v>
      </c>
      <c r="SRB1" s="404"/>
      <c r="SRC1" s="404"/>
      <c r="SRD1" s="404"/>
      <c r="SRE1" s="404"/>
      <c r="SRF1" s="404"/>
      <c r="SRG1" s="404"/>
      <c r="SRH1" s="405"/>
      <c r="SRI1" s="432" t="s">
        <v>41</v>
      </c>
      <c r="SRJ1" s="404"/>
      <c r="SRK1" s="404"/>
      <c r="SRL1" s="404"/>
      <c r="SRM1" s="404"/>
      <c r="SRN1" s="404"/>
      <c r="SRO1" s="404"/>
      <c r="SRP1" s="405"/>
      <c r="SRQ1" s="432" t="s">
        <v>41</v>
      </c>
      <c r="SRR1" s="404"/>
      <c r="SRS1" s="404"/>
      <c r="SRT1" s="404"/>
      <c r="SRU1" s="404"/>
      <c r="SRV1" s="404"/>
      <c r="SRW1" s="404"/>
      <c r="SRX1" s="405"/>
      <c r="SRY1" s="432" t="s">
        <v>41</v>
      </c>
      <c r="SRZ1" s="404"/>
      <c r="SSA1" s="404"/>
      <c r="SSB1" s="404"/>
      <c r="SSC1" s="404"/>
      <c r="SSD1" s="404"/>
      <c r="SSE1" s="404"/>
      <c r="SSF1" s="405"/>
      <c r="SSG1" s="432" t="s">
        <v>41</v>
      </c>
      <c r="SSH1" s="404"/>
      <c r="SSI1" s="404"/>
      <c r="SSJ1" s="404"/>
      <c r="SSK1" s="404"/>
      <c r="SSL1" s="404"/>
      <c r="SSM1" s="404"/>
      <c r="SSN1" s="405"/>
      <c r="SSO1" s="432" t="s">
        <v>41</v>
      </c>
      <c r="SSP1" s="404"/>
      <c r="SSQ1" s="404"/>
      <c r="SSR1" s="404"/>
      <c r="SSS1" s="404"/>
      <c r="SST1" s="404"/>
      <c r="SSU1" s="404"/>
      <c r="SSV1" s="405"/>
      <c r="SSW1" s="432" t="s">
        <v>41</v>
      </c>
      <c r="SSX1" s="404"/>
      <c r="SSY1" s="404"/>
      <c r="SSZ1" s="404"/>
      <c r="STA1" s="404"/>
      <c r="STB1" s="404"/>
      <c r="STC1" s="404"/>
      <c r="STD1" s="405"/>
      <c r="STE1" s="432" t="s">
        <v>41</v>
      </c>
      <c r="STF1" s="404"/>
      <c r="STG1" s="404"/>
      <c r="STH1" s="404"/>
      <c r="STI1" s="404"/>
      <c r="STJ1" s="404"/>
      <c r="STK1" s="404"/>
      <c r="STL1" s="405"/>
      <c r="STM1" s="432" t="s">
        <v>41</v>
      </c>
      <c r="STN1" s="404"/>
      <c r="STO1" s="404"/>
      <c r="STP1" s="404"/>
      <c r="STQ1" s="404"/>
      <c r="STR1" s="404"/>
      <c r="STS1" s="404"/>
      <c r="STT1" s="405"/>
      <c r="STU1" s="432" t="s">
        <v>41</v>
      </c>
      <c r="STV1" s="404"/>
      <c r="STW1" s="404"/>
      <c r="STX1" s="404"/>
      <c r="STY1" s="404"/>
      <c r="STZ1" s="404"/>
      <c r="SUA1" s="404"/>
      <c r="SUB1" s="405"/>
      <c r="SUC1" s="432" t="s">
        <v>41</v>
      </c>
      <c r="SUD1" s="404"/>
      <c r="SUE1" s="404"/>
      <c r="SUF1" s="404"/>
      <c r="SUG1" s="404"/>
      <c r="SUH1" s="404"/>
      <c r="SUI1" s="404"/>
      <c r="SUJ1" s="405"/>
      <c r="SUK1" s="432" t="s">
        <v>41</v>
      </c>
      <c r="SUL1" s="404"/>
      <c r="SUM1" s="404"/>
      <c r="SUN1" s="404"/>
      <c r="SUO1" s="404"/>
      <c r="SUP1" s="404"/>
      <c r="SUQ1" s="404"/>
      <c r="SUR1" s="405"/>
      <c r="SUS1" s="432" t="s">
        <v>41</v>
      </c>
      <c r="SUT1" s="404"/>
      <c r="SUU1" s="404"/>
      <c r="SUV1" s="404"/>
      <c r="SUW1" s="404"/>
      <c r="SUX1" s="404"/>
      <c r="SUY1" s="404"/>
      <c r="SUZ1" s="405"/>
      <c r="SVA1" s="432" t="s">
        <v>41</v>
      </c>
      <c r="SVB1" s="404"/>
      <c r="SVC1" s="404"/>
      <c r="SVD1" s="404"/>
      <c r="SVE1" s="404"/>
      <c r="SVF1" s="404"/>
      <c r="SVG1" s="404"/>
      <c r="SVH1" s="405"/>
      <c r="SVI1" s="432" t="s">
        <v>41</v>
      </c>
      <c r="SVJ1" s="404"/>
      <c r="SVK1" s="404"/>
      <c r="SVL1" s="404"/>
      <c r="SVM1" s="404"/>
      <c r="SVN1" s="404"/>
      <c r="SVO1" s="404"/>
      <c r="SVP1" s="405"/>
      <c r="SVQ1" s="432" t="s">
        <v>41</v>
      </c>
      <c r="SVR1" s="404"/>
      <c r="SVS1" s="404"/>
      <c r="SVT1" s="404"/>
      <c r="SVU1" s="404"/>
      <c r="SVV1" s="404"/>
      <c r="SVW1" s="404"/>
      <c r="SVX1" s="405"/>
      <c r="SVY1" s="432" t="s">
        <v>41</v>
      </c>
      <c r="SVZ1" s="404"/>
      <c r="SWA1" s="404"/>
      <c r="SWB1" s="404"/>
      <c r="SWC1" s="404"/>
      <c r="SWD1" s="404"/>
      <c r="SWE1" s="404"/>
      <c r="SWF1" s="405"/>
      <c r="SWG1" s="432" t="s">
        <v>41</v>
      </c>
      <c r="SWH1" s="404"/>
      <c r="SWI1" s="404"/>
      <c r="SWJ1" s="404"/>
      <c r="SWK1" s="404"/>
      <c r="SWL1" s="404"/>
      <c r="SWM1" s="404"/>
      <c r="SWN1" s="405"/>
      <c r="SWO1" s="432" t="s">
        <v>41</v>
      </c>
      <c r="SWP1" s="404"/>
      <c r="SWQ1" s="404"/>
      <c r="SWR1" s="404"/>
      <c r="SWS1" s="404"/>
      <c r="SWT1" s="404"/>
      <c r="SWU1" s="404"/>
      <c r="SWV1" s="405"/>
      <c r="SWW1" s="432" t="s">
        <v>41</v>
      </c>
      <c r="SWX1" s="404"/>
      <c r="SWY1" s="404"/>
      <c r="SWZ1" s="404"/>
      <c r="SXA1" s="404"/>
      <c r="SXB1" s="404"/>
      <c r="SXC1" s="404"/>
      <c r="SXD1" s="405"/>
      <c r="SXE1" s="432" t="s">
        <v>41</v>
      </c>
      <c r="SXF1" s="404"/>
      <c r="SXG1" s="404"/>
      <c r="SXH1" s="404"/>
      <c r="SXI1" s="404"/>
      <c r="SXJ1" s="404"/>
      <c r="SXK1" s="404"/>
      <c r="SXL1" s="405"/>
      <c r="SXM1" s="432" t="s">
        <v>41</v>
      </c>
      <c r="SXN1" s="404"/>
      <c r="SXO1" s="404"/>
      <c r="SXP1" s="404"/>
      <c r="SXQ1" s="404"/>
      <c r="SXR1" s="404"/>
      <c r="SXS1" s="404"/>
      <c r="SXT1" s="405"/>
      <c r="SXU1" s="432" t="s">
        <v>41</v>
      </c>
      <c r="SXV1" s="404"/>
      <c r="SXW1" s="404"/>
      <c r="SXX1" s="404"/>
      <c r="SXY1" s="404"/>
      <c r="SXZ1" s="404"/>
      <c r="SYA1" s="404"/>
      <c r="SYB1" s="405"/>
      <c r="SYC1" s="432" t="s">
        <v>41</v>
      </c>
      <c r="SYD1" s="404"/>
      <c r="SYE1" s="404"/>
      <c r="SYF1" s="404"/>
      <c r="SYG1" s="404"/>
      <c r="SYH1" s="404"/>
      <c r="SYI1" s="404"/>
      <c r="SYJ1" s="405"/>
      <c r="SYK1" s="432" t="s">
        <v>41</v>
      </c>
      <c r="SYL1" s="404"/>
      <c r="SYM1" s="404"/>
      <c r="SYN1" s="404"/>
      <c r="SYO1" s="404"/>
      <c r="SYP1" s="404"/>
      <c r="SYQ1" s="404"/>
      <c r="SYR1" s="405"/>
      <c r="SYS1" s="432" t="s">
        <v>41</v>
      </c>
      <c r="SYT1" s="404"/>
      <c r="SYU1" s="404"/>
      <c r="SYV1" s="404"/>
      <c r="SYW1" s="404"/>
      <c r="SYX1" s="404"/>
      <c r="SYY1" s="404"/>
      <c r="SYZ1" s="405"/>
      <c r="SZA1" s="432" t="s">
        <v>41</v>
      </c>
      <c r="SZB1" s="404"/>
      <c r="SZC1" s="404"/>
      <c r="SZD1" s="404"/>
      <c r="SZE1" s="404"/>
      <c r="SZF1" s="404"/>
      <c r="SZG1" s="404"/>
      <c r="SZH1" s="405"/>
      <c r="SZI1" s="432" t="s">
        <v>41</v>
      </c>
      <c r="SZJ1" s="404"/>
      <c r="SZK1" s="404"/>
      <c r="SZL1" s="404"/>
      <c r="SZM1" s="404"/>
      <c r="SZN1" s="404"/>
      <c r="SZO1" s="404"/>
      <c r="SZP1" s="405"/>
      <c r="SZQ1" s="432" t="s">
        <v>41</v>
      </c>
      <c r="SZR1" s="404"/>
      <c r="SZS1" s="404"/>
      <c r="SZT1" s="404"/>
      <c r="SZU1" s="404"/>
      <c r="SZV1" s="404"/>
      <c r="SZW1" s="404"/>
      <c r="SZX1" s="405"/>
      <c r="SZY1" s="432" t="s">
        <v>41</v>
      </c>
      <c r="SZZ1" s="404"/>
      <c r="TAA1" s="404"/>
      <c r="TAB1" s="404"/>
      <c r="TAC1" s="404"/>
      <c r="TAD1" s="404"/>
      <c r="TAE1" s="404"/>
      <c r="TAF1" s="405"/>
      <c r="TAG1" s="432" t="s">
        <v>41</v>
      </c>
      <c r="TAH1" s="404"/>
      <c r="TAI1" s="404"/>
      <c r="TAJ1" s="404"/>
      <c r="TAK1" s="404"/>
      <c r="TAL1" s="404"/>
      <c r="TAM1" s="404"/>
      <c r="TAN1" s="405"/>
      <c r="TAO1" s="432" t="s">
        <v>41</v>
      </c>
      <c r="TAP1" s="404"/>
      <c r="TAQ1" s="404"/>
      <c r="TAR1" s="404"/>
      <c r="TAS1" s="404"/>
      <c r="TAT1" s="404"/>
      <c r="TAU1" s="404"/>
      <c r="TAV1" s="405"/>
      <c r="TAW1" s="432" t="s">
        <v>41</v>
      </c>
      <c r="TAX1" s="404"/>
      <c r="TAY1" s="404"/>
      <c r="TAZ1" s="404"/>
      <c r="TBA1" s="404"/>
      <c r="TBB1" s="404"/>
      <c r="TBC1" s="404"/>
      <c r="TBD1" s="405"/>
      <c r="TBE1" s="432" t="s">
        <v>41</v>
      </c>
      <c r="TBF1" s="404"/>
      <c r="TBG1" s="404"/>
      <c r="TBH1" s="404"/>
      <c r="TBI1" s="404"/>
      <c r="TBJ1" s="404"/>
      <c r="TBK1" s="404"/>
      <c r="TBL1" s="405"/>
      <c r="TBM1" s="432" t="s">
        <v>41</v>
      </c>
      <c r="TBN1" s="404"/>
      <c r="TBO1" s="404"/>
      <c r="TBP1" s="404"/>
      <c r="TBQ1" s="404"/>
      <c r="TBR1" s="404"/>
      <c r="TBS1" s="404"/>
      <c r="TBT1" s="405"/>
      <c r="TBU1" s="432" t="s">
        <v>41</v>
      </c>
      <c r="TBV1" s="404"/>
      <c r="TBW1" s="404"/>
      <c r="TBX1" s="404"/>
      <c r="TBY1" s="404"/>
      <c r="TBZ1" s="404"/>
      <c r="TCA1" s="404"/>
      <c r="TCB1" s="405"/>
      <c r="TCC1" s="432" t="s">
        <v>41</v>
      </c>
      <c r="TCD1" s="404"/>
      <c r="TCE1" s="404"/>
      <c r="TCF1" s="404"/>
      <c r="TCG1" s="404"/>
      <c r="TCH1" s="404"/>
      <c r="TCI1" s="404"/>
      <c r="TCJ1" s="405"/>
      <c r="TCK1" s="432" t="s">
        <v>41</v>
      </c>
      <c r="TCL1" s="404"/>
      <c r="TCM1" s="404"/>
      <c r="TCN1" s="404"/>
      <c r="TCO1" s="404"/>
      <c r="TCP1" s="404"/>
      <c r="TCQ1" s="404"/>
      <c r="TCR1" s="405"/>
      <c r="TCS1" s="432" t="s">
        <v>41</v>
      </c>
      <c r="TCT1" s="404"/>
      <c r="TCU1" s="404"/>
      <c r="TCV1" s="404"/>
      <c r="TCW1" s="404"/>
      <c r="TCX1" s="404"/>
      <c r="TCY1" s="404"/>
      <c r="TCZ1" s="405"/>
      <c r="TDA1" s="432" t="s">
        <v>41</v>
      </c>
      <c r="TDB1" s="404"/>
      <c r="TDC1" s="404"/>
      <c r="TDD1" s="404"/>
      <c r="TDE1" s="404"/>
      <c r="TDF1" s="404"/>
      <c r="TDG1" s="404"/>
      <c r="TDH1" s="405"/>
      <c r="TDI1" s="432" t="s">
        <v>41</v>
      </c>
      <c r="TDJ1" s="404"/>
      <c r="TDK1" s="404"/>
      <c r="TDL1" s="404"/>
      <c r="TDM1" s="404"/>
      <c r="TDN1" s="404"/>
      <c r="TDO1" s="404"/>
      <c r="TDP1" s="405"/>
      <c r="TDQ1" s="432" t="s">
        <v>41</v>
      </c>
      <c r="TDR1" s="404"/>
      <c r="TDS1" s="404"/>
      <c r="TDT1" s="404"/>
      <c r="TDU1" s="404"/>
      <c r="TDV1" s="404"/>
      <c r="TDW1" s="404"/>
      <c r="TDX1" s="405"/>
      <c r="TDY1" s="432" t="s">
        <v>41</v>
      </c>
      <c r="TDZ1" s="404"/>
      <c r="TEA1" s="404"/>
      <c r="TEB1" s="404"/>
      <c r="TEC1" s="404"/>
      <c r="TED1" s="404"/>
      <c r="TEE1" s="404"/>
      <c r="TEF1" s="405"/>
      <c r="TEG1" s="432" t="s">
        <v>41</v>
      </c>
      <c r="TEH1" s="404"/>
      <c r="TEI1" s="404"/>
      <c r="TEJ1" s="404"/>
      <c r="TEK1" s="404"/>
      <c r="TEL1" s="404"/>
      <c r="TEM1" s="404"/>
      <c r="TEN1" s="405"/>
      <c r="TEO1" s="432" t="s">
        <v>41</v>
      </c>
      <c r="TEP1" s="404"/>
      <c r="TEQ1" s="404"/>
      <c r="TER1" s="404"/>
      <c r="TES1" s="404"/>
      <c r="TET1" s="404"/>
      <c r="TEU1" s="404"/>
      <c r="TEV1" s="405"/>
      <c r="TEW1" s="432" t="s">
        <v>41</v>
      </c>
      <c r="TEX1" s="404"/>
      <c r="TEY1" s="404"/>
      <c r="TEZ1" s="404"/>
      <c r="TFA1" s="404"/>
      <c r="TFB1" s="404"/>
      <c r="TFC1" s="404"/>
      <c r="TFD1" s="405"/>
      <c r="TFE1" s="432" t="s">
        <v>41</v>
      </c>
      <c r="TFF1" s="404"/>
      <c r="TFG1" s="404"/>
      <c r="TFH1" s="404"/>
      <c r="TFI1" s="404"/>
      <c r="TFJ1" s="404"/>
      <c r="TFK1" s="404"/>
      <c r="TFL1" s="405"/>
      <c r="TFM1" s="432" t="s">
        <v>41</v>
      </c>
      <c r="TFN1" s="404"/>
      <c r="TFO1" s="404"/>
      <c r="TFP1" s="404"/>
      <c r="TFQ1" s="404"/>
      <c r="TFR1" s="404"/>
      <c r="TFS1" s="404"/>
      <c r="TFT1" s="405"/>
      <c r="TFU1" s="432" t="s">
        <v>41</v>
      </c>
      <c r="TFV1" s="404"/>
      <c r="TFW1" s="404"/>
      <c r="TFX1" s="404"/>
      <c r="TFY1" s="404"/>
      <c r="TFZ1" s="404"/>
      <c r="TGA1" s="404"/>
      <c r="TGB1" s="405"/>
      <c r="TGC1" s="432" t="s">
        <v>41</v>
      </c>
      <c r="TGD1" s="404"/>
      <c r="TGE1" s="404"/>
      <c r="TGF1" s="404"/>
      <c r="TGG1" s="404"/>
      <c r="TGH1" s="404"/>
      <c r="TGI1" s="404"/>
      <c r="TGJ1" s="405"/>
      <c r="TGK1" s="432" t="s">
        <v>41</v>
      </c>
      <c r="TGL1" s="404"/>
      <c r="TGM1" s="404"/>
      <c r="TGN1" s="404"/>
      <c r="TGO1" s="404"/>
      <c r="TGP1" s="404"/>
      <c r="TGQ1" s="404"/>
      <c r="TGR1" s="405"/>
      <c r="TGS1" s="432" t="s">
        <v>41</v>
      </c>
      <c r="TGT1" s="404"/>
      <c r="TGU1" s="404"/>
      <c r="TGV1" s="404"/>
      <c r="TGW1" s="404"/>
      <c r="TGX1" s="404"/>
      <c r="TGY1" s="404"/>
      <c r="TGZ1" s="405"/>
      <c r="THA1" s="432" t="s">
        <v>41</v>
      </c>
      <c r="THB1" s="404"/>
      <c r="THC1" s="404"/>
      <c r="THD1" s="404"/>
      <c r="THE1" s="404"/>
      <c r="THF1" s="404"/>
      <c r="THG1" s="404"/>
      <c r="THH1" s="405"/>
      <c r="THI1" s="432" t="s">
        <v>41</v>
      </c>
      <c r="THJ1" s="404"/>
      <c r="THK1" s="404"/>
      <c r="THL1" s="404"/>
      <c r="THM1" s="404"/>
      <c r="THN1" s="404"/>
      <c r="THO1" s="404"/>
      <c r="THP1" s="405"/>
      <c r="THQ1" s="432" t="s">
        <v>41</v>
      </c>
      <c r="THR1" s="404"/>
      <c r="THS1" s="404"/>
      <c r="THT1" s="404"/>
      <c r="THU1" s="404"/>
      <c r="THV1" s="404"/>
      <c r="THW1" s="404"/>
      <c r="THX1" s="405"/>
      <c r="THY1" s="432" t="s">
        <v>41</v>
      </c>
      <c r="THZ1" s="404"/>
      <c r="TIA1" s="404"/>
      <c r="TIB1" s="404"/>
      <c r="TIC1" s="404"/>
      <c r="TID1" s="404"/>
      <c r="TIE1" s="404"/>
      <c r="TIF1" s="405"/>
      <c r="TIG1" s="432" t="s">
        <v>41</v>
      </c>
      <c r="TIH1" s="404"/>
      <c r="TII1" s="404"/>
      <c r="TIJ1" s="404"/>
      <c r="TIK1" s="404"/>
      <c r="TIL1" s="404"/>
      <c r="TIM1" s="404"/>
      <c r="TIN1" s="405"/>
      <c r="TIO1" s="432" t="s">
        <v>41</v>
      </c>
      <c r="TIP1" s="404"/>
      <c r="TIQ1" s="404"/>
      <c r="TIR1" s="404"/>
      <c r="TIS1" s="404"/>
      <c r="TIT1" s="404"/>
      <c r="TIU1" s="404"/>
      <c r="TIV1" s="405"/>
      <c r="TIW1" s="432" t="s">
        <v>41</v>
      </c>
      <c r="TIX1" s="404"/>
      <c r="TIY1" s="404"/>
      <c r="TIZ1" s="404"/>
      <c r="TJA1" s="404"/>
      <c r="TJB1" s="404"/>
      <c r="TJC1" s="404"/>
      <c r="TJD1" s="405"/>
      <c r="TJE1" s="432" t="s">
        <v>41</v>
      </c>
      <c r="TJF1" s="404"/>
      <c r="TJG1" s="404"/>
      <c r="TJH1" s="404"/>
      <c r="TJI1" s="404"/>
      <c r="TJJ1" s="404"/>
      <c r="TJK1" s="404"/>
      <c r="TJL1" s="405"/>
      <c r="TJM1" s="432" t="s">
        <v>41</v>
      </c>
      <c r="TJN1" s="404"/>
      <c r="TJO1" s="404"/>
      <c r="TJP1" s="404"/>
      <c r="TJQ1" s="404"/>
      <c r="TJR1" s="404"/>
      <c r="TJS1" s="404"/>
      <c r="TJT1" s="405"/>
      <c r="TJU1" s="432" t="s">
        <v>41</v>
      </c>
      <c r="TJV1" s="404"/>
      <c r="TJW1" s="404"/>
      <c r="TJX1" s="404"/>
      <c r="TJY1" s="404"/>
      <c r="TJZ1" s="404"/>
      <c r="TKA1" s="404"/>
      <c r="TKB1" s="405"/>
      <c r="TKC1" s="432" t="s">
        <v>41</v>
      </c>
      <c r="TKD1" s="404"/>
      <c r="TKE1" s="404"/>
      <c r="TKF1" s="404"/>
      <c r="TKG1" s="404"/>
      <c r="TKH1" s="404"/>
      <c r="TKI1" s="404"/>
      <c r="TKJ1" s="405"/>
      <c r="TKK1" s="432" t="s">
        <v>41</v>
      </c>
      <c r="TKL1" s="404"/>
      <c r="TKM1" s="404"/>
      <c r="TKN1" s="404"/>
      <c r="TKO1" s="404"/>
      <c r="TKP1" s="404"/>
      <c r="TKQ1" s="404"/>
      <c r="TKR1" s="405"/>
      <c r="TKS1" s="432" t="s">
        <v>41</v>
      </c>
      <c r="TKT1" s="404"/>
      <c r="TKU1" s="404"/>
      <c r="TKV1" s="404"/>
      <c r="TKW1" s="404"/>
      <c r="TKX1" s="404"/>
      <c r="TKY1" s="404"/>
      <c r="TKZ1" s="405"/>
      <c r="TLA1" s="432" t="s">
        <v>41</v>
      </c>
      <c r="TLB1" s="404"/>
      <c r="TLC1" s="404"/>
      <c r="TLD1" s="404"/>
      <c r="TLE1" s="404"/>
      <c r="TLF1" s="404"/>
      <c r="TLG1" s="404"/>
      <c r="TLH1" s="405"/>
      <c r="TLI1" s="432" t="s">
        <v>41</v>
      </c>
      <c r="TLJ1" s="404"/>
      <c r="TLK1" s="404"/>
      <c r="TLL1" s="404"/>
      <c r="TLM1" s="404"/>
      <c r="TLN1" s="404"/>
      <c r="TLO1" s="404"/>
      <c r="TLP1" s="405"/>
      <c r="TLQ1" s="432" t="s">
        <v>41</v>
      </c>
      <c r="TLR1" s="404"/>
      <c r="TLS1" s="404"/>
      <c r="TLT1" s="404"/>
      <c r="TLU1" s="404"/>
      <c r="TLV1" s="404"/>
      <c r="TLW1" s="404"/>
      <c r="TLX1" s="405"/>
      <c r="TLY1" s="432" t="s">
        <v>41</v>
      </c>
      <c r="TLZ1" s="404"/>
      <c r="TMA1" s="404"/>
      <c r="TMB1" s="404"/>
      <c r="TMC1" s="404"/>
      <c r="TMD1" s="404"/>
      <c r="TME1" s="404"/>
      <c r="TMF1" s="405"/>
      <c r="TMG1" s="432" t="s">
        <v>41</v>
      </c>
      <c r="TMH1" s="404"/>
      <c r="TMI1" s="404"/>
      <c r="TMJ1" s="404"/>
      <c r="TMK1" s="404"/>
      <c r="TML1" s="404"/>
      <c r="TMM1" s="404"/>
      <c r="TMN1" s="405"/>
      <c r="TMO1" s="432" t="s">
        <v>41</v>
      </c>
      <c r="TMP1" s="404"/>
      <c r="TMQ1" s="404"/>
      <c r="TMR1" s="404"/>
      <c r="TMS1" s="404"/>
      <c r="TMT1" s="404"/>
      <c r="TMU1" s="404"/>
      <c r="TMV1" s="405"/>
      <c r="TMW1" s="432" t="s">
        <v>41</v>
      </c>
      <c r="TMX1" s="404"/>
      <c r="TMY1" s="404"/>
      <c r="TMZ1" s="404"/>
      <c r="TNA1" s="404"/>
      <c r="TNB1" s="404"/>
      <c r="TNC1" s="404"/>
      <c r="TND1" s="405"/>
      <c r="TNE1" s="432" t="s">
        <v>41</v>
      </c>
      <c r="TNF1" s="404"/>
      <c r="TNG1" s="404"/>
      <c r="TNH1" s="404"/>
      <c r="TNI1" s="404"/>
      <c r="TNJ1" s="404"/>
      <c r="TNK1" s="404"/>
      <c r="TNL1" s="405"/>
      <c r="TNM1" s="432" t="s">
        <v>41</v>
      </c>
      <c r="TNN1" s="404"/>
      <c r="TNO1" s="404"/>
      <c r="TNP1" s="404"/>
      <c r="TNQ1" s="404"/>
      <c r="TNR1" s="404"/>
      <c r="TNS1" s="404"/>
      <c r="TNT1" s="405"/>
      <c r="TNU1" s="432" t="s">
        <v>41</v>
      </c>
      <c r="TNV1" s="404"/>
      <c r="TNW1" s="404"/>
      <c r="TNX1" s="404"/>
      <c r="TNY1" s="404"/>
      <c r="TNZ1" s="404"/>
      <c r="TOA1" s="404"/>
      <c r="TOB1" s="405"/>
      <c r="TOC1" s="432" t="s">
        <v>41</v>
      </c>
      <c r="TOD1" s="404"/>
      <c r="TOE1" s="404"/>
      <c r="TOF1" s="404"/>
      <c r="TOG1" s="404"/>
      <c r="TOH1" s="404"/>
      <c r="TOI1" s="404"/>
      <c r="TOJ1" s="405"/>
      <c r="TOK1" s="432" t="s">
        <v>41</v>
      </c>
      <c r="TOL1" s="404"/>
      <c r="TOM1" s="404"/>
      <c r="TON1" s="404"/>
      <c r="TOO1" s="404"/>
      <c r="TOP1" s="404"/>
      <c r="TOQ1" s="404"/>
      <c r="TOR1" s="405"/>
      <c r="TOS1" s="432" t="s">
        <v>41</v>
      </c>
      <c r="TOT1" s="404"/>
      <c r="TOU1" s="404"/>
      <c r="TOV1" s="404"/>
      <c r="TOW1" s="404"/>
      <c r="TOX1" s="404"/>
      <c r="TOY1" s="404"/>
      <c r="TOZ1" s="405"/>
      <c r="TPA1" s="432" t="s">
        <v>41</v>
      </c>
      <c r="TPB1" s="404"/>
      <c r="TPC1" s="404"/>
      <c r="TPD1" s="404"/>
      <c r="TPE1" s="404"/>
      <c r="TPF1" s="404"/>
      <c r="TPG1" s="404"/>
      <c r="TPH1" s="405"/>
      <c r="TPI1" s="432" t="s">
        <v>41</v>
      </c>
      <c r="TPJ1" s="404"/>
      <c r="TPK1" s="404"/>
      <c r="TPL1" s="404"/>
      <c r="TPM1" s="404"/>
      <c r="TPN1" s="404"/>
      <c r="TPO1" s="404"/>
      <c r="TPP1" s="405"/>
      <c r="TPQ1" s="432" t="s">
        <v>41</v>
      </c>
      <c r="TPR1" s="404"/>
      <c r="TPS1" s="404"/>
      <c r="TPT1" s="404"/>
      <c r="TPU1" s="404"/>
      <c r="TPV1" s="404"/>
      <c r="TPW1" s="404"/>
      <c r="TPX1" s="405"/>
      <c r="TPY1" s="432" t="s">
        <v>41</v>
      </c>
      <c r="TPZ1" s="404"/>
      <c r="TQA1" s="404"/>
      <c r="TQB1" s="404"/>
      <c r="TQC1" s="404"/>
      <c r="TQD1" s="404"/>
      <c r="TQE1" s="404"/>
      <c r="TQF1" s="405"/>
      <c r="TQG1" s="432" t="s">
        <v>41</v>
      </c>
      <c r="TQH1" s="404"/>
      <c r="TQI1" s="404"/>
      <c r="TQJ1" s="404"/>
      <c r="TQK1" s="404"/>
      <c r="TQL1" s="404"/>
      <c r="TQM1" s="404"/>
      <c r="TQN1" s="405"/>
      <c r="TQO1" s="432" t="s">
        <v>41</v>
      </c>
      <c r="TQP1" s="404"/>
      <c r="TQQ1" s="404"/>
      <c r="TQR1" s="404"/>
      <c r="TQS1" s="404"/>
      <c r="TQT1" s="404"/>
      <c r="TQU1" s="404"/>
      <c r="TQV1" s="405"/>
      <c r="TQW1" s="432" t="s">
        <v>41</v>
      </c>
      <c r="TQX1" s="404"/>
      <c r="TQY1" s="404"/>
      <c r="TQZ1" s="404"/>
      <c r="TRA1" s="404"/>
      <c r="TRB1" s="404"/>
      <c r="TRC1" s="404"/>
      <c r="TRD1" s="405"/>
      <c r="TRE1" s="432" t="s">
        <v>41</v>
      </c>
      <c r="TRF1" s="404"/>
      <c r="TRG1" s="404"/>
      <c r="TRH1" s="404"/>
      <c r="TRI1" s="404"/>
      <c r="TRJ1" s="404"/>
      <c r="TRK1" s="404"/>
      <c r="TRL1" s="405"/>
      <c r="TRM1" s="432" t="s">
        <v>41</v>
      </c>
      <c r="TRN1" s="404"/>
      <c r="TRO1" s="404"/>
      <c r="TRP1" s="404"/>
      <c r="TRQ1" s="404"/>
      <c r="TRR1" s="404"/>
      <c r="TRS1" s="404"/>
      <c r="TRT1" s="405"/>
      <c r="TRU1" s="432" t="s">
        <v>41</v>
      </c>
      <c r="TRV1" s="404"/>
      <c r="TRW1" s="404"/>
      <c r="TRX1" s="404"/>
      <c r="TRY1" s="404"/>
      <c r="TRZ1" s="404"/>
      <c r="TSA1" s="404"/>
      <c r="TSB1" s="405"/>
      <c r="TSC1" s="432" t="s">
        <v>41</v>
      </c>
      <c r="TSD1" s="404"/>
      <c r="TSE1" s="404"/>
      <c r="TSF1" s="404"/>
      <c r="TSG1" s="404"/>
      <c r="TSH1" s="404"/>
      <c r="TSI1" s="404"/>
      <c r="TSJ1" s="405"/>
      <c r="TSK1" s="432" t="s">
        <v>41</v>
      </c>
      <c r="TSL1" s="404"/>
      <c r="TSM1" s="404"/>
      <c r="TSN1" s="404"/>
      <c r="TSO1" s="404"/>
      <c r="TSP1" s="404"/>
      <c r="TSQ1" s="404"/>
      <c r="TSR1" s="405"/>
      <c r="TSS1" s="432" t="s">
        <v>41</v>
      </c>
      <c r="TST1" s="404"/>
      <c r="TSU1" s="404"/>
      <c r="TSV1" s="404"/>
      <c r="TSW1" s="404"/>
      <c r="TSX1" s="404"/>
      <c r="TSY1" s="404"/>
      <c r="TSZ1" s="405"/>
      <c r="TTA1" s="432" t="s">
        <v>41</v>
      </c>
      <c r="TTB1" s="404"/>
      <c r="TTC1" s="404"/>
      <c r="TTD1" s="404"/>
      <c r="TTE1" s="404"/>
      <c r="TTF1" s="404"/>
      <c r="TTG1" s="404"/>
      <c r="TTH1" s="405"/>
      <c r="TTI1" s="432" t="s">
        <v>41</v>
      </c>
      <c r="TTJ1" s="404"/>
      <c r="TTK1" s="404"/>
      <c r="TTL1" s="404"/>
      <c r="TTM1" s="404"/>
      <c r="TTN1" s="404"/>
      <c r="TTO1" s="404"/>
      <c r="TTP1" s="405"/>
      <c r="TTQ1" s="432" t="s">
        <v>41</v>
      </c>
      <c r="TTR1" s="404"/>
      <c r="TTS1" s="404"/>
      <c r="TTT1" s="404"/>
      <c r="TTU1" s="404"/>
      <c r="TTV1" s="404"/>
      <c r="TTW1" s="404"/>
      <c r="TTX1" s="405"/>
      <c r="TTY1" s="432" t="s">
        <v>41</v>
      </c>
      <c r="TTZ1" s="404"/>
      <c r="TUA1" s="404"/>
      <c r="TUB1" s="404"/>
      <c r="TUC1" s="404"/>
      <c r="TUD1" s="404"/>
      <c r="TUE1" s="404"/>
      <c r="TUF1" s="405"/>
      <c r="TUG1" s="432" t="s">
        <v>41</v>
      </c>
      <c r="TUH1" s="404"/>
      <c r="TUI1" s="404"/>
      <c r="TUJ1" s="404"/>
      <c r="TUK1" s="404"/>
      <c r="TUL1" s="404"/>
      <c r="TUM1" s="404"/>
      <c r="TUN1" s="405"/>
      <c r="TUO1" s="432" t="s">
        <v>41</v>
      </c>
      <c r="TUP1" s="404"/>
      <c r="TUQ1" s="404"/>
      <c r="TUR1" s="404"/>
      <c r="TUS1" s="404"/>
      <c r="TUT1" s="404"/>
      <c r="TUU1" s="404"/>
      <c r="TUV1" s="405"/>
      <c r="TUW1" s="432" t="s">
        <v>41</v>
      </c>
      <c r="TUX1" s="404"/>
      <c r="TUY1" s="404"/>
      <c r="TUZ1" s="404"/>
      <c r="TVA1" s="404"/>
      <c r="TVB1" s="404"/>
      <c r="TVC1" s="404"/>
      <c r="TVD1" s="405"/>
      <c r="TVE1" s="432" t="s">
        <v>41</v>
      </c>
      <c r="TVF1" s="404"/>
      <c r="TVG1" s="404"/>
      <c r="TVH1" s="404"/>
      <c r="TVI1" s="404"/>
      <c r="TVJ1" s="404"/>
      <c r="TVK1" s="404"/>
      <c r="TVL1" s="405"/>
      <c r="TVM1" s="432" t="s">
        <v>41</v>
      </c>
      <c r="TVN1" s="404"/>
      <c r="TVO1" s="404"/>
      <c r="TVP1" s="404"/>
      <c r="TVQ1" s="404"/>
      <c r="TVR1" s="404"/>
      <c r="TVS1" s="404"/>
      <c r="TVT1" s="405"/>
      <c r="TVU1" s="432" t="s">
        <v>41</v>
      </c>
      <c r="TVV1" s="404"/>
      <c r="TVW1" s="404"/>
      <c r="TVX1" s="404"/>
      <c r="TVY1" s="404"/>
      <c r="TVZ1" s="404"/>
      <c r="TWA1" s="404"/>
      <c r="TWB1" s="405"/>
      <c r="TWC1" s="432" t="s">
        <v>41</v>
      </c>
      <c r="TWD1" s="404"/>
      <c r="TWE1" s="404"/>
      <c r="TWF1" s="404"/>
      <c r="TWG1" s="404"/>
      <c r="TWH1" s="404"/>
      <c r="TWI1" s="404"/>
      <c r="TWJ1" s="405"/>
      <c r="TWK1" s="432" t="s">
        <v>41</v>
      </c>
      <c r="TWL1" s="404"/>
      <c r="TWM1" s="404"/>
      <c r="TWN1" s="404"/>
      <c r="TWO1" s="404"/>
      <c r="TWP1" s="404"/>
      <c r="TWQ1" s="404"/>
      <c r="TWR1" s="405"/>
      <c r="TWS1" s="432" t="s">
        <v>41</v>
      </c>
      <c r="TWT1" s="404"/>
      <c r="TWU1" s="404"/>
      <c r="TWV1" s="404"/>
      <c r="TWW1" s="404"/>
      <c r="TWX1" s="404"/>
      <c r="TWY1" s="404"/>
      <c r="TWZ1" s="405"/>
      <c r="TXA1" s="432" t="s">
        <v>41</v>
      </c>
      <c r="TXB1" s="404"/>
      <c r="TXC1" s="404"/>
      <c r="TXD1" s="404"/>
      <c r="TXE1" s="404"/>
      <c r="TXF1" s="404"/>
      <c r="TXG1" s="404"/>
      <c r="TXH1" s="405"/>
      <c r="TXI1" s="432" t="s">
        <v>41</v>
      </c>
      <c r="TXJ1" s="404"/>
      <c r="TXK1" s="404"/>
      <c r="TXL1" s="404"/>
      <c r="TXM1" s="404"/>
      <c r="TXN1" s="404"/>
      <c r="TXO1" s="404"/>
      <c r="TXP1" s="405"/>
      <c r="TXQ1" s="432" t="s">
        <v>41</v>
      </c>
      <c r="TXR1" s="404"/>
      <c r="TXS1" s="404"/>
      <c r="TXT1" s="404"/>
      <c r="TXU1" s="404"/>
      <c r="TXV1" s="404"/>
      <c r="TXW1" s="404"/>
      <c r="TXX1" s="405"/>
      <c r="TXY1" s="432" t="s">
        <v>41</v>
      </c>
      <c r="TXZ1" s="404"/>
      <c r="TYA1" s="404"/>
      <c r="TYB1" s="404"/>
      <c r="TYC1" s="404"/>
      <c r="TYD1" s="404"/>
      <c r="TYE1" s="404"/>
      <c r="TYF1" s="405"/>
      <c r="TYG1" s="432" t="s">
        <v>41</v>
      </c>
      <c r="TYH1" s="404"/>
      <c r="TYI1" s="404"/>
      <c r="TYJ1" s="404"/>
      <c r="TYK1" s="404"/>
      <c r="TYL1" s="404"/>
      <c r="TYM1" s="404"/>
      <c r="TYN1" s="405"/>
      <c r="TYO1" s="432" t="s">
        <v>41</v>
      </c>
      <c r="TYP1" s="404"/>
      <c r="TYQ1" s="404"/>
      <c r="TYR1" s="404"/>
      <c r="TYS1" s="404"/>
      <c r="TYT1" s="404"/>
      <c r="TYU1" s="404"/>
      <c r="TYV1" s="405"/>
      <c r="TYW1" s="432" t="s">
        <v>41</v>
      </c>
      <c r="TYX1" s="404"/>
      <c r="TYY1" s="404"/>
      <c r="TYZ1" s="404"/>
      <c r="TZA1" s="404"/>
      <c r="TZB1" s="404"/>
      <c r="TZC1" s="404"/>
      <c r="TZD1" s="405"/>
      <c r="TZE1" s="432" t="s">
        <v>41</v>
      </c>
      <c r="TZF1" s="404"/>
      <c r="TZG1" s="404"/>
      <c r="TZH1" s="404"/>
      <c r="TZI1" s="404"/>
      <c r="TZJ1" s="404"/>
      <c r="TZK1" s="404"/>
      <c r="TZL1" s="405"/>
      <c r="TZM1" s="432" t="s">
        <v>41</v>
      </c>
      <c r="TZN1" s="404"/>
      <c r="TZO1" s="404"/>
      <c r="TZP1" s="404"/>
      <c r="TZQ1" s="404"/>
      <c r="TZR1" s="404"/>
      <c r="TZS1" s="404"/>
      <c r="TZT1" s="405"/>
      <c r="TZU1" s="432" t="s">
        <v>41</v>
      </c>
      <c r="TZV1" s="404"/>
      <c r="TZW1" s="404"/>
      <c r="TZX1" s="404"/>
      <c r="TZY1" s="404"/>
      <c r="TZZ1" s="404"/>
      <c r="UAA1" s="404"/>
      <c r="UAB1" s="405"/>
      <c r="UAC1" s="432" t="s">
        <v>41</v>
      </c>
      <c r="UAD1" s="404"/>
      <c r="UAE1" s="404"/>
      <c r="UAF1" s="404"/>
      <c r="UAG1" s="404"/>
      <c r="UAH1" s="404"/>
      <c r="UAI1" s="404"/>
      <c r="UAJ1" s="405"/>
      <c r="UAK1" s="432" t="s">
        <v>41</v>
      </c>
      <c r="UAL1" s="404"/>
      <c r="UAM1" s="404"/>
      <c r="UAN1" s="404"/>
      <c r="UAO1" s="404"/>
      <c r="UAP1" s="404"/>
      <c r="UAQ1" s="404"/>
      <c r="UAR1" s="405"/>
      <c r="UAS1" s="432" t="s">
        <v>41</v>
      </c>
      <c r="UAT1" s="404"/>
      <c r="UAU1" s="404"/>
      <c r="UAV1" s="404"/>
      <c r="UAW1" s="404"/>
      <c r="UAX1" s="404"/>
      <c r="UAY1" s="404"/>
      <c r="UAZ1" s="405"/>
      <c r="UBA1" s="432" t="s">
        <v>41</v>
      </c>
      <c r="UBB1" s="404"/>
      <c r="UBC1" s="404"/>
      <c r="UBD1" s="404"/>
      <c r="UBE1" s="404"/>
      <c r="UBF1" s="404"/>
      <c r="UBG1" s="404"/>
      <c r="UBH1" s="405"/>
      <c r="UBI1" s="432" t="s">
        <v>41</v>
      </c>
      <c r="UBJ1" s="404"/>
      <c r="UBK1" s="404"/>
      <c r="UBL1" s="404"/>
      <c r="UBM1" s="404"/>
      <c r="UBN1" s="404"/>
      <c r="UBO1" s="404"/>
      <c r="UBP1" s="405"/>
      <c r="UBQ1" s="432" t="s">
        <v>41</v>
      </c>
      <c r="UBR1" s="404"/>
      <c r="UBS1" s="404"/>
      <c r="UBT1" s="404"/>
      <c r="UBU1" s="404"/>
      <c r="UBV1" s="404"/>
      <c r="UBW1" s="404"/>
      <c r="UBX1" s="405"/>
      <c r="UBY1" s="432" t="s">
        <v>41</v>
      </c>
      <c r="UBZ1" s="404"/>
      <c r="UCA1" s="404"/>
      <c r="UCB1" s="404"/>
      <c r="UCC1" s="404"/>
      <c r="UCD1" s="404"/>
      <c r="UCE1" s="404"/>
      <c r="UCF1" s="405"/>
      <c r="UCG1" s="432" t="s">
        <v>41</v>
      </c>
      <c r="UCH1" s="404"/>
      <c r="UCI1" s="404"/>
      <c r="UCJ1" s="404"/>
      <c r="UCK1" s="404"/>
      <c r="UCL1" s="404"/>
      <c r="UCM1" s="404"/>
      <c r="UCN1" s="405"/>
      <c r="UCO1" s="432" t="s">
        <v>41</v>
      </c>
      <c r="UCP1" s="404"/>
      <c r="UCQ1" s="404"/>
      <c r="UCR1" s="404"/>
      <c r="UCS1" s="404"/>
      <c r="UCT1" s="404"/>
      <c r="UCU1" s="404"/>
      <c r="UCV1" s="405"/>
      <c r="UCW1" s="432" t="s">
        <v>41</v>
      </c>
      <c r="UCX1" s="404"/>
      <c r="UCY1" s="404"/>
      <c r="UCZ1" s="404"/>
      <c r="UDA1" s="404"/>
      <c r="UDB1" s="404"/>
      <c r="UDC1" s="404"/>
      <c r="UDD1" s="405"/>
      <c r="UDE1" s="432" t="s">
        <v>41</v>
      </c>
      <c r="UDF1" s="404"/>
      <c r="UDG1" s="404"/>
      <c r="UDH1" s="404"/>
      <c r="UDI1" s="404"/>
      <c r="UDJ1" s="404"/>
      <c r="UDK1" s="404"/>
      <c r="UDL1" s="405"/>
      <c r="UDM1" s="432" t="s">
        <v>41</v>
      </c>
      <c r="UDN1" s="404"/>
      <c r="UDO1" s="404"/>
      <c r="UDP1" s="404"/>
      <c r="UDQ1" s="404"/>
      <c r="UDR1" s="404"/>
      <c r="UDS1" s="404"/>
      <c r="UDT1" s="405"/>
      <c r="UDU1" s="432" t="s">
        <v>41</v>
      </c>
      <c r="UDV1" s="404"/>
      <c r="UDW1" s="404"/>
      <c r="UDX1" s="404"/>
      <c r="UDY1" s="404"/>
      <c r="UDZ1" s="404"/>
      <c r="UEA1" s="404"/>
      <c r="UEB1" s="405"/>
      <c r="UEC1" s="432" t="s">
        <v>41</v>
      </c>
      <c r="UED1" s="404"/>
      <c r="UEE1" s="404"/>
      <c r="UEF1" s="404"/>
      <c r="UEG1" s="404"/>
      <c r="UEH1" s="404"/>
      <c r="UEI1" s="404"/>
      <c r="UEJ1" s="405"/>
      <c r="UEK1" s="432" t="s">
        <v>41</v>
      </c>
      <c r="UEL1" s="404"/>
      <c r="UEM1" s="404"/>
      <c r="UEN1" s="404"/>
      <c r="UEO1" s="404"/>
      <c r="UEP1" s="404"/>
      <c r="UEQ1" s="404"/>
      <c r="UER1" s="405"/>
      <c r="UES1" s="432" t="s">
        <v>41</v>
      </c>
      <c r="UET1" s="404"/>
      <c r="UEU1" s="404"/>
      <c r="UEV1" s="404"/>
      <c r="UEW1" s="404"/>
      <c r="UEX1" s="404"/>
      <c r="UEY1" s="404"/>
      <c r="UEZ1" s="405"/>
      <c r="UFA1" s="432" t="s">
        <v>41</v>
      </c>
      <c r="UFB1" s="404"/>
      <c r="UFC1" s="404"/>
      <c r="UFD1" s="404"/>
      <c r="UFE1" s="404"/>
      <c r="UFF1" s="404"/>
      <c r="UFG1" s="404"/>
      <c r="UFH1" s="405"/>
      <c r="UFI1" s="432" t="s">
        <v>41</v>
      </c>
      <c r="UFJ1" s="404"/>
      <c r="UFK1" s="404"/>
      <c r="UFL1" s="404"/>
      <c r="UFM1" s="404"/>
      <c r="UFN1" s="404"/>
      <c r="UFO1" s="404"/>
      <c r="UFP1" s="405"/>
      <c r="UFQ1" s="432" t="s">
        <v>41</v>
      </c>
      <c r="UFR1" s="404"/>
      <c r="UFS1" s="404"/>
      <c r="UFT1" s="404"/>
      <c r="UFU1" s="404"/>
      <c r="UFV1" s="404"/>
      <c r="UFW1" s="404"/>
      <c r="UFX1" s="405"/>
      <c r="UFY1" s="432" t="s">
        <v>41</v>
      </c>
      <c r="UFZ1" s="404"/>
      <c r="UGA1" s="404"/>
      <c r="UGB1" s="404"/>
      <c r="UGC1" s="404"/>
      <c r="UGD1" s="404"/>
      <c r="UGE1" s="404"/>
      <c r="UGF1" s="405"/>
      <c r="UGG1" s="432" t="s">
        <v>41</v>
      </c>
      <c r="UGH1" s="404"/>
      <c r="UGI1" s="404"/>
      <c r="UGJ1" s="404"/>
      <c r="UGK1" s="404"/>
      <c r="UGL1" s="404"/>
      <c r="UGM1" s="404"/>
      <c r="UGN1" s="405"/>
      <c r="UGO1" s="432" t="s">
        <v>41</v>
      </c>
      <c r="UGP1" s="404"/>
      <c r="UGQ1" s="404"/>
      <c r="UGR1" s="404"/>
      <c r="UGS1" s="404"/>
      <c r="UGT1" s="404"/>
      <c r="UGU1" s="404"/>
      <c r="UGV1" s="405"/>
      <c r="UGW1" s="432" t="s">
        <v>41</v>
      </c>
      <c r="UGX1" s="404"/>
      <c r="UGY1" s="404"/>
      <c r="UGZ1" s="404"/>
      <c r="UHA1" s="404"/>
      <c r="UHB1" s="404"/>
      <c r="UHC1" s="404"/>
      <c r="UHD1" s="405"/>
      <c r="UHE1" s="432" t="s">
        <v>41</v>
      </c>
      <c r="UHF1" s="404"/>
      <c r="UHG1" s="404"/>
      <c r="UHH1" s="404"/>
      <c r="UHI1" s="404"/>
      <c r="UHJ1" s="404"/>
      <c r="UHK1" s="404"/>
      <c r="UHL1" s="405"/>
      <c r="UHM1" s="432" t="s">
        <v>41</v>
      </c>
      <c r="UHN1" s="404"/>
      <c r="UHO1" s="404"/>
      <c r="UHP1" s="404"/>
      <c r="UHQ1" s="404"/>
      <c r="UHR1" s="404"/>
      <c r="UHS1" s="404"/>
      <c r="UHT1" s="405"/>
      <c r="UHU1" s="432" t="s">
        <v>41</v>
      </c>
      <c r="UHV1" s="404"/>
      <c r="UHW1" s="404"/>
      <c r="UHX1" s="404"/>
      <c r="UHY1" s="404"/>
      <c r="UHZ1" s="404"/>
      <c r="UIA1" s="404"/>
      <c r="UIB1" s="405"/>
      <c r="UIC1" s="432" t="s">
        <v>41</v>
      </c>
      <c r="UID1" s="404"/>
      <c r="UIE1" s="404"/>
      <c r="UIF1" s="404"/>
      <c r="UIG1" s="404"/>
      <c r="UIH1" s="404"/>
      <c r="UII1" s="404"/>
      <c r="UIJ1" s="405"/>
      <c r="UIK1" s="432" t="s">
        <v>41</v>
      </c>
      <c r="UIL1" s="404"/>
      <c r="UIM1" s="404"/>
      <c r="UIN1" s="404"/>
      <c r="UIO1" s="404"/>
      <c r="UIP1" s="404"/>
      <c r="UIQ1" s="404"/>
      <c r="UIR1" s="405"/>
      <c r="UIS1" s="432" t="s">
        <v>41</v>
      </c>
      <c r="UIT1" s="404"/>
      <c r="UIU1" s="404"/>
      <c r="UIV1" s="404"/>
      <c r="UIW1" s="404"/>
      <c r="UIX1" s="404"/>
      <c r="UIY1" s="404"/>
      <c r="UIZ1" s="405"/>
      <c r="UJA1" s="432" t="s">
        <v>41</v>
      </c>
      <c r="UJB1" s="404"/>
      <c r="UJC1" s="404"/>
      <c r="UJD1" s="404"/>
      <c r="UJE1" s="404"/>
      <c r="UJF1" s="404"/>
      <c r="UJG1" s="404"/>
      <c r="UJH1" s="405"/>
      <c r="UJI1" s="432" t="s">
        <v>41</v>
      </c>
      <c r="UJJ1" s="404"/>
      <c r="UJK1" s="404"/>
      <c r="UJL1" s="404"/>
      <c r="UJM1" s="404"/>
      <c r="UJN1" s="404"/>
      <c r="UJO1" s="404"/>
      <c r="UJP1" s="405"/>
      <c r="UJQ1" s="432" t="s">
        <v>41</v>
      </c>
      <c r="UJR1" s="404"/>
      <c r="UJS1" s="404"/>
      <c r="UJT1" s="404"/>
      <c r="UJU1" s="404"/>
      <c r="UJV1" s="404"/>
      <c r="UJW1" s="404"/>
      <c r="UJX1" s="405"/>
      <c r="UJY1" s="432" t="s">
        <v>41</v>
      </c>
      <c r="UJZ1" s="404"/>
      <c r="UKA1" s="404"/>
      <c r="UKB1" s="404"/>
      <c r="UKC1" s="404"/>
      <c r="UKD1" s="404"/>
      <c r="UKE1" s="404"/>
      <c r="UKF1" s="405"/>
      <c r="UKG1" s="432" t="s">
        <v>41</v>
      </c>
      <c r="UKH1" s="404"/>
      <c r="UKI1" s="404"/>
      <c r="UKJ1" s="404"/>
      <c r="UKK1" s="404"/>
      <c r="UKL1" s="404"/>
      <c r="UKM1" s="404"/>
      <c r="UKN1" s="405"/>
      <c r="UKO1" s="432" t="s">
        <v>41</v>
      </c>
      <c r="UKP1" s="404"/>
      <c r="UKQ1" s="404"/>
      <c r="UKR1" s="404"/>
      <c r="UKS1" s="404"/>
      <c r="UKT1" s="404"/>
      <c r="UKU1" s="404"/>
      <c r="UKV1" s="405"/>
      <c r="UKW1" s="432" t="s">
        <v>41</v>
      </c>
      <c r="UKX1" s="404"/>
      <c r="UKY1" s="404"/>
      <c r="UKZ1" s="404"/>
      <c r="ULA1" s="404"/>
      <c r="ULB1" s="404"/>
      <c r="ULC1" s="404"/>
      <c r="ULD1" s="405"/>
      <c r="ULE1" s="432" t="s">
        <v>41</v>
      </c>
      <c r="ULF1" s="404"/>
      <c r="ULG1" s="404"/>
      <c r="ULH1" s="404"/>
      <c r="ULI1" s="404"/>
      <c r="ULJ1" s="404"/>
      <c r="ULK1" s="404"/>
      <c r="ULL1" s="405"/>
      <c r="ULM1" s="432" t="s">
        <v>41</v>
      </c>
      <c r="ULN1" s="404"/>
      <c r="ULO1" s="404"/>
      <c r="ULP1" s="404"/>
      <c r="ULQ1" s="404"/>
      <c r="ULR1" s="404"/>
      <c r="ULS1" s="404"/>
      <c r="ULT1" s="405"/>
      <c r="ULU1" s="432" t="s">
        <v>41</v>
      </c>
      <c r="ULV1" s="404"/>
      <c r="ULW1" s="404"/>
      <c r="ULX1" s="404"/>
      <c r="ULY1" s="404"/>
      <c r="ULZ1" s="404"/>
      <c r="UMA1" s="404"/>
      <c r="UMB1" s="405"/>
      <c r="UMC1" s="432" t="s">
        <v>41</v>
      </c>
      <c r="UMD1" s="404"/>
      <c r="UME1" s="404"/>
      <c r="UMF1" s="404"/>
      <c r="UMG1" s="404"/>
      <c r="UMH1" s="404"/>
      <c r="UMI1" s="404"/>
      <c r="UMJ1" s="405"/>
      <c r="UMK1" s="432" t="s">
        <v>41</v>
      </c>
      <c r="UML1" s="404"/>
      <c r="UMM1" s="404"/>
      <c r="UMN1" s="404"/>
      <c r="UMO1" s="404"/>
      <c r="UMP1" s="404"/>
      <c r="UMQ1" s="404"/>
      <c r="UMR1" s="405"/>
      <c r="UMS1" s="432" t="s">
        <v>41</v>
      </c>
      <c r="UMT1" s="404"/>
      <c r="UMU1" s="404"/>
      <c r="UMV1" s="404"/>
      <c r="UMW1" s="404"/>
      <c r="UMX1" s="404"/>
      <c r="UMY1" s="404"/>
      <c r="UMZ1" s="405"/>
      <c r="UNA1" s="432" t="s">
        <v>41</v>
      </c>
      <c r="UNB1" s="404"/>
      <c r="UNC1" s="404"/>
      <c r="UND1" s="404"/>
      <c r="UNE1" s="404"/>
      <c r="UNF1" s="404"/>
      <c r="UNG1" s="404"/>
      <c r="UNH1" s="405"/>
      <c r="UNI1" s="432" t="s">
        <v>41</v>
      </c>
      <c r="UNJ1" s="404"/>
      <c r="UNK1" s="404"/>
      <c r="UNL1" s="404"/>
      <c r="UNM1" s="404"/>
      <c r="UNN1" s="404"/>
      <c r="UNO1" s="404"/>
      <c r="UNP1" s="405"/>
      <c r="UNQ1" s="432" t="s">
        <v>41</v>
      </c>
      <c r="UNR1" s="404"/>
      <c r="UNS1" s="404"/>
      <c r="UNT1" s="404"/>
      <c r="UNU1" s="404"/>
      <c r="UNV1" s="404"/>
      <c r="UNW1" s="404"/>
      <c r="UNX1" s="405"/>
      <c r="UNY1" s="432" t="s">
        <v>41</v>
      </c>
      <c r="UNZ1" s="404"/>
      <c r="UOA1" s="404"/>
      <c r="UOB1" s="404"/>
      <c r="UOC1" s="404"/>
      <c r="UOD1" s="404"/>
      <c r="UOE1" s="404"/>
      <c r="UOF1" s="405"/>
      <c r="UOG1" s="432" t="s">
        <v>41</v>
      </c>
      <c r="UOH1" s="404"/>
      <c r="UOI1" s="404"/>
      <c r="UOJ1" s="404"/>
      <c r="UOK1" s="404"/>
      <c r="UOL1" s="404"/>
      <c r="UOM1" s="404"/>
      <c r="UON1" s="405"/>
      <c r="UOO1" s="432" t="s">
        <v>41</v>
      </c>
      <c r="UOP1" s="404"/>
      <c r="UOQ1" s="404"/>
      <c r="UOR1" s="404"/>
      <c r="UOS1" s="404"/>
      <c r="UOT1" s="404"/>
      <c r="UOU1" s="404"/>
      <c r="UOV1" s="405"/>
      <c r="UOW1" s="432" t="s">
        <v>41</v>
      </c>
      <c r="UOX1" s="404"/>
      <c r="UOY1" s="404"/>
      <c r="UOZ1" s="404"/>
      <c r="UPA1" s="404"/>
      <c r="UPB1" s="404"/>
      <c r="UPC1" s="404"/>
      <c r="UPD1" s="405"/>
      <c r="UPE1" s="432" t="s">
        <v>41</v>
      </c>
      <c r="UPF1" s="404"/>
      <c r="UPG1" s="404"/>
      <c r="UPH1" s="404"/>
      <c r="UPI1" s="404"/>
      <c r="UPJ1" s="404"/>
      <c r="UPK1" s="404"/>
      <c r="UPL1" s="405"/>
      <c r="UPM1" s="432" t="s">
        <v>41</v>
      </c>
      <c r="UPN1" s="404"/>
      <c r="UPO1" s="404"/>
      <c r="UPP1" s="404"/>
      <c r="UPQ1" s="404"/>
      <c r="UPR1" s="404"/>
      <c r="UPS1" s="404"/>
      <c r="UPT1" s="405"/>
      <c r="UPU1" s="432" t="s">
        <v>41</v>
      </c>
      <c r="UPV1" s="404"/>
      <c r="UPW1" s="404"/>
      <c r="UPX1" s="404"/>
      <c r="UPY1" s="404"/>
      <c r="UPZ1" s="404"/>
      <c r="UQA1" s="404"/>
      <c r="UQB1" s="405"/>
      <c r="UQC1" s="432" t="s">
        <v>41</v>
      </c>
      <c r="UQD1" s="404"/>
      <c r="UQE1" s="404"/>
      <c r="UQF1" s="404"/>
      <c r="UQG1" s="404"/>
      <c r="UQH1" s="404"/>
      <c r="UQI1" s="404"/>
      <c r="UQJ1" s="405"/>
      <c r="UQK1" s="432" t="s">
        <v>41</v>
      </c>
      <c r="UQL1" s="404"/>
      <c r="UQM1" s="404"/>
      <c r="UQN1" s="404"/>
      <c r="UQO1" s="404"/>
      <c r="UQP1" s="404"/>
      <c r="UQQ1" s="404"/>
      <c r="UQR1" s="405"/>
      <c r="UQS1" s="432" t="s">
        <v>41</v>
      </c>
      <c r="UQT1" s="404"/>
      <c r="UQU1" s="404"/>
      <c r="UQV1" s="404"/>
      <c r="UQW1" s="404"/>
      <c r="UQX1" s="404"/>
      <c r="UQY1" s="404"/>
      <c r="UQZ1" s="405"/>
      <c r="URA1" s="432" t="s">
        <v>41</v>
      </c>
      <c r="URB1" s="404"/>
      <c r="URC1" s="404"/>
      <c r="URD1" s="404"/>
      <c r="URE1" s="404"/>
      <c r="URF1" s="404"/>
      <c r="URG1" s="404"/>
      <c r="URH1" s="405"/>
      <c r="URI1" s="432" t="s">
        <v>41</v>
      </c>
      <c r="URJ1" s="404"/>
      <c r="URK1" s="404"/>
      <c r="URL1" s="404"/>
      <c r="URM1" s="404"/>
      <c r="URN1" s="404"/>
      <c r="URO1" s="404"/>
      <c r="URP1" s="405"/>
      <c r="URQ1" s="432" t="s">
        <v>41</v>
      </c>
      <c r="URR1" s="404"/>
      <c r="URS1" s="404"/>
      <c r="URT1" s="404"/>
      <c r="URU1" s="404"/>
      <c r="URV1" s="404"/>
      <c r="URW1" s="404"/>
      <c r="URX1" s="405"/>
      <c r="URY1" s="432" t="s">
        <v>41</v>
      </c>
      <c r="URZ1" s="404"/>
      <c r="USA1" s="404"/>
      <c r="USB1" s="404"/>
      <c r="USC1" s="404"/>
      <c r="USD1" s="404"/>
      <c r="USE1" s="404"/>
      <c r="USF1" s="405"/>
      <c r="USG1" s="432" t="s">
        <v>41</v>
      </c>
      <c r="USH1" s="404"/>
      <c r="USI1" s="404"/>
      <c r="USJ1" s="404"/>
      <c r="USK1" s="404"/>
      <c r="USL1" s="404"/>
      <c r="USM1" s="404"/>
      <c r="USN1" s="405"/>
      <c r="USO1" s="432" t="s">
        <v>41</v>
      </c>
      <c r="USP1" s="404"/>
      <c r="USQ1" s="404"/>
      <c r="USR1" s="404"/>
      <c r="USS1" s="404"/>
      <c r="UST1" s="404"/>
      <c r="USU1" s="404"/>
      <c r="USV1" s="405"/>
      <c r="USW1" s="432" t="s">
        <v>41</v>
      </c>
      <c r="USX1" s="404"/>
      <c r="USY1" s="404"/>
      <c r="USZ1" s="404"/>
      <c r="UTA1" s="404"/>
      <c r="UTB1" s="404"/>
      <c r="UTC1" s="404"/>
      <c r="UTD1" s="405"/>
      <c r="UTE1" s="432" t="s">
        <v>41</v>
      </c>
      <c r="UTF1" s="404"/>
      <c r="UTG1" s="404"/>
      <c r="UTH1" s="404"/>
      <c r="UTI1" s="404"/>
      <c r="UTJ1" s="404"/>
      <c r="UTK1" s="404"/>
      <c r="UTL1" s="405"/>
      <c r="UTM1" s="432" t="s">
        <v>41</v>
      </c>
      <c r="UTN1" s="404"/>
      <c r="UTO1" s="404"/>
      <c r="UTP1" s="404"/>
      <c r="UTQ1" s="404"/>
      <c r="UTR1" s="404"/>
      <c r="UTS1" s="404"/>
      <c r="UTT1" s="405"/>
      <c r="UTU1" s="432" t="s">
        <v>41</v>
      </c>
      <c r="UTV1" s="404"/>
      <c r="UTW1" s="404"/>
      <c r="UTX1" s="404"/>
      <c r="UTY1" s="404"/>
      <c r="UTZ1" s="404"/>
      <c r="UUA1" s="404"/>
      <c r="UUB1" s="405"/>
      <c r="UUC1" s="432" t="s">
        <v>41</v>
      </c>
      <c r="UUD1" s="404"/>
      <c r="UUE1" s="404"/>
      <c r="UUF1" s="404"/>
      <c r="UUG1" s="404"/>
      <c r="UUH1" s="404"/>
      <c r="UUI1" s="404"/>
      <c r="UUJ1" s="405"/>
      <c r="UUK1" s="432" t="s">
        <v>41</v>
      </c>
      <c r="UUL1" s="404"/>
      <c r="UUM1" s="404"/>
      <c r="UUN1" s="404"/>
      <c r="UUO1" s="404"/>
      <c r="UUP1" s="404"/>
      <c r="UUQ1" s="404"/>
      <c r="UUR1" s="405"/>
      <c r="UUS1" s="432" t="s">
        <v>41</v>
      </c>
      <c r="UUT1" s="404"/>
      <c r="UUU1" s="404"/>
      <c r="UUV1" s="404"/>
      <c r="UUW1" s="404"/>
      <c r="UUX1" s="404"/>
      <c r="UUY1" s="404"/>
      <c r="UUZ1" s="405"/>
      <c r="UVA1" s="432" t="s">
        <v>41</v>
      </c>
      <c r="UVB1" s="404"/>
      <c r="UVC1" s="404"/>
      <c r="UVD1" s="404"/>
      <c r="UVE1" s="404"/>
      <c r="UVF1" s="404"/>
      <c r="UVG1" s="404"/>
      <c r="UVH1" s="405"/>
      <c r="UVI1" s="432" t="s">
        <v>41</v>
      </c>
      <c r="UVJ1" s="404"/>
      <c r="UVK1" s="404"/>
      <c r="UVL1" s="404"/>
      <c r="UVM1" s="404"/>
      <c r="UVN1" s="404"/>
      <c r="UVO1" s="404"/>
      <c r="UVP1" s="405"/>
      <c r="UVQ1" s="432" t="s">
        <v>41</v>
      </c>
      <c r="UVR1" s="404"/>
      <c r="UVS1" s="404"/>
      <c r="UVT1" s="404"/>
      <c r="UVU1" s="404"/>
      <c r="UVV1" s="404"/>
      <c r="UVW1" s="404"/>
      <c r="UVX1" s="405"/>
      <c r="UVY1" s="432" t="s">
        <v>41</v>
      </c>
      <c r="UVZ1" s="404"/>
      <c r="UWA1" s="404"/>
      <c r="UWB1" s="404"/>
      <c r="UWC1" s="404"/>
      <c r="UWD1" s="404"/>
      <c r="UWE1" s="404"/>
      <c r="UWF1" s="405"/>
      <c r="UWG1" s="432" t="s">
        <v>41</v>
      </c>
      <c r="UWH1" s="404"/>
      <c r="UWI1" s="404"/>
      <c r="UWJ1" s="404"/>
      <c r="UWK1" s="404"/>
      <c r="UWL1" s="404"/>
      <c r="UWM1" s="404"/>
      <c r="UWN1" s="405"/>
      <c r="UWO1" s="432" t="s">
        <v>41</v>
      </c>
      <c r="UWP1" s="404"/>
      <c r="UWQ1" s="404"/>
      <c r="UWR1" s="404"/>
      <c r="UWS1" s="404"/>
      <c r="UWT1" s="404"/>
      <c r="UWU1" s="404"/>
      <c r="UWV1" s="405"/>
      <c r="UWW1" s="432" t="s">
        <v>41</v>
      </c>
      <c r="UWX1" s="404"/>
      <c r="UWY1" s="404"/>
      <c r="UWZ1" s="404"/>
      <c r="UXA1" s="404"/>
      <c r="UXB1" s="404"/>
      <c r="UXC1" s="404"/>
      <c r="UXD1" s="405"/>
      <c r="UXE1" s="432" t="s">
        <v>41</v>
      </c>
      <c r="UXF1" s="404"/>
      <c r="UXG1" s="404"/>
      <c r="UXH1" s="404"/>
      <c r="UXI1" s="404"/>
      <c r="UXJ1" s="404"/>
      <c r="UXK1" s="404"/>
      <c r="UXL1" s="405"/>
      <c r="UXM1" s="432" t="s">
        <v>41</v>
      </c>
      <c r="UXN1" s="404"/>
      <c r="UXO1" s="404"/>
      <c r="UXP1" s="404"/>
      <c r="UXQ1" s="404"/>
      <c r="UXR1" s="404"/>
      <c r="UXS1" s="404"/>
      <c r="UXT1" s="405"/>
      <c r="UXU1" s="432" t="s">
        <v>41</v>
      </c>
      <c r="UXV1" s="404"/>
      <c r="UXW1" s="404"/>
      <c r="UXX1" s="404"/>
      <c r="UXY1" s="404"/>
      <c r="UXZ1" s="404"/>
      <c r="UYA1" s="404"/>
      <c r="UYB1" s="405"/>
      <c r="UYC1" s="432" t="s">
        <v>41</v>
      </c>
      <c r="UYD1" s="404"/>
      <c r="UYE1" s="404"/>
      <c r="UYF1" s="404"/>
      <c r="UYG1" s="404"/>
      <c r="UYH1" s="404"/>
      <c r="UYI1" s="404"/>
      <c r="UYJ1" s="405"/>
      <c r="UYK1" s="432" t="s">
        <v>41</v>
      </c>
      <c r="UYL1" s="404"/>
      <c r="UYM1" s="404"/>
      <c r="UYN1" s="404"/>
      <c r="UYO1" s="404"/>
      <c r="UYP1" s="404"/>
      <c r="UYQ1" s="404"/>
      <c r="UYR1" s="405"/>
      <c r="UYS1" s="432" t="s">
        <v>41</v>
      </c>
      <c r="UYT1" s="404"/>
      <c r="UYU1" s="404"/>
      <c r="UYV1" s="404"/>
      <c r="UYW1" s="404"/>
      <c r="UYX1" s="404"/>
      <c r="UYY1" s="404"/>
      <c r="UYZ1" s="405"/>
      <c r="UZA1" s="432" t="s">
        <v>41</v>
      </c>
      <c r="UZB1" s="404"/>
      <c r="UZC1" s="404"/>
      <c r="UZD1" s="404"/>
      <c r="UZE1" s="404"/>
      <c r="UZF1" s="404"/>
      <c r="UZG1" s="404"/>
      <c r="UZH1" s="405"/>
      <c r="UZI1" s="432" t="s">
        <v>41</v>
      </c>
      <c r="UZJ1" s="404"/>
      <c r="UZK1" s="404"/>
      <c r="UZL1" s="404"/>
      <c r="UZM1" s="404"/>
      <c r="UZN1" s="404"/>
      <c r="UZO1" s="404"/>
      <c r="UZP1" s="405"/>
      <c r="UZQ1" s="432" t="s">
        <v>41</v>
      </c>
      <c r="UZR1" s="404"/>
      <c r="UZS1" s="404"/>
      <c r="UZT1" s="404"/>
      <c r="UZU1" s="404"/>
      <c r="UZV1" s="404"/>
      <c r="UZW1" s="404"/>
      <c r="UZX1" s="405"/>
      <c r="UZY1" s="432" t="s">
        <v>41</v>
      </c>
      <c r="UZZ1" s="404"/>
      <c r="VAA1" s="404"/>
      <c r="VAB1" s="404"/>
      <c r="VAC1" s="404"/>
      <c r="VAD1" s="404"/>
      <c r="VAE1" s="404"/>
      <c r="VAF1" s="405"/>
      <c r="VAG1" s="432" t="s">
        <v>41</v>
      </c>
      <c r="VAH1" s="404"/>
      <c r="VAI1" s="404"/>
      <c r="VAJ1" s="404"/>
      <c r="VAK1" s="404"/>
      <c r="VAL1" s="404"/>
      <c r="VAM1" s="404"/>
      <c r="VAN1" s="405"/>
      <c r="VAO1" s="432" t="s">
        <v>41</v>
      </c>
      <c r="VAP1" s="404"/>
      <c r="VAQ1" s="404"/>
      <c r="VAR1" s="404"/>
      <c r="VAS1" s="404"/>
      <c r="VAT1" s="404"/>
      <c r="VAU1" s="404"/>
      <c r="VAV1" s="405"/>
      <c r="VAW1" s="432" t="s">
        <v>41</v>
      </c>
      <c r="VAX1" s="404"/>
      <c r="VAY1" s="404"/>
      <c r="VAZ1" s="404"/>
      <c r="VBA1" s="404"/>
      <c r="VBB1" s="404"/>
      <c r="VBC1" s="404"/>
      <c r="VBD1" s="405"/>
      <c r="VBE1" s="432" t="s">
        <v>41</v>
      </c>
      <c r="VBF1" s="404"/>
      <c r="VBG1" s="404"/>
      <c r="VBH1" s="404"/>
      <c r="VBI1" s="404"/>
      <c r="VBJ1" s="404"/>
      <c r="VBK1" s="404"/>
      <c r="VBL1" s="405"/>
      <c r="VBM1" s="432" t="s">
        <v>41</v>
      </c>
      <c r="VBN1" s="404"/>
      <c r="VBO1" s="404"/>
      <c r="VBP1" s="404"/>
      <c r="VBQ1" s="404"/>
      <c r="VBR1" s="404"/>
      <c r="VBS1" s="404"/>
      <c r="VBT1" s="405"/>
      <c r="VBU1" s="432" t="s">
        <v>41</v>
      </c>
      <c r="VBV1" s="404"/>
      <c r="VBW1" s="404"/>
      <c r="VBX1" s="404"/>
      <c r="VBY1" s="404"/>
      <c r="VBZ1" s="404"/>
      <c r="VCA1" s="404"/>
      <c r="VCB1" s="405"/>
      <c r="VCC1" s="432" t="s">
        <v>41</v>
      </c>
      <c r="VCD1" s="404"/>
      <c r="VCE1" s="404"/>
      <c r="VCF1" s="404"/>
      <c r="VCG1" s="404"/>
      <c r="VCH1" s="404"/>
      <c r="VCI1" s="404"/>
      <c r="VCJ1" s="405"/>
      <c r="VCK1" s="432" t="s">
        <v>41</v>
      </c>
      <c r="VCL1" s="404"/>
      <c r="VCM1" s="404"/>
      <c r="VCN1" s="404"/>
      <c r="VCO1" s="404"/>
      <c r="VCP1" s="404"/>
      <c r="VCQ1" s="404"/>
      <c r="VCR1" s="405"/>
      <c r="VCS1" s="432" t="s">
        <v>41</v>
      </c>
      <c r="VCT1" s="404"/>
      <c r="VCU1" s="404"/>
      <c r="VCV1" s="404"/>
      <c r="VCW1" s="404"/>
      <c r="VCX1" s="404"/>
      <c r="VCY1" s="404"/>
      <c r="VCZ1" s="405"/>
      <c r="VDA1" s="432" t="s">
        <v>41</v>
      </c>
      <c r="VDB1" s="404"/>
      <c r="VDC1" s="404"/>
      <c r="VDD1" s="404"/>
      <c r="VDE1" s="404"/>
      <c r="VDF1" s="404"/>
      <c r="VDG1" s="404"/>
      <c r="VDH1" s="405"/>
      <c r="VDI1" s="432" t="s">
        <v>41</v>
      </c>
      <c r="VDJ1" s="404"/>
      <c r="VDK1" s="404"/>
      <c r="VDL1" s="404"/>
      <c r="VDM1" s="404"/>
      <c r="VDN1" s="404"/>
      <c r="VDO1" s="404"/>
      <c r="VDP1" s="405"/>
      <c r="VDQ1" s="432" t="s">
        <v>41</v>
      </c>
      <c r="VDR1" s="404"/>
      <c r="VDS1" s="404"/>
      <c r="VDT1" s="404"/>
      <c r="VDU1" s="404"/>
      <c r="VDV1" s="404"/>
      <c r="VDW1" s="404"/>
      <c r="VDX1" s="405"/>
      <c r="VDY1" s="432" t="s">
        <v>41</v>
      </c>
      <c r="VDZ1" s="404"/>
      <c r="VEA1" s="404"/>
      <c r="VEB1" s="404"/>
      <c r="VEC1" s="404"/>
      <c r="VED1" s="404"/>
      <c r="VEE1" s="404"/>
      <c r="VEF1" s="405"/>
      <c r="VEG1" s="432" t="s">
        <v>41</v>
      </c>
      <c r="VEH1" s="404"/>
      <c r="VEI1" s="404"/>
      <c r="VEJ1" s="404"/>
      <c r="VEK1" s="404"/>
      <c r="VEL1" s="404"/>
      <c r="VEM1" s="404"/>
      <c r="VEN1" s="405"/>
      <c r="VEO1" s="432" t="s">
        <v>41</v>
      </c>
      <c r="VEP1" s="404"/>
      <c r="VEQ1" s="404"/>
      <c r="VER1" s="404"/>
      <c r="VES1" s="404"/>
      <c r="VET1" s="404"/>
      <c r="VEU1" s="404"/>
      <c r="VEV1" s="405"/>
      <c r="VEW1" s="432" t="s">
        <v>41</v>
      </c>
      <c r="VEX1" s="404"/>
      <c r="VEY1" s="404"/>
      <c r="VEZ1" s="404"/>
      <c r="VFA1" s="404"/>
      <c r="VFB1" s="404"/>
      <c r="VFC1" s="404"/>
      <c r="VFD1" s="405"/>
      <c r="VFE1" s="432" t="s">
        <v>41</v>
      </c>
      <c r="VFF1" s="404"/>
      <c r="VFG1" s="404"/>
      <c r="VFH1" s="404"/>
      <c r="VFI1" s="404"/>
      <c r="VFJ1" s="404"/>
      <c r="VFK1" s="404"/>
      <c r="VFL1" s="405"/>
      <c r="VFM1" s="432" t="s">
        <v>41</v>
      </c>
      <c r="VFN1" s="404"/>
      <c r="VFO1" s="404"/>
      <c r="VFP1" s="404"/>
      <c r="VFQ1" s="404"/>
      <c r="VFR1" s="404"/>
      <c r="VFS1" s="404"/>
      <c r="VFT1" s="405"/>
      <c r="VFU1" s="432" t="s">
        <v>41</v>
      </c>
      <c r="VFV1" s="404"/>
      <c r="VFW1" s="404"/>
      <c r="VFX1" s="404"/>
      <c r="VFY1" s="404"/>
      <c r="VFZ1" s="404"/>
      <c r="VGA1" s="404"/>
      <c r="VGB1" s="405"/>
      <c r="VGC1" s="432" t="s">
        <v>41</v>
      </c>
      <c r="VGD1" s="404"/>
      <c r="VGE1" s="404"/>
      <c r="VGF1" s="404"/>
      <c r="VGG1" s="404"/>
      <c r="VGH1" s="404"/>
      <c r="VGI1" s="404"/>
      <c r="VGJ1" s="405"/>
      <c r="VGK1" s="432" t="s">
        <v>41</v>
      </c>
      <c r="VGL1" s="404"/>
      <c r="VGM1" s="404"/>
      <c r="VGN1" s="404"/>
      <c r="VGO1" s="404"/>
      <c r="VGP1" s="404"/>
      <c r="VGQ1" s="404"/>
      <c r="VGR1" s="405"/>
      <c r="VGS1" s="432" t="s">
        <v>41</v>
      </c>
      <c r="VGT1" s="404"/>
      <c r="VGU1" s="404"/>
      <c r="VGV1" s="404"/>
      <c r="VGW1" s="404"/>
      <c r="VGX1" s="404"/>
      <c r="VGY1" s="404"/>
      <c r="VGZ1" s="405"/>
      <c r="VHA1" s="432" t="s">
        <v>41</v>
      </c>
      <c r="VHB1" s="404"/>
      <c r="VHC1" s="404"/>
      <c r="VHD1" s="404"/>
      <c r="VHE1" s="404"/>
      <c r="VHF1" s="404"/>
      <c r="VHG1" s="404"/>
      <c r="VHH1" s="405"/>
      <c r="VHI1" s="432" t="s">
        <v>41</v>
      </c>
      <c r="VHJ1" s="404"/>
      <c r="VHK1" s="404"/>
      <c r="VHL1" s="404"/>
      <c r="VHM1" s="404"/>
      <c r="VHN1" s="404"/>
      <c r="VHO1" s="404"/>
      <c r="VHP1" s="405"/>
      <c r="VHQ1" s="432" t="s">
        <v>41</v>
      </c>
      <c r="VHR1" s="404"/>
      <c r="VHS1" s="404"/>
      <c r="VHT1" s="404"/>
      <c r="VHU1" s="404"/>
      <c r="VHV1" s="404"/>
      <c r="VHW1" s="404"/>
      <c r="VHX1" s="405"/>
      <c r="VHY1" s="432" t="s">
        <v>41</v>
      </c>
      <c r="VHZ1" s="404"/>
      <c r="VIA1" s="404"/>
      <c r="VIB1" s="404"/>
      <c r="VIC1" s="404"/>
      <c r="VID1" s="404"/>
      <c r="VIE1" s="404"/>
      <c r="VIF1" s="405"/>
      <c r="VIG1" s="432" t="s">
        <v>41</v>
      </c>
      <c r="VIH1" s="404"/>
      <c r="VII1" s="404"/>
      <c r="VIJ1" s="404"/>
      <c r="VIK1" s="404"/>
      <c r="VIL1" s="404"/>
      <c r="VIM1" s="404"/>
      <c r="VIN1" s="405"/>
      <c r="VIO1" s="432" t="s">
        <v>41</v>
      </c>
      <c r="VIP1" s="404"/>
      <c r="VIQ1" s="404"/>
      <c r="VIR1" s="404"/>
      <c r="VIS1" s="404"/>
      <c r="VIT1" s="404"/>
      <c r="VIU1" s="404"/>
      <c r="VIV1" s="405"/>
      <c r="VIW1" s="432" t="s">
        <v>41</v>
      </c>
      <c r="VIX1" s="404"/>
      <c r="VIY1" s="404"/>
      <c r="VIZ1" s="404"/>
      <c r="VJA1" s="404"/>
      <c r="VJB1" s="404"/>
      <c r="VJC1" s="404"/>
      <c r="VJD1" s="405"/>
      <c r="VJE1" s="432" t="s">
        <v>41</v>
      </c>
      <c r="VJF1" s="404"/>
      <c r="VJG1" s="404"/>
      <c r="VJH1" s="404"/>
      <c r="VJI1" s="404"/>
      <c r="VJJ1" s="404"/>
      <c r="VJK1" s="404"/>
      <c r="VJL1" s="405"/>
      <c r="VJM1" s="432" t="s">
        <v>41</v>
      </c>
      <c r="VJN1" s="404"/>
      <c r="VJO1" s="404"/>
      <c r="VJP1" s="404"/>
      <c r="VJQ1" s="404"/>
      <c r="VJR1" s="404"/>
      <c r="VJS1" s="404"/>
      <c r="VJT1" s="405"/>
      <c r="VJU1" s="432" t="s">
        <v>41</v>
      </c>
      <c r="VJV1" s="404"/>
      <c r="VJW1" s="404"/>
      <c r="VJX1" s="404"/>
      <c r="VJY1" s="404"/>
      <c r="VJZ1" s="404"/>
      <c r="VKA1" s="404"/>
      <c r="VKB1" s="405"/>
      <c r="VKC1" s="432" t="s">
        <v>41</v>
      </c>
      <c r="VKD1" s="404"/>
      <c r="VKE1" s="404"/>
      <c r="VKF1" s="404"/>
      <c r="VKG1" s="404"/>
      <c r="VKH1" s="404"/>
      <c r="VKI1" s="404"/>
      <c r="VKJ1" s="405"/>
      <c r="VKK1" s="432" t="s">
        <v>41</v>
      </c>
      <c r="VKL1" s="404"/>
      <c r="VKM1" s="404"/>
      <c r="VKN1" s="404"/>
      <c r="VKO1" s="404"/>
      <c r="VKP1" s="404"/>
      <c r="VKQ1" s="404"/>
      <c r="VKR1" s="405"/>
      <c r="VKS1" s="432" t="s">
        <v>41</v>
      </c>
      <c r="VKT1" s="404"/>
      <c r="VKU1" s="404"/>
      <c r="VKV1" s="404"/>
      <c r="VKW1" s="404"/>
      <c r="VKX1" s="404"/>
      <c r="VKY1" s="404"/>
      <c r="VKZ1" s="405"/>
      <c r="VLA1" s="432" t="s">
        <v>41</v>
      </c>
      <c r="VLB1" s="404"/>
      <c r="VLC1" s="404"/>
      <c r="VLD1" s="404"/>
      <c r="VLE1" s="404"/>
      <c r="VLF1" s="404"/>
      <c r="VLG1" s="404"/>
      <c r="VLH1" s="405"/>
      <c r="VLI1" s="432" t="s">
        <v>41</v>
      </c>
      <c r="VLJ1" s="404"/>
      <c r="VLK1" s="404"/>
      <c r="VLL1" s="404"/>
      <c r="VLM1" s="404"/>
      <c r="VLN1" s="404"/>
      <c r="VLO1" s="404"/>
      <c r="VLP1" s="405"/>
      <c r="VLQ1" s="432" t="s">
        <v>41</v>
      </c>
      <c r="VLR1" s="404"/>
      <c r="VLS1" s="404"/>
      <c r="VLT1" s="404"/>
      <c r="VLU1" s="404"/>
      <c r="VLV1" s="404"/>
      <c r="VLW1" s="404"/>
      <c r="VLX1" s="405"/>
      <c r="VLY1" s="432" t="s">
        <v>41</v>
      </c>
      <c r="VLZ1" s="404"/>
      <c r="VMA1" s="404"/>
      <c r="VMB1" s="404"/>
      <c r="VMC1" s="404"/>
      <c r="VMD1" s="404"/>
      <c r="VME1" s="404"/>
      <c r="VMF1" s="405"/>
      <c r="VMG1" s="432" t="s">
        <v>41</v>
      </c>
      <c r="VMH1" s="404"/>
      <c r="VMI1" s="404"/>
      <c r="VMJ1" s="404"/>
      <c r="VMK1" s="404"/>
      <c r="VML1" s="404"/>
      <c r="VMM1" s="404"/>
      <c r="VMN1" s="405"/>
      <c r="VMO1" s="432" t="s">
        <v>41</v>
      </c>
      <c r="VMP1" s="404"/>
      <c r="VMQ1" s="404"/>
      <c r="VMR1" s="404"/>
      <c r="VMS1" s="404"/>
      <c r="VMT1" s="404"/>
      <c r="VMU1" s="404"/>
      <c r="VMV1" s="405"/>
      <c r="VMW1" s="432" t="s">
        <v>41</v>
      </c>
      <c r="VMX1" s="404"/>
      <c r="VMY1" s="404"/>
      <c r="VMZ1" s="404"/>
      <c r="VNA1" s="404"/>
      <c r="VNB1" s="404"/>
      <c r="VNC1" s="404"/>
      <c r="VND1" s="405"/>
      <c r="VNE1" s="432" t="s">
        <v>41</v>
      </c>
      <c r="VNF1" s="404"/>
      <c r="VNG1" s="404"/>
      <c r="VNH1" s="404"/>
      <c r="VNI1" s="404"/>
      <c r="VNJ1" s="404"/>
      <c r="VNK1" s="404"/>
      <c r="VNL1" s="405"/>
      <c r="VNM1" s="432" t="s">
        <v>41</v>
      </c>
      <c r="VNN1" s="404"/>
      <c r="VNO1" s="404"/>
      <c r="VNP1" s="404"/>
      <c r="VNQ1" s="404"/>
      <c r="VNR1" s="404"/>
      <c r="VNS1" s="404"/>
      <c r="VNT1" s="405"/>
      <c r="VNU1" s="432" t="s">
        <v>41</v>
      </c>
      <c r="VNV1" s="404"/>
      <c r="VNW1" s="404"/>
      <c r="VNX1" s="404"/>
      <c r="VNY1" s="404"/>
      <c r="VNZ1" s="404"/>
      <c r="VOA1" s="404"/>
      <c r="VOB1" s="405"/>
      <c r="VOC1" s="432" t="s">
        <v>41</v>
      </c>
      <c r="VOD1" s="404"/>
      <c r="VOE1" s="404"/>
      <c r="VOF1" s="404"/>
      <c r="VOG1" s="404"/>
      <c r="VOH1" s="404"/>
      <c r="VOI1" s="404"/>
      <c r="VOJ1" s="405"/>
      <c r="VOK1" s="432" t="s">
        <v>41</v>
      </c>
      <c r="VOL1" s="404"/>
      <c r="VOM1" s="404"/>
      <c r="VON1" s="404"/>
      <c r="VOO1" s="404"/>
      <c r="VOP1" s="404"/>
      <c r="VOQ1" s="404"/>
      <c r="VOR1" s="405"/>
      <c r="VOS1" s="432" t="s">
        <v>41</v>
      </c>
      <c r="VOT1" s="404"/>
      <c r="VOU1" s="404"/>
      <c r="VOV1" s="404"/>
      <c r="VOW1" s="404"/>
      <c r="VOX1" s="404"/>
      <c r="VOY1" s="404"/>
      <c r="VOZ1" s="405"/>
      <c r="VPA1" s="432" t="s">
        <v>41</v>
      </c>
      <c r="VPB1" s="404"/>
      <c r="VPC1" s="404"/>
      <c r="VPD1" s="404"/>
      <c r="VPE1" s="404"/>
      <c r="VPF1" s="404"/>
      <c r="VPG1" s="404"/>
      <c r="VPH1" s="405"/>
      <c r="VPI1" s="432" t="s">
        <v>41</v>
      </c>
      <c r="VPJ1" s="404"/>
      <c r="VPK1" s="404"/>
      <c r="VPL1" s="404"/>
      <c r="VPM1" s="404"/>
      <c r="VPN1" s="404"/>
      <c r="VPO1" s="404"/>
      <c r="VPP1" s="405"/>
      <c r="VPQ1" s="432" t="s">
        <v>41</v>
      </c>
      <c r="VPR1" s="404"/>
      <c r="VPS1" s="404"/>
      <c r="VPT1" s="404"/>
      <c r="VPU1" s="404"/>
      <c r="VPV1" s="404"/>
      <c r="VPW1" s="404"/>
      <c r="VPX1" s="405"/>
      <c r="VPY1" s="432" t="s">
        <v>41</v>
      </c>
      <c r="VPZ1" s="404"/>
      <c r="VQA1" s="404"/>
      <c r="VQB1" s="404"/>
      <c r="VQC1" s="404"/>
      <c r="VQD1" s="404"/>
      <c r="VQE1" s="404"/>
      <c r="VQF1" s="405"/>
      <c r="VQG1" s="432" t="s">
        <v>41</v>
      </c>
      <c r="VQH1" s="404"/>
      <c r="VQI1" s="404"/>
      <c r="VQJ1" s="404"/>
      <c r="VQK1" s="404"/>
      <c r="VQL1" s="404"/>
      <c r="VQM1" s="404"/>
      <c r="VQN1" s="405"/>
      <c r="VQO1" s="432" t="s">
        <v>41</v>
      </c>
      <c r="VQP1" s="404"/>
      <c r="VQQ1" s="404"/>
      <c r="VQR1" s="404"/>
      <c r="VQS1" s="404"/>
      <c r="VQT1" s="404"/>
      <c r="VQU1" s="404"/>
      <c r="VQV1" s="405"/>
      <c r="VQW1" s="432" t="s">
        <v>41</v>
      </c>
      <c r="VQX1" s="404"/>
      <c r="VQY1" s="404"/>
      <c r="VQZ1" s="404"/>
      <c r="VRA1" s="404"/>
      <c r="VRB1" s="404"/>
      <c r="VRC1" s="404"/>
      <c r="VRD1" s="405"/>
      <c r="VRE1" s="432" t="s">
        <v>41</v>
      </c>
      <c r="VRF1" s="404"/>
      <c r="VRG1" s="404"/>
      <c r="VRH1" s="404"/>
      <c r="VRI1" s="404"/>
      <c r="VRJ1" s="404"/>
      <c r="VRK1" s="404"/>
      <c r="VRL1" s="405"/>
      <c r="VRM1" s="432" t="s">
        <v>41</v>
      </c>
      <c r="VRN1" s="404"/>
      <c r="VRO1" s="404"/>
      <c r="VRP1" s="404"/>
      <c r="VRQ1" s="404"/>
      <c r="VRR1" s="404"/>
      <c r="VRS1" s="404"/>
      <c r="VRT1" s="405"/>
      <c r="VRU1" s="432" t="s">
        <v>41</v>
      </c>
      <c r="VRV1" s="404"/>
      <c r="VRW1" s="404"/>
      <c r="VRX1" s="404"/>
      <c r="VRY1" s="404"/>
      <c r="VRZ1" s="404"/>
      <c r="VSA1" s="404"/>
      <c r="VSB1" s="405"/>
      <c r="VSC1" s="432" t="s">
        <v>41</v>
      </c>
      <c r="VSD1" s="404"/>
      <c r="VSE1" s="404"/>
      <c r="VSF1" s="404"/>
      <c r="VSG1" s="404"/>
      <c r="VSH1" s="404"/>
      <c r="VSI1" s="404"/>
      <c r="VSJ1" s="405"/>
      <c r="VSK1" s="432" t="s">
        <v>41</v>
      </c>
      <c r="VSL1" s="404"/>
      <c r="VSM1" s="404"/>
      <c r="VSN1" s="404"/>
      <c r="VSO1" s="404"/>
      <c r="VSP1" s="404"/>
      <c r="VSQ1" s="404"/>
      <c r="VSR1" s="405"/>
      <c r="VSS1" s="432" t="s">
        <v>41</v>
      </c>
      <c r="VST1" s="404"/>
      <c r="VSU1" s="404"/>
      <c r="VSV1" s="404"/>
      <c r="VSW1" s="404"/>
      <c r="VSX1" s="404"/>
      <c r="VSY1" s="404"/>
      <c r="VSZ1" s="405"/>
      <c r="VTA1" s="432" t="s">
        <v>41</v>
      </c>
      <c r="VTB1" s="404"/>
      <c r="VTC1" s="404"/>
      <c r="VTD1" s="404"/>
      <c r="VTE1" s="404"/>
      <c r="VTF1" s="404"/>
      <c r="VTG1" s="404"/>
      <c r="VTH1" s="405"/>
      <c r="VTI1" s="432" t="s">
        <v>41</v>
      </c>
      <c r="VTJ1" s="404"/>
      <c r="VTK1" s="404"/>
      <c r="VTL1" s="404"/>
      <c r="VTM1" s="404"/>
      <c r="VTN1" s="404"/>
      <c r="VTO1" s="404"/>
      <c r="VTP1" s="405"/>
      <c r="VTQ1" s="432" t="s">
        <v>41</v>
      </c>
      <c r="VTR1" s="404"/>
      <c r="VTS1" s="404"/>
      <c r="VTT1" s="404"/>
      <c r="VTU1" s="404"/>
      <c r="VTV1" s="404"/>
      <c r="VTW1" s="404"/>
      <c r="VTX1" s="405"/>
      <c r="VTY1" s="432" t="s">
        <v>41</v>
      </c>
      <c r="VTZ1" s="404"/>
      <c r="VUA1" s="404"/>
      <c r="VUB1" s="404"/>
      <c r="VUC1" s="404"/>
      <c r="VUD1" s="404"/>
      <c r="VUE1" s="404"/>
      <c r="VUF1" s="405"/>
      <c r="VUG1" s="432" t="s">
        <v>41</v>
      </c>
      <c r="VUH1" s="404"/>
      <c r="VUI1" s="404"/>
      <c r="VUJ1" s="404"/>
      <c r="VUK1" s="404"/>
      <c r="VUL1" s="404"/>
      <c r="VUM1" s="404"/>
      <c r="VUN1" s="405"/>
      <c r="VUO1" s="432" t="s">
        <v>41</v>
      </c>
      <c r="VUP1" s="404"/>
      <c r="VUQ1" s="404"/>
      <c r="VUR1" s="404"/>
      <c r="VUS1" s="404"/>
      <c r="VUT1" s="404"/>
      <c r="VUU1" s="404"/>
      <c r="VUV1" s="405"/>
      <c r="VUW1" s="432" t="s">
        <v>41</v>
      </c>
      <c r="VUX1" s="404"/>
      <c r="VUY1" s="404"/>
      <c r="VUZ1" s="404"/>
      <c r="VVA1" s="404"/>
      <c r="VVB1" s="404"/>
      <c r="VVC1" s="404"/>
      <c r="VVD1" s="405"/>
      <c r="VVE1" s="432" t="s">
        <v>41</v>
      </c>
      <c r="VVF1" s="404"/>
      <c r="VVG1" s="404"/>
      <c r="VVH1" s="404"/>
      <c r="VVI1" s="404"/>
      <c r="VVJ1" s="404"/>
      <c r="VVK1" s="404"/>
      <c r="VVL1" s="405"/>
      <c r="VVM1" s="432" t="s">
        <v>41</v>
      </c>
      <c r="VVN1" s="404"/>
      <c r="VVO1" s="404"/>
      <c r="VVP1" s="404"/>
      <c r="VVQ1" s="404"/>
      <c r="VVR1" s="404"/>
      <c r="VVS1" s="404"/>
      <c r="VVT1" s="405"/>
      <c r="VVU1" s="432" t="s">
        <v>41</v>
      </c>
      <c r="VVV1" s="404"/>
      <c r="VVW1" s="404"/>
      <c r="VVX1" s="404"/>
      <c r="VVY1" s="404"/>
      <c r="VVZ1" s="404"/>
      <c r="VWA1" s="404"/>
      <c r="VWB1" s="405"/>
      <c r="VWC1" s="432" t="s">
        <v>41</v>
      </c>
      <c r="VWD1" s="404"/>
      <c r="VWE1" s="404"/>
      <c r="VWF1" s="404"/>
      <c r="VWG1" s="404"/>
      <c r="VWH1" s="404"/>
      <c r="VWI1" s="404"/>
      <c r="VWJ1" s="405"/>
      <c r="VWK1" s="432" t="s">
        <v>41</v>
      </c>
      <c r="VWL1" s="404"/>
      <c r="VWM1" s="404"/>
      <c r="VWN1" s="404"/>
      <c r="VWO1" s="404"/>
      <c r="VWP1" s="404"/>
      <c r="VWQ1" s="404"/>
      <c r="VWR1" s="405"/>
      <c r="VWS1" s="432" t="s">
        <v>41</v>
      </c>
      <c r="VWT1" s="404"/>
      <c r="VWU1" s="404"/>
      <c r="VWV1" s="404"/>
      <c r="VWW1" s="404"/>
      <c r="VWX1" s="404"/>
      <c r="VWY1" s="404"/>
      <c r="VWZ1" s="405"/>
      <c r="VXA1" s="432" t="s">
        <v>41</v>
      </c>
      <c r="VXB1" s="404"/>
      <c r="VXC1" s="404"/>
      <c r="VXD1" s="404"/>
      <c r="VXE1" s="404"/>
      <c r="VXF1" s="404"/>
      <c r="VXG1" s="404"/>
      <c r="VXH1" s="405"/>
      <c r="VXI1" s="432" t="s">
        <v>41</v>
      </c>
      <c r="VXJ1" s="404"/>
      <c r="VXK1" s="404"/>
      <c r="VXL1" s="404"/>
      <c r="VXM1" s="404"/>
      <c r="VXN1" s="404"/>
      <c r="VXO1" s="404"/>
      <c r="VXP1" s="405"/>
      <c r="VXQ1" s="432" t="s">
        <v>41</v>
      </c>
      <c r="VXR1" s="404"/>
      <c r="VXS1" s="404"/>
      <c r="VXT1" s="404"/>
      <c r="VXU1" s="404"/>
      <c r="VXV1" s="404"/>
      <c r="VXW1" s="404"/>
      <c r="VXX1" s="405"/>
      <c r="VXY1" s="432" t="s">
        <v>41</v>
      </c>
      <c r="VXZ1" s="404"/>
      <c r="VYA1" s="404"/>
      <c r="VYB1" s="404"/>
      <c r="VYC1" s="404"/>
      <c r="VYD1" s="404"/>
      <c r="VYE1" s="404"/>
      <c r="VYF1" s="405"/>
      <c r="VYG1" s="432" t="s">
        <v>41</v>
      </c>
      <c r="VYH1" s="404"/>
      <c r="VYI1" s="404"/>
      <c r="VYJ1" s="404"/>
      <c r="VYK1" s="404"/>
      <c r="VYL1" s="404"/>
      <c r="VYM1" s="404"/>
      <c r="VYN1" s="405"/>
      <c r="VYO1" s="432" t="s">
        <v>41</v>
      </c>
      <c r="VYP1" s="404"/>
      <c r="VYQ1" s="404"/>
      <c r="VYR1" s="404"/>
      <c r="VYS1" s="404"/>
      <c r="VYT1" s="404"/>
      <c r="VYU1" s="404"/>
      <c r="VYV1" s="405"/>
      <c r="VYW1" s="432" t="s">
        <v>41</v>
      </c>
      <c r="VYX1" s="404"/>
      <c r="VYY1" s="404"/>
      <c r="VYZ1" s="404"/>
      <c r="VZA1" s="404"/>
      <c r="VZB1" s="404"/>
      <c r="VZC1" s="404"/>
      <c r="VZD1" s="405"/>
      <c r="VZE1" s="432" t="s">
        <v>41</v>
      </c>
      <c r="VZF1" s="404"/>
      <c r="VZG1" s="404"/>
      <c r="VZH1" s="404"/>
      <c r="VZI1" s="404"/>
      <c r="VZJ1" s="404"/>
      <c r="VZK1" s="404"/>
      <c r="VZL1" s="405"/>
      <c r="VZM1" s="432" t="s">
        <v>41</v>
      </c>
      <c r="VZN1" s="404"/>
      <c r="VZO1" s="404"/>
      <c r="VZP1" s="404"/>
      <c r="VZQ1" s="404"/>
      <c r="VZR1" s="404"/>
      <c r="VZS1" s="404"/>
      <c r="VZT1" s="405"/>
      <c r="VZU1" s="432" t="s">
        <v>41</v>
      </c>
      <c r="VZV1" s="404"/>
      <c r="VZW1" s="404"/>
      <c r="VZX1" s="404"/>
      <c r="VZY1" s="404"/>
      <c r="VZZ1" s="404"/>
      <c r="WAA1" s="404"/>
      <c r="WAB1" s="405"/>
      <c r="WAC1" s="432" t="s">
        <v>41</v>
      </c>
      <c r="WAD1" s="404"/>
      <c r="WAE1" s="404"/>
      <c r="WAF1" s="404"/>
      <c r="WAG1" s="404"/>
      <c r="WAH1" s="404"/>
      <c r="WAI1" s="404"/>
      <c r="WAJ1" s="405"/>
      <c r="WAK1" s="432" t="s">
        <v>41</v>
      </c>
      <c r="WAL1" s="404"/>
      <c r="WAM1" s="404"/>
      <c r="WAN1" s="404"/>
      <c r="WAO1" s="404"/>
      <c r="WAP1" s="404"/>
      <c r="WAQ1" s="404"/>
      <c r="WAR1" s="405"/>
      <c r="WAS1" s="432" t="s">
        <v>41</v>
      </c>
      <c r="WAT1" s="404"/>
      <c r="WAU1" s="404"/>
      <c r="WAV1" s="404"/>
      <c r="WAW1" s="404"/>
      <c r="WAX1" s="404"/>
      <c r="WAY1" s="404"/>
      <c r="WAZ1" s="405"/>
      <c r="WBA1" s="432" t="s">
        <v>41</v>
      </c>
      <c r="WBB1" s="404"/>
      <c r="WBC1" s="404"/>
      <c r="WBD1" s="404"/>
      <c r="WBE1" s="404"/>
      <c r="WBF1" s="404"/>
      <c r="WBG1" s="404"/>
      <c r="WBH1" s="405"/>
      <c r="WBI1" s="432" t="s">
        <v>41</v>
      </c>
      <c r="WBJ1" s="404"/>
      <c r="WBK1" s="404"/>
      <c r="WBL1" s="404"/>
      <c r="WBM1" s="404"/>
      <c r="WBN1" s="404"/>
      <c r="WBO1" s="404"/>
      <c r="WBP1" s="405"/>
      <c r="WBQ1" s="432" t="s">
        <v>41</v>
      </c>
      <c r="WBR1" s="404"/>
      <c r="WBS1" s="404"/>
      <c r="WBT1" s="404"/>
      <c r="WBU1" s="404"/>
      <c r="WBV1" s="404"/>
      <c r="WBW1" s="404"/>
      <c r="WBX1" s="405"/>
      <c r="WBY1" s="432" t="s">
        <v>41</v>
      </c>
      <c r="WBZ1" s="404"/>
      <c r="WCA1" s="404"/>
      <c r="WCB1" s="404"/>
      <c r="WCC1" s="404"/>
      <c r="WCD1" s="404"/>
      <c r="WCE1" s="404"/>
      <c r="WCF1" s="405"/>
      <c r="WCG1" s="432" t="s">
        <v>41</v>
      </c>
      <c r="WCH1" s="404"/>
      <c r="WCI1" s="404"/>
      <c r="WCJ1" s="404"/>
      <c r="WCK1" s="404"/>
      <c r="WCL1" s="404"/>
      <c r="WCM1" s="404"/>
      <c r="WCN1" s="405"/>
      <c r="WCO1" s="432" t="s">
        <v>41</v>
      </c>
      <c r="WCP1" s="404"/>
      <c r="WCQ1" s="404"/>
      <c r="WCR1" s="404"/>
      <c r="WCS1" s="404"/>
      <c r="WCT1" s="404"/>
      <c r="WCU1" s="404"/>
      <c r="WCV1" s="405"/>
      <c r="WCW1" s="432" t="s">
        <v>41</v>
      </c>
      <c r="WCX1" s="404"/>
      <c r="WCY1" s="404"/>
      <c r="WCZ1" s="404"/>
      <c r="WDA1" s="404"/>
      <c r="WDB1" s="404"/>
      <c r="WDC1" s="404"/>
      <c r="WDD1" s="405"/>
      <c r="WDE1" s="432" t="s">
        <v>41</v>
      </c>
      <c r="WDF1" s="404"/>
      <c r="WDG1" s="404"/>
      <c r="WDH1" s="404"/>
      <c r="WDI1" s="404"/>
      <c r="WDJ1" s="404"/>
      <c r="WDK1" s="404"/>
      <c r="WDL1" s="405"/>
      <c r="WDM1" s="432" t="s">
        <v>41</v>
      </c>
      <c r="WDN1" s="404"/>
      <c r="WDO1" s="404"/>
      <c r="WDP1" s="404"/>
      <c r="WDQ1" s="404"/>
      <c r="WDR1" s="404"/>
      <c r="WDS1" s="404"/>
      <c r="WDT1" s="405"/>
      <c r="WDU1" s="432" t="s">
        <v>41</v>
      </c>
      <c r="WDV1" s="404"/>
      <c r="WDW1" s="404"/>
      <c r="WDX1" s="404"/>
      <c r="WDY1" s="404"/>
      <c r="WDZ1" s="404"/>
      <c r="WEA1" s="404"/>
      <c r="WEB1" s="405"/>
      <c r="WEC1" s="432" t="s">
        <v>41</v>
      </c>
      <c r="WED1" s="404"/>
      <c r="WEE1" s="404"/>
      <c r="WEF1" s="404"/>
      <c r="WEG1" s="404"/>
      <c r="WEH1" s="404"/>
      <c r="WEI1" s="404"/>
      <c r="WEJ1" s="405"/>
      <c r="WEK1" s="432" t="s">
        <v>41</v>
      </c>
      <c r="WEL1" s="404"/>
      <c r="WEM1" s="404"/>
      <c r="WEN1" s="404"/>
      <c r="WEO1" s="404"/>
      <c r="WEP1" s="404"/>
      <c r="WEQ1" s="404"/>
      <c r="WER1" s="405"/>
      <c r="WES1" s="432" t="s">
        <v>41</v>
      </c>
      <c r="WET1" s="404"/>
      <c r="WEU1" s="404"/>
      <c r="WEV1" s="404"/>
      <c r="WEW1" s="404"/>
      <c r="WEX1" s="404"/>
      <c r="WEY1" s="404"/>
      <c r="WEZ1" s="405"/>
      <c r="WFA1" s="432" t="s">
        <v>41</v>
      </c>
      <c r="WFB1" s="404"/>
      <c r="WFC1" s="404"/>
      <c r="WFD1" s="404"/>
      <c r="WFE1" s="404"/>
      <c r="WFF1" s="404"/>
      <c r="WFG1" s="404"/>
      <c r="WFH1" s="405"/>
      <c r="WFI1" s="432" t="s">
        <v>41</v>
      </c>
      <c r="WFJ1" s="404"/>
      <c r="WFK1" s="404"/>
      <c r="WFL1" s="404"/>
      <c r="WFM1" s="404"/>
      <c r="WFN1" s="404"/>
      <c r="WFO1" s="404"/>
      <c r="WFP1" s="405"/>
      <c r="WFQ1" s="432" t="s">
        <v>41</v>
      </c>
      <c r="WFR1" s="404"/>
      <c r="WFS1" s="404"/>
      <c r="WFT1" s="404"/>
      <c r="WFU1" s="404"/>
      <c r="WFV1" s="404"/>
      <c r="WFW1" s="404"/>
      <c r="WFX1" s="405"/>
      <c r="WFY1" s="432" t="s">
        <v>41</v>
      </c>
      <c r="WFZ1" s="404"/>
      <c r="WGA1" s="404"/>
      <c r="WGB1" s="404"/>
      <c r="WGC1" s="404"/>
      <c r="WGD1" s="404"/>
      <c r="WGE1" s="404"/>
      <c r="WGF1" s="405"/>
      <c r="WGG1" s="432" t="s">
        <v>41</v>
      </c>
      <c r="WGH1" s="404"/>
      <c r="WGI1" s="404"/>
      <c r="WGJ1" s="404"/>
      <c r="WGK1" s="404"/>
      <c r="WGL1" s="404"/>
      <c r="WGM1" s="404"/>
      <c r="WGN1" s="405"/>
      <c r="WGO1" s="432" t="s">
        <v>41</v>
      </c>
      <c r="WGP1" s="404"/>
      <c r="WGQ1" s="404"/>
      <c r="WGR1" s="404"/>
      <c r="WGS1" s="404"/>
      <c r="WGT1" s="404"/>
      <c r="WGU1" s="404"/>
      <c r="WGV1" s="405"/>
      <c r="WGW1" s="432" t="s">
        <v>41</v>
      </c>
      <c r="WGX1" s="404"/>
      <c r="WGY1" s="404"/>
      <c r="WGZ1" s="404"/>
      <c r="WHA1" s="404"/>
      <c r="WHB1" s="404"/>
      <c r="WHC1" s="404"/>
      <c r="WHD1" s="405"/>
      <c r="WHE1" s="432" t="s">
        <v>41</v>
      </c>
      <c r="WHF1" s="404"/>
      <c r="WHG1" s="404"/>
      <c r="WHH1" s="404"/>
      <c r="WHI1" s="404"/>
      <c r="WHJ1" s="404"/>
      <c r="WHK1" s="404"/>
      <c r="WHL1" s="405"/>
      <c r="WHM1" s="432" t="s">
        <v>41</v>
      </c>
      <c r="WHN1" s="404"/>
      <c r="WHO1" s="404"/>
      <c r="WHP1" s="404"/>
      <c r="WHQ1" s="404"/>
      <c r="WHR1" s="404"/>
      <c r="WHS1" s="404"/>
      <c r="WHT1" s="405"/>
      <c r="WHU1" s="432" t="s">
        <v>41</v>
      </c>
      <c r="WHV1" s="404"/>
      <c r="WHW1" s="404"/>
      <c r="WHX1" s="404"/>
      <c r="WHY1" s="404"/>
      <c r="WHZ1" s="404"/>
      <c r="WIA1" s="404"/>
      <c r="WIB1" s="405"/>
      <c r="WIC1" s="432" t="s">
        <v>41</v>
      </c>
      <c r="WID1" s="404"/>
      <c r="WIE1" s="404"/>
      <c r="WIF1" s="404"/>
      <c r="WIG1" s="404"/>
      <c r="WIH1" s="404"/>
      <c r="WII1" s="404"/>
      <c r="WIJ1" s="405"/>
      <c r="WIK1" s="432" t="s">
        <v>41</v>
      </c>
      <c r="WIL1" s="404"/>
      <c r="WIM1" s="404"/>
      <c r="WIN1" s="404"/>
      <c r="WIO1" s="404"/>
      <c r="WIP1" s="404"/>
      <c r="WIQ1" s="404"/>
      <c r="WIR1" s="405"/>
      <c r="WIS1" s="432" t="s">
        <v>41</v>
      </c>
      <c r="WIT1" s="404"/>
      <c r="WIU1" s="404"/>
      <c r="WIV1" s="404"/>
      <c r="WIW1" s="404"/>
      <c r="WIX1" s="404"/>
      <c r="WIY1" s="404"/>
      <c r="WIZ1" s="405"/>
      <c r="WJA1" s="432" t="s">
        <v>41</v>
      </c>
      <c r="WJB1" s="404"/>
      <c r="WJC1" s="404"/>
      <c r="WJD1" s="404"/>
      <c r="WJE1" s="404"/>
      <c r="WJF1" s="404"/>
      <c r="WJG1" s="404"/>
      <c r="WJH1" s="405"/>
      <c r="WJI1" s="432" t="s">
        <v>41</v>
      </c>
      <c r="WJJ1" s="404"/>
      <c r="WJK1" s="404"/>
      <c r="WJL1" s="404"/>
      <c r="WJM1" s="404"/>
      <c r="WJN1" s="404"/>
      <c r="WJO1" s="404"/>
      <c r="WJP1" s="405"/>
      <c r="WJQ1" s="432" t="s">
        <v>41</v>
      </c>
      <c r="WJR1" s="404"/>
      <c r="WJS1" s="404"/>
      <c r="WJT1" s="404"/>
      <c r="WJU1" s="404"/>
      <c r="WJV1" s="404"/>
      <c r="WJW1" s="404"/>
      <c r="WJX1" s="405"/>
      <c r="WJY1" s="432" t="s">
        <v>41</v>
      </c>
      <c r="WJZ1" s="404"/>
      <c r="WKA1" s="404"/>
      <c r="WKB1" s="404"/>
      <c r="WKC1" s="404"/>
      <c r="WKD1" s="404"/>
      <c r="WKE1" s="404"/>
      <c r="WKF1" s="405"/>
      <c r="WKG1" s="432" t="s">
        <v>41</v>
      </c>
      <c r="WKH1" s="404"/>
      <c r="WKI1" s="404"/>
      <c r="WKJ1" s="404"/>
      <c r="WKK1" s="404"/>
      <c r="WKL1" s="404"/>
      <c r="WKM1" s="404"/>
      <c r="WKN1" s="405"/>
      <c r="WKO1" s="432" t="s">
        <v>41</v>
      </c>
      <c r="WKP1" s="404"/>
      <c r="WKQ1" s="404"/>
      <c r="WKR1" s="404"/>
      <c r="WKS1" s="404"/>
      <c r="WKT1" s="404"/>
      <c r="WKU1" s="404"/>
      <c r="WKV1" s="405"/>
      <c r="WKW1" s="432" t="s">
        <v>41</v>
      </c>
      <c r="WKX1" s="404"/>
      <c r="WKY1" s="404"/>
      <c r="WKZ1" s="404"/>
      <c r="WLA1" s="404"/>
      <c r="WLB1" s="404"/>
      <c r="WLC1" s="404"/>
      <c r="WLD1" s="405"/>
      <c r="WLE1" s="432" t="s">
        <v>41</v>
      </c>
      <c r="WLF1" s="404"/>
      <c r="WLG1" s="404"/>
      <c r="WLH1" s="404"/>
      <c r="WLI1" s="404"/>
      <c r="WLJ1" s="404"/>
      <c r="WLK1" s="404"/>
      <c r="WLL1" s="405"/>
      <c r="WLM1" s="432" t="s">
        <v>41</v>
      </c>
      <c r="WLN1" s="404"/>
      <c r="WLO1" s="404"/>
      <c r="WLP1" s="404"/>
      <c r="WLQ1" s="404"/>
      <c r="WLR1" s="404"/>
      <c r="WLS1" s="404"/>
      <c r="WLT1" s="405"/>
      <c r="WLU1" s="432" t="s">
        <v>41</v>
      </c>
      <c r="WLV1" s="404"/>
      <c r="WLW1" s="404"/>
      <c r="WLX1" s="404"/>
      <c r="WLY1" s="404"/>
      <c r="WLZ1" s="404"/>
      <c r="WMA1" s="404"/>
      <c r="WMB1" s="405"/>
      <c r="WMC1" s="432" t="s">
        <v>41</v>
      </c>
      <c r="WMD1" s="404"/>
      <c r="WME1" s="404"/>
      <c r="WMF1" s="404"/>
      <c r="WMG1" s="404"/>
      <c r="WMH1" s="404"/>
      <c r="WMI1" s="404"/>
      <c r="WMJ1" s="405"/>
      <c r="WMK1" s="432" t="s">
        <v>41</v>
      </c>
      <c r="WML1" s="404"/>
      <c r="WMM1" s="404"/>
      <c r="WMN1" s="404"/>
      <c r="WMO1" s="404"/>
      <c r="WMP1" s="404"/>
      <c r="WMQ1" s="404"/>
      <c r="WMR1" s="405"/>
      <c r="WMS1" s="432" t="s">
        <v>41</v>
      </c>
      <c r="WMT1" s="404"/>
      <c r="WMU1" s="404"/>
      <c r="WMV1" s="404"/>
      <c r="WMW1" s="404"/>
      <c r="WMX1" s="404"/>
      <c r="WMY1" s="404"/>
      <c r="WMZ1" s="405"/>
      <c r="WNA1" s="432" t="s">
        <v>41</v>
      </c>
      <c r="WNB1" s="404"/>
      <c r="WNC1" s="404"/>
      <c r="WND1" s="404"/>
      <c r="WNE1" s="404"/>
      <c r="WNF1" s="404"/>
      <c r="WNG1" s="404"/>
      <c r="WNH1" s="405"/>
      <c r="WNI1" s="432" t="s">
        <v>41</v>
      </c>
      <c r="WNJ1" s="404"/>
      <c r="WNK1" s="404"/>
      <c r="WNL1" s="404"/>
      <c r="WNM1" s="404"/>
      <c r="WNN1" s="404"/>
      <c r="WNO1" s="404"/>
      <c r="WNP1" s="405"/>
      <c r="WNQ1" s="432" t="s">
        <v>41</v>
      </c>
      <c r="WNR1" s="404"/>
      <c r="WNS1" s="404"/>
      <c r="WNT1" s="404"/>
      <c r="WNU1" s="404"/>
      <c r="WNV1" s="404"/>
      <c r="WNW1" s="404"/>
      <c r="WNX1" s="405"/>
      <c r="WNY1" s="432" t="s">
        <v>41</v>
      </c>
      <c r="WNZ1" s="404"/>
      <c r="WOA1" s="404"/>
      <c r="WOB1" s="404"/>
      <c r="WOC1" s="404"/>
      <c r="WOD1" s="404"/>
      <c r="WOE1" s="404"/>
      <c r="WOF1" s="405"/>
      <c r="WOG1" s="432" t="s">
        <v>41</v>
      </c>
      <c r="WOH1" s="404"/>
      <c r="WOI1" s="404"/>
      <c r="WOJ1" s="404"/>
      <c r="WOK1" s="404"/>
      <c r="WOL1" s="404"/>
      <c r="WOM1" s="404"/>
      <c r="WON1" s="405"/>
      <c r="WOO1" s="432" t="s">
        <v>41</v>
      </c>
      <c r="WOP1" s="404"/>
      <c r="WOQ1" s="404"/>
      <c r="WOR1" s="404"/>
      <c r="WOS1" s="404"/>
      <c r="WOT1" s="404"/>
      <c r="WOU1" s="404"/>
      <c r="WOV1" s="405"/>
      <c r="WOW1" s="432" t="s">
        <v>41</v>
      </c>
      <c r="WOX1" s="404"/>
      <c r="WOY1" s="404"/>
      <c r="WOZ1" s="404"/>
      <c r="WPA1" s="404"/>
      <c r="WPB1" s="404"/>
      <c r="WPC1" s="404"/>
      <c r="WPD1" s="405"/>
      <c r="WPE1" s="432" t="s">
        <v>41</v>
      </c>
      <c r="WPF1" s="404"/>
      <c r="WPG1" s="404"/>
      <c r="WPH1" s="404"/>
      <c r="WPI1" s="404"/>
      <c r="WPJ1" s="404"/>
      <c r="WPK1" s="404"/>
      <c r="WPL1" s="405"/>
      <c r="WPM1" s="432" t="s">
        <v>41</v>
      </c>
      <c r="WPN1" s="404"/>
      <c r="WPO1" s="404"/>
      <c r="WPP1" s="404"/>
      <c r="WPQ1" s="404"/>
      <c r="WPR1" s="404"/>
      <c r="WPS1" s="404"/>
      <c r="WPT1" s="405"/>
      <c r="WPU1" s="432" t="s">
        <v>41</v>
      </c>
      <c r="WPV1" s="404"/>
      <c r="WPW1" s="404"/>
      <c r="WPX1" s="404"/>
      <c r="WPY1" s="404"/>
      <c r="WPZ1" s="404"/>
      <c r="WQA1" s="404"/>
      <c r="WQB1" s="405"/>
      <c r="WQC1" s="432" t="s">
        <v>41</v>
      </c>
      <c r="WQD1" s="404"/>
      <c r="WQE1" s="404"/>
      <c r="WQF1" s="404"/>
      <c r="WQG1" s="404"/>
      <c r="WQH1" s="404"/>
      <c r="WQI1" s="404"/>
      <c r="WQJ1" s="405"/>
      <c r="WQK1" s="432" t="s">
        <v>41</v>
      </c>
      <c r="WQL1" s="404"/>
      <c r="WQM1" s="404"/>
      <c r="WQN1" s="404"/>
      <c r="WQO1" s="404"/>
      <c r="WQP1" s="404"/>
      <c r="WQQ1" s="404"/>
      <c r="WQR1" s="405"/>
      <c r="WQS1" s="432" t="s">
        <v>41</v>
      </c>
      <c r="WQT1" s="404"/>
      <c r="WQU1" s="404"/>
      <c r="WQV1" s="404"/>
      <c r="WQW1" s="404"/>
      <c r="WQX1" s="404"/>
      <c r="WQY1" s="404"/>
      <c r="WQZ1" s="405"/>
      <c r="WRA1" s="432" t="s">
        <v>41</v>
      </c>
      <c r="WRB1" s="404"/>
      <c r="WRC1" s="404"/>
      <c r="WRD1" s="404"/>
      <c r="WRE1" s="404"/>
      <c r="WRF1" s="404"/>
      <c r="WRG1" s="404"/>
      <c r="WRH1" s="405"/>
      <c r="WRI1" s="432" t="s">
        <v>41</v>
      </c>
      <c r="WRJ1" s="404"/>
      <c r="WRK1" s="404"/>
      <c r="WRL1" s="404"/>
      <c r="WRM1" s="404"/>
      <c r="WRN1" s="404"/>
      <c r="WRO1" s="404"/>
      <c r="WRP1" s="405"/>
      <c r="WRQ1" s="432" t="s">
        <v>41</v>
      </c>
      <c r="WRR1" s="404"/>
      <c r="WRS1" s="404"/>
      <c r="WRT1" s="404"/>
      <c r="WRU1" s="404"/>
      <c r="WRV1" s="404"/>
      <c r="WRW1" s="404"/>
      <c r="WRX1" s="405"/>
      <c r="WRY1" s="432" t="s">
        <v>41</v>
      </c>
      <c r="WRZ1" s="404"/>
      <c r="WSA1" s="404"/>
      <c r="WSB1" s="404"/>
      <c r="WSC1" s="404"/>
      <c r="WSD1" s="404"/>
      <c r="WSE1" s="404"/>
      <c r="WSF1" s="405"/>
      <c r="WSG1" s="432" t="s">
        <v>41</v>
      </c>
      <c r="WSH1" s="404"/>
      <c r="WSI1" s="404"/>
      <c r="WSJ1" s="404"/>
      <c r="WSK1" s="404"/>
      <c r="WSL1" s="404"/>
      <c r="WSM1" s="404"/>
      <c r="WSN1" s="405"/>
      <c r="WSO1" s="432" t="s">
        <v>41</v>
      </c>
      <c r="WSP1" s="404"/>
      <c r="WSQ1" s="404"/>
      <c r="WSR1" s="404"/>
      <c r="WSS1" s="404"/>
      <c r="WST1" s="404"/>
      <c r="WSU1" s="404"/>
      <c r="WSV1" s="405"/>
      <c r="WSW1" s="432" t="s">
        <v>41</v>
      </c>
      <c r="WSX1" s="404"/>
      <c r="WSY1" s="404"/>
      <c r="WSZ1" s="404"/>
      <c r="WTA1" s="404"/>
      <c r="WTB1" s="404"/>
      <c r="WTC1" s="404"/>
      <c r="WTD1" s="405"/>
      <c r="WTE1" s="432" t="s">
        <v>41</v>
      </c>
      <c r="WTF1" s="404"/>
      <c r="WTG1" s="404"/>
      <c r="WTH1" s="404"/>
      <c r="WTI1" s="404"/>
      <c r="WTJ1" s="404"/>
      <c r="WTK1" s="404"/>
      <c r="WTL1" s="405"/>
      <c r="WTM1" s="432" t="s">
        <v>41</v>
      </c>
      <c r="WTN1" s="404"/>
      <c r="WTO1" s="404"/>
      <c r="WTP1" s="404"/>
      <c r="WTQ1" s="404"/>
      <c r="WTR1" s="404"/>
      <c r="WTS1" s="404"/>
      <c r="WTT1" s="405"/>
      <c r="WTU1" s="432" t="s">
        <v>41</v>
      </c>
      <c r="WTV1" s="404"/>
      <c r="WTW1" s="404"/>
      <c r="WTX1" s="404"/>
      <c r="WTY1" s="404"/>
      <c r="WTZ1" s="404"/>
      <c r="WUA1" s="404"/>
      <c r="WUB1" s="405"/>
      <c r="WUC1" s="432" t="s">
        <v>41</v>
      </c>
      <c r="WUD1" s="404"/>
      <c r="WUE1" s="404"/>
      <c r="WUF1" s="404"/>
      <c r="WUG1" s="404"/>
      <c r="WUH1" s="404"/>
      <c r="WUI1" s="404"/>
      <c r="WUJ1" s="405"/>
      <c r="WUK1" s="432" t="s">
        <v>41</v>
      </c>
      <c r="WUL1" s="404"/>
      <c r="WUM1" s="404"/>
      <c r="WUN1" s="404"/>
      <c r="WUO1" s="404"/>
      <c r="WUP1" s="404"/>
      <c r="WUQ1" s="404"/>
      <c r="WUR1" s="405"/>
      <c r="WUS1" s="432" t="s">
        <v>41</v>
      </c>
      <c r="WUT1" s="404"/>
      <c r="WUU1" s="404"/>
      <c r="WUV1" s="404"/>
      <c r="WUW1" s="404"/>
      <c r="WUX1" s="404"/>
      <c r="WUY1" s="404"/>
      <c r="WUZ1" s="405"/>
      <c r="WVA1" s="432" t="s">
        <v>41</v>
      </c>
      <c r="WVB1" s="404"/>
      <c r="WVC1" s="404"/>
      <c r="WVD1" s="404"/>
      <c r="WVE1" s="404"/>
      <c r="WVF1" s="404"/>
      <c r="WVG1" s="404"/>
      <c r="WVH1" s="405"/>
      <c r="WVI1" s="432" t="s">
        <v>41</v>
      </c>
      <c r="WVJ1" s="404"/>
      <c r="WVK1" s="404"/>
      <c r="WVL1" s="404"/>
      <c r="WVM1" s="404"/>
      <c r="WVN1" s="404"/>
      <c r="WVO1" s="404"/>
      <c r="WVP1" s="405"/>
      <c r="WVQ1" s="432" t="s">
        <v>41</v>
      </c>
      <c r="WVR1" s="404"/>
      <c r="WVS1" s="404"/>
      <c r="WVT1" s="404"/>
      <c r="WVU1" s="404"/>
      <c r="WVV1" s="404"/>
      <c r="WVW1" s="404"/>
      <c r="WVX1" s="405"/>
      <c r="WVY1" s="432" t="s">
        <v>41</v>
      </c>
      <c r="WVZ1" s="404"/>
      <c r="WWA1" s="404"/>
      <c r="WWB1" s="404"/>
      <c r="WWC1" s="404"/>
      <c r="WWD1" s="404"/>
      <c r="WWE1" s="404"/>
      <c r="WWF1" s="405"/>
      <c r="WWG1" s="432" t="s">
        <v>41</v>
      </c>
      <c r="WWH1" s="404"/>
      <c r="WWI1" s="404"/>
      <c r="WWJ1" s="404"/>
      <c r="WWK1" s="404"/>
      <c r="WWL1" s="404"/>
      <c r="WWM1" s="404"/>
      <c r="WWN1" s="405"/>
      <c r="WWO1" s="432" t="s">
        <v>41</v>
      </c>
      <c r="WWP1" s="404"/>
      <c r="WWQ1" s="404"/>
      <c r="WWR1" s="404"/>
      <c r="WWS1" s="404"/>
      <c r="WWT1" s="404"/>
      <c r="WWU1" s="404"/>
      <c r="WWV1" s="405"/>
      <c r="WWW1" s="432" t="s">
        <v>41</v>
      </c>
      <c r="WWX1" s="404"/>
      <c r="WWY1" s="404"/>
      <c r="WWZ1" s="404"/>
      <c r="WXA1" s="404"/>
      <c r="WXB1" s="404"/>
      <c r="WXC1" s="404"/>
      <c r="WXD1" s="405"/>
      <c r="WXE1" s="432" t="s">
        <v>41</v>
      </c>
      <c r="WXF1" s="404"/>
      <c r="WXG1" s="404"/>
      <c r="WXH1" s="404"/>
      <c r="WXI1" s="404"/>
      <c r="WXJ1" s="404"/>
      <c r="WXK1" s="404"/>
      <c r="WXL1" s="405"/>
      <c r="WXM1" s="432" t="s">
        <v>41</v>
      </c>
      <c r="WXN1" s="404"/>
      <c r="WXO1" s="404"/>
      <c r="WXP1" s="404"/>
      <c r="WXQ1" s="404"/>
      <c r="WXR1" s="404"/>
      <c r="WXS1" s="404"/>
      <c r="WXT1" s="405"/>
      <c r="WXU1" s="432" t="s">
        <v>41</v>
      </c>
      <c r="WXV1" s="404"/>
      <c r="WXW1" s="404"/>
      <c r="WXX1" s="404"/>
      <c r="WXY1" s="404"/>
      <c r="WXZ1" s="404"/>
      <c r="WYA1" s="404"/>
      <c r="WYB1" s="405"/>
      <c r="WYC1" s="432" t="s">
        <v>41</v>
      </c>
      <c r="WYD1" s="404"/>
      <c r="WYE1" s="404"/>
      <c r="WYF1" s="404"/>
      <c r="WYG1" s="404"/>
      <c r="WYH1" s="404"/>
      <c r="WYI1" s="404"/>
      <c r="WYJ1" s="405"/>
      <c r="WYK1" s="432" t="s">
        <v>41</v>
      </c>
      <c r="WYL1" s="404"/>
      <c r="WYM1" s="404"/>
      <c r="WYN1" s="404"/>
      <c r="WYO1" s="404"/>
      <c r="WYP1" s="404"/>
      <c r="WYQ1" s="404"/>
      <c r="WYR1" s="405"/>
      <c r="WYS1" s="432" t="s">
        <v>41</v>
      </c>
      <c r="WYT1" s="404"/>
      <c r="WYU1" s="404"/>
      <c r="WYV1" s="404"/>
      <c r="WYW1" s="404"/>
      <c r="WYX1" s="404"/>
      <c r="WYY1" s="404"/>
      <c r="WYZ1" s="405"/>
      <c r="WZA1" s="432" t="s">
        <v>41</v>
      </c>
      <c r="WZB1" s="404"/>
      <c r="WZC1" s="404"/>
      <c r="WZD1" s="404"/>
      <c r="WZE1" s="404"/>
      <c r="WZF1" s="404"/>
      <c r="WZG1" s="404"/>
      <c r="WZH1" s="405"/>
      <c r="WZI1" s="432" t="s">
        <v>41</v>
      </c>
      <c r="WZJ1" s="404"/>
      <c r="WZK1" s="404"/>
      <c r="WZL1" s="404"/>
      <c r="WZM1" s="404"/>
      <c r="WZN1" s="404"/>
      <c r="WZO1" s="404"/>
      <c r="WZP1" s="405"/>
      <c r="WZQ1" s="432" t="s">
        <v>41</v>
      </c>
      <c r="WZR1" s="404"/>
      <c r="WZS1" s="404"/>
      <c r="WZT1" s="404"/>
      <c r="WZU1" s="404"/>
      <c r="WZV1" s="404"/>
      <c r="WZW1" s="404"/>
      <c r="WZX1" s="405"/>
      <c r="WZY1" s="432" t="s">
        <v>41</v>
      </c>
      <c r="WZZ1" s="404"/>
      <c r="XAA1" s="404"/>
      <c r="XAB1" s="404"/>
      <c r="XAC1" s="404"/>
      <c r="XAD1" s="404"/>
      <c r="XAE1" s="404"/>
      <c r="XAF1" s="405"/>
      <c r="XAG1" s="432" t="s">
        <v>41</v>
      </c>
      <c r="XAH1" s="404"/>
      <c r="XAI1" s="404"/>
      <c r="XAJ1" s="404"/>
      <c r="XAK1" s="404"/>
      <c r="XAL1" s="404"/>
      <c r="XAM1" s="404"/>
      <c r="XAN1" s="405"/>
      <c r="XAO1" s="432" t="s">
        <v>41</v>
      </c>
      <c r="XAP1" s="404"/>
      <c r="XAQ1" s="404"/>
      <c r="XAR1" s="404"/>
      <c r="XAS1" s="404"/>
      <c r="XAT1" s="404"/>
      <c r="XAU1" s="404"/>
      <c r="XAV1" s="405"/>
      <c r="XAW1" s="432" t="s">
        <v>41</v>
      </c>
      <c r="XAX1" s="404"/>
      <c r="XAY1" s="404"/>
      <c r="XAZ1" s="404"/>
      <c r="XBA1" s="404"/>
      <c r="XBB1" s="404"/>
      <c r="XBC1" s="404"/>
      <c r="XBD1" s="405"/>
      <c r="XBE1" s="432" t="s">
        <v>41</v>
      </c>
      <c r="XBF1" s="404"/>
      <c r="XBG1" s="404"/>
      <c r="XBH1" s="404"/>
      <c r="XBI1" s="404"/>
      <c r="XBJ1" s="404"/>
      <c r="XBK1" s="404"/>
      <c r="XBL1" s="405"/>
      <c r="XBM1" s="432" t="s">
        <v>41</v>
      </c>
      <c r="XBN1" s="404"/>
      <c r="XBO1" s="404"/>
      <c r="XBP1" s="404"/>
      <c r="XBQ1" s="404"/>
      <c r="XBR1" s="404"/>
      <c r="XBS1" s="404"/>
      <c r="XBT1" s="405"/>
      <c r="XBU1" s="432" t="s">
        <v>41</v>
      </c>
      <c r="XBV1" s="404"/>
      <c r="XBW1" s="404"/>
      <c r="XBX1" s="404"/>
      <c r="XBY1" s="404"/>
      <c r="XBZ1" s="404"/>
      <c r="XCA1" s="404"/>
      <c r="XCB1" s="405"/>
      <c r="XCC1" s="432" t="s">
        <v>41</v>
      </c>
      <c r="XCD1" s="404"/>
      <c r="XCE1" s="404"/>
      <c r="XCF1" s="404"/>
      <c r="XCG1" s="404"/>
      <c r="XCH1" s="404"/>
      <c r="XCI1" s="404"/>
      <c r="XCJ1" s="405"/>
      <c r="XCK1" s="432" t="s">
        <v>41</v>
      </c>
      <c r="XCL1" s="404"/>
      <c r="XCM1" s="404"/>
      <c r="XCN1" s="404"/>
      <c r="XCO1" s="404"/>
      <c r="XCP1" s="404"/>
      <c r="XCQ1" s="404"/>
      <c r="XCR1" s="405"/>
      <c r="XCS1" s="432" t="s">
        <v>41</v>
      </c>
      <c r="XCT1" s="404"/>
      <c r="XCU1" s="404"/>
      <c r="XCV1" s="404"/>
      <c r="XCW1" s="404"/>
      <c r="XCX1" s="404"/>
      <c r="XCY1" s="404"/>
      <c r="XCZ1" s="405"/>
      <c r="XDA1" s="432" t="s">
        <v>41</v>
      </c>
      <c r="XDB1" s="404"/>
      <c r="XDC1" s="404"/>
      <c r="XDD1" s="404"/>
      <c r="XDE1" s="404"/>
      <c r="XDF1" s="404"/>
      <c r="XDG1" s="404"/>
      <c r="XDH1" s="405"/>
      <c r="XDI1" s="432" t="s">
        <v>41</v>
      </c>
      <c r="XDJ1" s="404"/>
      <c r="XDK1" s="404"/>
      <c r="XDL1" s="404"/>
      <c r="XDM1" s="404"/>
      <c r="XDN1" s="404"/>
      <c r="XDO1" s="404"/>
      <c r="XDP1" s="405"/>
      <c r="XDQ1" s="432" t="s">
        <v>41</v>
      </c>
      <c r="XDR1" s="404"/>
      <c r="XDS1" s="404"/>
      <c r="XDT1" s="404"/>
      <c r="XDU1" s="404"/>
      <c r="XDV1" s="404"/>
      <c r="XDW1" s="404"/>
      <c r="XDX1" s="405"/>
      <c r="XDY1" s="432" t="s">
        <v>41</v>
      </c>
      <c r="XDZ1" s="404"/>
      <c r="XEA1" s="404"/>
      <c r="XEB1" s="404"/>
      <c r="XEC1" s="404"/>
      <c r="XED1" s="404"/>
      <c r="XEE1" s="404"/>
      <c r="XEF1" s="405"/>
      <c r="XEG1" s="432" t="s">
        <v>41</v>
      </c>
      <c r="XEH1" s="404"/>
      <c r="XEI1" s="404"/>
      <c r="XEJ1" s="404"/>
      <c r="XEK1" s="404"/>
      <c r="XEL1" s="404"/>
      <c r="XEM1" s="404"/>
      <c r="XEN1" s="405"/>
      <c r="XEO1" s="432" t="s">
        <v>41</v>
      </c>
      <c r="XEP1" s="404"/>
      <c r="XEQ1" s="404"/>
      <c r="XER1" s="404"/>
      <c r="XES1" s="404"/>
      <c r="XET1" s="404"/>
      <c r="XEU1" s="404"/>
      <c r="XEV1" s="405"/>
      <c r="XEW1" s="432" t="s">
        <v>41</v>
      </c>
      <c r="XEX1" s="404"/>
      <c r="XEY1" s="404"/>
      <c r="XEZ1" s="404"/>
      <c r="XFA1" s="404"/>
      <c r="XFB1" s="404"/>
      <c r="XFC1" s="404"/>
      <c r="XFD1" s="405"/>
    </row>
    <row r="2" spans="1:16384" s="376" customFormat="1" ht="11.25" customHeight="1"/>
    <row r="3" spans="1:16384" s="376" customFormat="1" ht="11.25" customHeight="1"/>
    <row r="4" spans="1:16384" s="376" customFormat="1" ht="21" customHeight="1">
      <c r="A4" s="377"/>
      <c r="B4" s="378" t="s">
        <v>281</v>
      </c>
      <c r="C4" s="378" t="s">
        <v>282</v>
      </c>
      <c r="D4" s="379" t="s">
        <v>283</v>
      </c>
      <c r="E4" s="378" t="s">
        <v>284</v>
      </c>
    </row>
    <row r="5" spans="1:16384" s="376" customFormat="1" ht="11.25" customHeight="1">
      <c r="A5" s="380" t="s">
        <v>285</v>
      </c>
      <c r="B5" s="381">
        <v>3.06</v>
      </c>
      <c r="C5" s="381">
        <v>10.64</v>
      </c>
      <c r="D5" s="382">
        <v>0.48</v>
      </c>
      <c r="E5" s="381">
        <v>1.53</v>
      </c>
      <c r="G5" s="383"/>
      <c r="H5" s="383"/>
    </row>
    <row r="6" spans="1:16384" s="376" customFormat="1" ht="11.25" customHeight="1">
      <c r="A6" s="380" t="s">
        <v>286</v>
      </c>
      <c r="B6" s="381">
        <v>8.66</v>
      </c>
      <c r="C6" s="381">
        <v>18.13</v>
      </c>
      <c r="D6" s="382">
        <v>0.82</v>
      </c>
      <c r="E6" s="381">
        <v>4.7</v>
      </c>
    </row>
    <row r="7" spans="1:16384" s="376" customFormat="1" ht="11.25" customHeight="1">
      <c r="A7" s="380" t="s">
        <v>287</v>
      </c>
      <c r="B7" s="381">
        <v>6.89</v>
      </c>
      <c r="C7" s="381">
        <v>12.57</v>
      </c>
      <c r="D7" s="382">
        <v>3.89</v>
      </c>
      <c r="E7" s="381">
        <v>11.21</v>
      </c>
      <c r="H7" s="384"/>
      <c r="I7" s="384"/>
      <c r="J7" s="384"/>
    </row>
    <row r="8" spans="1:16384" s="376" customFormat="1" ht="11.25" customHeight="1">
      <c r="A8" s="385"/>
      <c r="B8" s="386"/>
      <c r="C8" s="386"/>
      <c r="E8" s="386"/>
    </row>
    <row r="9" spans="1:16384" s="376" customFormat="1" ht="11.25" customHeight="1">
      <c r="A9" s="385" t="s">
        <v>288</v>
      </c>
      <c r="B9" s="387">
        <f t="shared" ref="B9:E9" si="0">AVERAGE(B5:B7)</f>
        <v>6.2033333333333331</v>
      </c>
      <c r="C9" s="387">
        <f t="shared" si="0"/>
        <v>13.780000000000001</v>
      </c>
      <c r="D9" s="388">
        <f t="shared" si="0"/>
        <v>1.7299999999999998</v>
      </c>
      <c r="E9" s="387">
        <f t="shared" si="0"/>
        <v>5.8133333333333335</v>
      </c>
    </row>
    <row r="10" spans="1:16384" s="376" customFormat="1" ht="11.25" customHeight="1">
      <c r="A10" s="385" t="s">
        <v>289</v>
      </c>
      <c r="B10" s="387">
        <f t="shared" ref="B10:E10" si="1">MEDIAN(B5:B7)</f>
        <v>6.89</v>
      </c>
      <c r="C10" s="387">
        <f t="shared" si="1"/>
        <v>12.57</v>
      </c>
      <c r="D10" s="388">
        <f t="shared" si="1"/>
        <v>0.82</v>
      </c>
      <c r="E10" s="387">
        <f t="shared" si="1"/>
        <v>4.7</v>
      </c>
    </row>
    <row r="11" spans="1:16384" s="376" customFormat="1" ht="11.25" customHeight="1">
      <c r="B11" s="386"/>
      <c r="C11" s="386"/>
      <c r="E11" s="386"/>
    </row>
    <row r="12" spans="1:16384" s="376" customFormat="1" ht="11.25" customHeight="1">
      <c r="A12" s="389" t="s">
        <v>290</v>
      </c>
      <c r="B12" s="390">
        <v>19333000</v>
      </c>
      <c r="C12" s="386"/>
      <c r="E12" s="386"/>
    </row>
    <row r="13" spans="1:16384" s="376" customFormat="1" ht="11.25" customHeight="1">
      <c r="A13" s="389" t="s">
        <v>291</v>
      </c>
      <c r="B13" s="386"/>
      <c r="C13" s="390">
        <f>IS!H21</f>
        <v>9657662</v>
      </c>
      <c r="E13" s="386"/>
    </row>
    <row r="14" spans="1:16384" s="376" customFormat="1" ht="11.25" customHeight="1">
      <c r="A14" s="389" t="s">
        <v>2</v>
      </c>
      <c r="B14" s="386"/>
      <c r="C14" s="386"/>
      <c r="D14" s="390">
        <f>IS!H3</f>
        <v>125172015</v>
      </c>
      <c r="E14" s="386"/>
    </row>
    <row r="15" spans="1:16384" s="376" customFormat="1" ht="11.25" customHeight="1">
      <c r="A15" s="389" t="s">
        <v>292</v>
      </c>
      <c r="B15" s="386"/>
      <c r="C15" s="386"/>
      <c r="E15" s="390">
        <f>SOFP!H32</f>
        <v>34950484</v>
      </c>
    </row>
    <row r="16" spans="1:16384" s="376" customFormat="1" ht="11.25" customHeight="1">
      <c r="B16" s="386"/>
      <c r="C16" s="386"/>
      <c r="E16" s="386"/>
    </row>
    <row r="17" spans="1:5" s="376" customFormat="1" ht="11.25" customHeight="1">
      <c r="A17" s="385"/>
      <c r="B17" s="386"/>
      <c r="C17" s="386"/>
      <c r="E17" s="386"/>
    </row>
    <row r="18" spans="1:5" s="376" customFormat="1" ht="11.25" customHeight="1">
      <c r="A18" s="391" t="s">
        <v>293</v>
      </c>
      <c r="B18" s="386"/>
      <c r="C18" s="386"/>
      <c r="E18" s="386"/>
    </row>
    <row r="19" spans="1:5" s="376" customFormat="1" ht="11.25" customHeight="1">
      <c r="A19" s="385" t="s">
        <v>294</v>
      </c>
      <c r="B19" s="392">
        <f t="shared" ref="B19:B20" si="2">$B$12*B9</f>
        <v>119929043.33333333</v>
      </c>
      <c r="C19" s="392"/>
      <c r="D19" s="393">
        <f t="shared" ref="D19:D20" si="3">$D$14*D9</f>
        <v>216547585.94999996</v>
      </c>
      <c r="E19" s="386"/>
    </row>
    <row r="20" spans="1:5" s="376" customFormat="1" ht="11.25" customHeight="1">
      <c r="A20" s="385" t="s">
        <v>289</v>
      </c>
      <c r="B20" s="392">
        <f t="shared" si="2"/>
        <v>133204370</v>
      </c>
      <c r="C20" s="392"/>
      <c r="D20" s="393">
        <f t="shared" si="3"/>
        <v>102641052.3</v>
      </c>
      <c r="E20" s="386"/>
    </row>
    <row r="21" spans="1:5" s="376" customFormat="1" ht="11.25" customHeight="1">
      <c r="A21" s="385"/>
      <c r="B21" s="386"/>
      <c r="C21" s="386"/>
      <c r="E21" s="386"/>
    </row>
    <row r="22" spans="1:5" s="376" customFormat="1" ht="11.25" customHeight="1">
      <c r="A22" s="385" t="s">
        <v>295</v>
      </c>
      <c r="B22" s="392">
        <f>DCF!C17</f>
        <v>13475936</v>
      </c>
      <c r="C22" s="392"/>
      <c r="D22" s="393">
        <f t="shared" ref="D22:D23" si="4">B22</f>
        <v>13475936</v>
      </c>
      <c r="E22" s="386"/>
    </row>
    <row r="23" spans="1:5" s="376" customFormat="1" ht="11.25" customHeight="1">
      <c r="A23" s="385" t="s">
        <v>296</v>
      </c>
      <c r="B23" s="392">
        <f>DCF!C18+DCF!C19</f>
        <v>-23511824</v>
      </c>
      <c r="C23" s="392"/>
      <c r="D23" s="393">
        <f t="shared" si="4"/>
        <v>-23511824</v>
      </c>
      <c r="E23" s="386"/>
    </row>
    <row r="24" spans="1:5" s="376" customFormat="1" ht="11.25" customHeight="1">
      <c r="A24" s="385"/>
      <c r="B24" s="386"/>
      <c r="C24" s="386"/>
      <c r="E24" s="386"/>
    </row>
    <row r="25" spans="1:5" s="376" customFormat="1" ht="11.25" customHeight="1">
      <c r="A25" s="394" t="s">
        <v>257</v>
      </c>
      <c r="B25" s="386"/>
      <c r="C25" s="386"/>
      <c r="E25" s="386"/>
    </row>
    <row r="26" spans="1:5" s="376" customFormat="1" ht="11.25" customHeight="1">
      <c r="A26" s="391" t="s">
        <v>294</v>
      </c>
      <c r="B26" s="395">
        <f>B19+B22+B23</f>
        <v>109893155.33333333</v>
      </c>
      <c r="C26" s="395">
        <f>C9*C13</f>
        <v>133082582.36000001</v>
      </c>
      <c r="D26" s="396">
        <f>D19+D22+D23</f>
        <v>206511697.94999996</v>
      </c>
      <c r="E26" s="395">
        <f>E9*E15</f>
        <v>203178813.65333334</v>
      </c>
    </row>
    <row r="27" spans="1:5" s="376" customFormat="1" ht="11.25" customHeight="1">
      <c r="A27" s="391" t="s">
        <v>297</v>
      </c>
      <c r="B27" s="397">
        <f>B20+B22+B23</f>
        <v>123168482</v>
      </c>
      <c r="C27" s="398">
        <f>C10*C13</f>
        <v>121396811.34</v>
      </c>
      <c r="D27" s="399">
        <f>D20+D22+D23</f>
        <v>92605164.299999997</v>
      </c>
      <c r="E27" s="398">
        <f>E10*E15</f>
        <v>164267274.80000001</v>
      </c>
    </row>
    <row r="28" spans="1:5" s="376" customFormat="1" ht="11.25" customHeight="1">
      <c r="A28" s="385"/>
      <c r="B28" s="386"/>
      <c r="C28" s="386"/>
      <c r="E28" s="386"/>
    </row>
    <row r="29" spans="1:5" s="376" customFormat="1" ht="11.25" customHeight="1">
      <c r="A29" s="400"/>
      <c r="B29" s="401"/>
      <c r="C29" s="401"/>
      <c r="D29" s="402"/>
      <c r="E29" s="401"/>
    </row>
  </sheetData>
  <mergeCells count="2042">
    <mergeCell ref="THA1:THH1"/>
    <mergeCell ref="THI1:THP1"/>
    <mergeCell ref="THQ1:THX1"/>
    <mergeCell ref="THY1:TIF1"/>
    <mergeCell ref="TIG1:TIN1"/>
    <mergeCell ref="TBU1:TCB1"/>
    <mergeCell ref="TCC1:TCJ1"/>
    <mergeCell ref="TCK1:TCR1"/>
    <mergeCell ref="TCS1:TCZ1"/>
    <mergeCell ref="TDA1:TDH1"/>
    <mergeCell ref="TDI1:TDP1"/>
    <mergeCell ref="TDQ1:TDX1"/>
    <mergeCell ref="TDY1:TEF1"/>
    <mergeCell ref="TEG1:TEN1"/>
    <mergeCell ref="TEO1:TEV1"/>
    <mergeCell ref="TEW1:TFD1"/>
    <mergeCell ref="TFE1:TFL1"/>
    <mergeCell ref="TFM1:TFT1"/>
    <mergeCell ref="TFU1:TGB1"/>
    <mergeCell ref="TGC1:TGJ1"/>
    <mergeCell ref="TGK1:TGR1"/>
    <mergeCell ref="TGS1:TGZ1"/>
    <mergeCell ref="SWO1:SWV1"/>
    <mergeCell ref="SWW1:SXD1"/>
    <mergeCell ref="SXE1:SXL1"/>
    <mergeCell ref="SXM1:SXT1"/>
    <mergeCell ref="SXU1:SYB1"/>
    <mergeCell ref="SYC1:SYJ1"/>
    <mergeCell ref="SYK1:SYR1"/>
    <mergeCell ref="SYS1:SYZ1"/>
    <mergeCell ref="SZA1:SZH1"/>
    <mergeCell ref="SZI1:SZP1"/>
    <mergeCell ref="SZQ1:SZX1"/>
    <mergeCell ref="SZY1:TAF1"/>
    <mergeCell ref="TAG1:TAN1"/>
    <mergeCell ref="TAO1:TAV1"/>
    <mergeCell ref="TAW1:TBD1"/>
    <mergeCell ref="TBE1:TBL1"/>
    <mergeCell ref="TBM1:TBT1"/>
    <mergeCell ref="SRI1:SRP1"/>
    <mergeCell ref="SRQ1:SRX1"/>
    <mergeCell ref="SRY1:SSF1"/>
    <mergeCell ref="SSG1:SSN1"/>
    <mergeCell ref="SSO1:SSV1"/>
    <mergeCell ref="SSW1:STD1"/>
    <mergeCell ref="STE1:STL1"/>
    <mergeCell ref="STM1:STT1"/>
    <mergeCell ref="STU1:SUB1"/>
    <mergeCell ref="SUC1:SUJ1"/>
    <mergeCell ref="SUK1:SUR1"/>
    <mergeCell ref="SUS1:SUZ1"/>
    <mergeCell ref="SVA1:SVH1"/>
    <mergeCell ref="SVI1:SVP1"/>
    <mergeCell ref="SVQ1:SVX1"/>
    <mergeCell ref="SVY1:SWF1"/>
    <mergeCell ref="SWG1:SWN1"/>
    <mergeCell ref="SMC1:SMJ1"/>
    <mergeCell ref="SMK1:SMR1"/>
    <mergeCell ref="SMS1:SMZ1"/>
    <mergeCell ref="SNA1:SNH1"/>
    <mergeCell ref="SNI1:SNP1"/>
    <mergeCell ref="SNQ1:SNX1"/>
    <mergeCell ref="SNY1:SOF1"/>
    <mergeCell ref="SOG1:SON1"/>
    <mergeCell ref="SOO1:SOV1"/>
    <mergeCell ref="SOW1:SPD1"/>
    <mergeCell ref="SPE1:SPL1"/>
    <mergeCell ref="SPM1:SPT1"/>
    <mergeCell ref="SPU1:SQB1"/>
    <mergeCell ref="SQC1:SQJ1"/>
    <mergeCell ref="SQK1:SQR1"/>
    <mergeCell ref="SQS1:SQZ1"/>
    <mergeCell ref="SRA1:SRH1"/>
    <mergeCell ref="SGW1:SHD1"/>
    <mergeCell ref="SHE1:SHL1"/>
    <mergeCell ref="SHM1:SHT1"/>
    <mergeCell ref="SHU1:SIB1"/>
    <mergeCell ref="SIC1:SIJ1"/>
    <mergeCell ref="SIK1:SIR1"/>
    <mergeCell ref="SIS1:SIZ1"/>
    <mergeCell ref="SJA1:SJH1"/>
    <mergeCell ref="SJI1:SJP1"/>
    <mergeCell ref="SJQ1:SJX1"/>
    <mergeCell ref="SJY1:SKF1"/>
    <mergeCell ref="SKG1:SKN1"/>
    <mergeCell ref="SKO1:SKV1"/>
    <mergeCell ref="SKW1:SLD1"/>
    <mergeCell ref="SLE1:SLL1"/>
    <mergeCell ref="SLM1:SLT1"/>
    <mergeCell ref="SLU1:SMB1"/>
    <mergeCell ref="SBQ1:SBX1"/>
    <mergeCell ref="SBY1:SCF1"/>
    <mergeCell ref="SCG1:SCN1"/>
    <mergeCell ref="SCO1:SCV1"/>
    <mergeCell ref="SCW1:SDD1"/>
    <mergeCell ref="SDE1:SDL1"/>
    <mergeCell ref="SDM1:SDT1"/>
    <mergeCell ref="SDU1:SEB1"/>
    <mergeCell ref="SEC1:SEJ1"/>
    <mergeCell ref="SEK1:SER1"/>
    <mergeCell ref="SES1:SEZ1"/>
    <mergeCell ref="SFA1:SFH1"/>
    <mergeCell ref="SFI1:SFP1"/>
    <mergeCell ref="SFQ1:SFX1"/>
    <mergeCell ref="SFY1:SGF1"/>
    <mergeCell ref="SGG1:SGN1"/>
    <mergeCell ref="SGO1:SGV1"/>
    <mergeCell ref="RWK1:RWR1"/>
    <mergeCell ref="RWS1:RWZ1"/>
    <mergeCell ref="RXA1:RXH1"/>
    <mergeCell ref="RXI1:RXP1"/>
    <mergeCell ref="RXQ1:RXX1"/>
    <mergeCell ref="RXY1:RYF1"/>
    <mergeCell ref="RYG1:RYN1"/>
    <mergeCell ref="RYO1:RYV1"/>
    <mergeCell ref="RYW1:RZD1"/>
    <mergeCell ref="RZE1:RZL1"/>
    <mergeCell ref="RZM1:RZT1"/>
    <mergeCell ref="RZU1:SAB1"/>
    <mergeCell ref="SAC1:SAJ1"/>
    <mergeCell ref="SAK1:SAR1"/>
    <mergeCell ref="SAS1:SAZ1"/>
    <mergeCell ref="SBA1:SBH1"/>
    <mergeCell ref="SBI1:SBP1"/>
    <mergeCell ref="RRE1:RRL1"/>
    <mergeCell ref="RRM1:RRT1"/>
    <mergeCell ref="RRU1:RSB1"/>
    <mergeCell ref="RSC1:RSJ1"/>
    <mergeCell ref="RSK1:RSR1"/>
    <mergeCell ref="RSS1:RSZ1"/>
    <mergeCell ref="RTA1:RTH1"/>
    <mergeCell ref="RTI1:RTP1"/>
    <mergeCell ref="RTQ1:RTX1"/>
    <mergeCell ref="RTY1:RUF1"/>
    <mergeCell ref="RUG1:RUN1"/>
    <mergeCell ref="RUO1:RUV1"/>
    <mergeCell ref="RUW1:RVD1"/>
    <mergeCell ref="RVE1:RVL1"/>
    <mergeCell ref="RVM1:RVT1"/>
    <mergeCell ref="RVU1:RWB1"/>
    <mergeCell ref="RWC1:RWJ1"/>
    <mergeCell ref="RLY1:RMF1"/>
    <mergeCell ref="RMG1:RMN1"/>
    <mergeCell ref="RMO1:RMV1"/>
    <mergeCell ref="RMW1:RND1"/>
    <mergeCell ref="RNE1:RNL1"/>
    <mergeCell ref="RNM1:RNT1"/>
    <mergeCell ref="RNU1:ROB1"/>
    <mergeCell ref="ROC1:ROJ1"/>
    <mergeCell ref="ROK1:ROR1"/>
    <mergeCell ref="ROS1:ROZ1"/>
    <mergeCell ref="RPA1:RPH1"/>
    <mergeCell ref="RPI1:RPP1"/>
    <mergeCell ref="RPQ1:RPX1"/>
    <mergeCell ref="RPY1:RQF1"/>
    <mergeCell ref="RQG1:RQN1"/>
    <mergeCell ref="RQO1:RQV1"/>
    <mergeCell ref="RQW1:RRD1"/>
    <mergeCell ref="RGS1:RGZ1"/>
    <mergeCell ref="RHA1:RHH1"/>
    <mergeCell ref="RHI1:RHP1"/>
    <mergeCell ref="RHQ1:RHX1"/>
    <mergeCell ref="RHY1:RIF1"/>
    <mergeCell ref="RIG1:RIN1"/>
    <mergeCell ref="RIO1:RIV1"/>
    <mergeCell ref="RIW1:RJD1"/>
    <mergeCell ref="RJE1:RJL1"/>
    <mergeCell ref="RJM1:RJT1"/>
    <mergeCell ref="RJU1:RKB1"/>
    <mergeCell ref="RKC1:RKJ1"/>
    <mergeCell ref="RKK1:RKR1"/>
    <mergeCell ref="RKS1:RKZ1"/>
    <mergeCell ref="RLA1:RLH1"/>
    <mergeCell ref="RLI1:RLP1"/>
    <mergeCell ref="RLQ1:RLX1"/>
    <mergeCell ref="RBM1:RBT1"/>
    <mergeCell ref="RBU1:RCB1"/>
    <mergeCell ref="RCC1:RCJ1"/>
    <mergeCell ref="RCK1:RCR1"/>
    <mergeCell ref="RCS1:RCZ1"/>
    <mergeCell ref="RDA1:RDH1"/>
    <mergeCell ref="RDI1:RDP1"/>
    <mergeCell ref="RDQ1:RDX1"/>
    <mergeCell ref="RDY1:REF1"/>
    <mergeCell ref="REG1:REN1"/>
    <mergeCell ref="REO1:REV1"/>
    <mergeCell ref="REW1:RFD1"/>
    <mergeCell ref="RFE1:RFL1"/>
    <mergeCell ref="RFM1:RFT1"/>
    <mergeCell ref="RFU1:RGB1"/>
    <mergeCell ref="RGC1:RGJ1"/>
    <mergeCell ref="RGK1:RGR1"/>
    <mergeCell ref="QWG1:QWN1"/>
    <mergeCell ref="QWO1:QWV1"/>
    <mergeCell ref="QWW1:QXD1"/>
    <mergeCell ref="QXE1:QXL1"/>
    <mergeCell ref="QXM1:QXT1"/>
    <mergeCell ref="QXU1:QYB1"/>
    <mergeCell ref="QYC1:QYJ1"/>
    <mergeCell ref="QYK1:QYR1"/>
    <mergeCell ref="QYS1:QYZ1"/>
    <mergeCell ref="QZA1:QZH1"/>
    <mergeCell ref="QZI1:QZP1"/>
    <mergeCell ref="QZQ1:QZX1"/>
    <mergeCell ref="QZY1:RAF1"/>
    <mergeCell ref="RAG1:RAN1"/>
    <mergeCell ref="RAO1:RAV1"/>
    <mergeCell ref="RAW1:RBD1"/>
    <mergeCell ref="RBE1:RBL1"/>
    <mergeCell ref="QRA1:QRH1"/>
    <mergeCell ref="QRI1:QRP1"/>
    <mergeCell ref="QRQ1:QRX1"/>
    <mergeCell ref="QRY1:QSF1"/>
    <mergeCell ref="QSG1:QSN1"/>
    <mergeCell ref="QSO1:QSV1"/>
    <mergeCell ref="QSW1:QTD1"/>
    <mergeCell ref="QTE1:QTL1"/>
    <mergeCell ref="QTM1:QTT1"/>
    <mergeCell ref="QTU1:QUB1"/>
    <mergeCell ref="QUC1:QUJ1"/>
    <mergeCell ref="QUK1:QUR1"/>
    <mergeCell ref="QUS1:QUZ1"/>
    <mergeCell ref="QVA1:QVH1"/>
    <mergeCell ref="QVI1:QVP1"/>
    <mergeCell ref="QVQ1:QVX1"/>
    <mergeCell ref="QVY1:QWF1"/>
    <mergeCell ref="QLU1:QMB1"/>
    <mergeCell ref="QMC1:QMJ1"/>
    <mergeCell ref="QMK1:QMR1"/>
    <mergeCell ref="QMS1:QMZ1"/>
    <mergeCell ref="QNA1:QNH1"/>
    <mergeCell ref="QNI1:QNP1"/>
    <mergeCell ref="QNQ1:QNX1"/>
    <mergeCell ref="QNY1:QOF1"/>
    <mergeCell ref="QOG1:QON1"/>
    <mergeCell ref="QOO1:QOV1"/>
    <mergeCell ref="QOW1:QPD1"/>
    <mergeCell ref="QPE1:QPL1"/>
    <mergeCell ref="QPM1:QPT1"/>
    <mergeCell ref="QPU1:QQB1"/>
    <mergeCell ref="QQC1:QQJ1"/>
    <mergeCell ref="QQK1:QQR1"/>
    <mergeCell ref="QQS1:QQZ1"/>
    <mergeCell ref="QGO1:QGV1"/>
    <mergeCell ref="QGW1:QHD1"/>
    <mergeCell ref="QHE1:QHL1"/>
    <mergeCell ref="QHM1:QHT1"/>
    <mergeCell ref="QHU1:QIB1"/>
    <mergeCell ref="QIC1:QIJ1"/>
    <mergeCell ref="QIK1:QIR1"/>
    <mergeCell ref="QIS1:QIZ1"/>
    <mergeCell ref="QJA1:QJH1"/>
    <mergeCell ref="QJI1:QJP1"/>
    <mergeCell ref="QJQ1:QJX1"/>
    <mergeCell ref="QJY1:QKF1"/>
    <mergeCell ref="QKG1:QKN1"/>
    <mergeCell ref="QKO1:QKV1"/>
    <mergeCell ref="QKW1:QLD1"/>
    <mergeCell ref="QLE1:QLL1"/>
    <mergeCell ref="QLM1:QLT1"/>
    <mergeCell ref="QBI1:QBP1"/>
    <mergeCell ref="QBQ1:QBX1"/>
    <mergeCell ref="QBY1:QCF1"/>
    <mergeCell ref="QCG1:QCN1"/>
    <mergeCell ref="QCO1:QCV1"/>
    <mergeCell ref="QCW1:QDD1"/>
    <mergeCell ref="QDE1:QDL1"/>
    <mergeCell ref="QDM1:QDT1"/>
    <mergeCell ref="QDU1:QEB1"/>
    <mergeCell ref="QEC1:QEJ1"/>
    <mergeCell ref="QEK1:QER1"/>
    <mergeCell ref="QES1:QEZ1"/>
    <mergeCell ref="QFA1:QFH1"/>
    <mergeCell ref="QFI1:QFP1"/>
    <mergeCell ref="QFQ1:QFX1"/>
    <mergeCell ref="QFY1:QGF1"/>
    <mergeCell ref="QGG1:QGN1"/>
    <mergeCell ref="PWC1:PWJ1"/>
    <mergeCell ref="PWK1:PWR1"/>
    <mergeCell ref="PWS1:PWZ1"/>
    <mergeCell ref="PXA1:PXH1"/>
    <mergeCell ref="PXI1:PXP1"/>
    <mergeCell ref="PXQ1:PXX1"/>
    <mergeCell ref="PXY1:PYF1"/>
    <mergeCell ref="PYG1:PYN1"/>
    <mergeCell ref="PYO1:PYV1"/>
    <mergeCell ref="PYW1:PZD1"/>
    <mergeCell ref="PZE1:PZL1"/>
    <mergeCell ref="PZM1:PZT1"/>
    <mergeCell ref="PZU1:QAB1"/>
    <mergeCell ref="QAC1:QAJ1"/>
    <mergeCell ref="QAK1:QAR1"/>
    <mergeCell ref="QAS1:QAZ1"/>
    <mergeCell ref="QBA1:QBH1"/>
    <mergeCell ref="PQW1:PRD1"/>
    <mergeCell ref="PRE1:PRL1"/>
    <mergeCell ref="PRM1:PRT1"/>
    <mergeCell ref="PRU1:PSB1"/>
    <mergeCell ref="PSC1:PSJ1"/>
    <mergeCell ref="PSK1:PSR1"/>
    <mergeCell ref="PSS1:PSZ1"/>
    <mergeCell ref="PTA1:PTH1"/>
    <mergeCell ref="PTI1:PTP1"/>
    <mergeCell ref="PTQ1:PTX1"/>
    <mergeCell ref="PTY1:PUF1"/>
    <mergeCell ref="PUG1:PUN1"/>
    <mergeCell ref="PUO1:PUV1"/>
    <mergeCell ref="PUW1:PVD1"/>
    <mergeCell ref="PVE1:PVL1"/>
    <mergeCell ref="PVM1:PVT1"/>
    <mergeCell ref="PVU1:PWB1"/>
    <mergeCell ref="PLQ1:PLX1"/>
    <mergeCell ref="PLY1:PMF1"/>
    <mergeCell ref="PMG1:PMN1"/>
    <mergeCell ref="PMO1:PMV1"/>
    <mergeCell ref="PMW1:PND1"/>
    <mergeCell ref="PNE1:PNL1"/>
    <mergeCell ref="PNM1:PNT1"/>
    <mergeCell ref="PNU1:POB1"/>
    <mergeCell ref="POC1:POJ1"/>
    <mergeCell ref="POK1:POR1"/>
    <mergeCell ref="POS1:POZ1"/>
    <mergeCell ref="PPA1:PPH1"/>
    <mergeCell ref="PPI1:PPP1"/>
    <mergeCell ref="PPQ1:PPX1"/>
    <mergeCell ref="PPY1:PQF1"/>
    <mergeCell ref="PQG1:PQN1"/>
    <mergeCell ref="PQO1:PQV1"/>
    <mergeCell ref="WPU1:WQB1"/>
    <mergeCell ref="WQC1:WQJ1"/>
    <mergeCell ref="WQK1:WQR1"/>
    <mergeCell ref="WQS1:WQZ1"/>
    <mergeCell ref="WRA1:WRH1"/>
    <mergeCell ref="WRI1:WRP1"/>
    <mergeCell ref="WRQ1:WRX1"/>
    <mergeCell ref="WRY1:WSF1"/>
    <mergeCell ref="WSG1:WSN1"/>
    <mergeCell ref="WSO1:WSV1"/>
    <mergeCell ref="WSW1:WTD1"/>
    <mergeCell ref="WTE1:WTL1"/>
    <mergeCell ref="WTM1:WTT1"/>
    <mergeCell ref="WTU1:WUB1"/>
    <mergeCell ref="WUC1:WUJ1"/>
    <mergeCell ref="WUK1:WUR1"/>
    <mergeCell ref="WUS1:WUZ1"/>
    <mergeCell ref="WKO1:WKV1"/>
    <mergeCell ref="WKW1:WLD1"/>
    <mergeCell ref="WLE1:WLL1"/>
    <mergeCell ref="WLM1:WLT1"/>
    <mergeCell ref="WLU1:WMB1"/>
    <mergeCell ref="WMC1:WMJ1"/>
    <mergeCell ref="WMK1:WMR1"/>
    <mergeCell ref="WMS1:WMZ1"/>
    <mergeCell ref="WNA1:WNH1"/>
    <mergeCell ref="WNI1:WNP1"/>
    <mergeCell ref="WNQ1:WNX1"/>
    <mergeCell ref="WNY1:WOF1"/>
    <mergeCell ref="WOG1:WON1"/>
    <mergeCell ref="WOO1:WOV1"/>
    <mergeCell ref="WOW1:WPD1"/>
    <mergeCell ref="WPE1:WPL1"/>
    <mergeCell ref="WPM1:WPT1"/>
    <mergeCell ref="WZQ1:WZX1"/>
    <mergeCell ref="WZY1:XAF1"/>
    <mergeCell ref="XAG1:XAN1"/>
    <mergeCell ref="XAO1:XAV1"/>
    <mergeCell ref="XAW1:XBD1"/>
    <mergeCell ref="XBE1:XBL1"/>
    <mergeCell ref="XDQ1:XDX1"/>
    <mergeCell ref="XDY1:XEF1"/>
    <mergeCell ref="XEG1:XEN1"/>
    <mergeCell ref="XEO1:XEV1"/>
    <mergeCell ref="XEW1:XFD1"/>
    <mergeCell ref="XBM1:XBT1"/>
    <mergeCell ref="XBU1:XCB1"/>
    <mergeCell ref="XCC1:XCJ1"/>
    <mergeCell ref="XCK1:XCR1"/>
    <mergeCell ref="XCS1:XCZ1"/>
    <mergeCell ref="XDA1:XDH1"/>
    <mergeCell ref="XDI1:XDP1"/>
    <mergeCell ref="WFI1:WFP1"/>
    <mergeCell ref="WFQ1:WFX1"/>
    <mergeCell ref="WVA1:WVH1"/>
    <mergeCell ref="WVI1:WVP1"/>
    <mergeCell ref="WVQ1:WVX1"/>
    <mergeCell ref="WVY1:WWF1"/>
    <mergeCell ref="WWG1:WWN1"/>
    <mergeCell ref="WWO1:WWV1"/>
    <mergeCell ref="WWW1:WXD1"/>
    <mergeCell ref="WXE1:WXL1"/>
    <mergeCell ref="WXM1:WXT1"/>
    <mergeCell ref="WXU1:WYB1"/>
    <mergeCell ref="WYC1:WYJ1"/>
    <mergeCell ref="WYK1:WYR1"/>
    <mergeCell ref="WYS1:WYZ1"/>
    <mergeCell ref="WZA1:WZH1"/>
    <mergeCell ref="WZI1:WZP1"/>
    <mergeCell ref="WFY1:WGF1"/>
    <mergeCell ref="WGG1:WGN1"/>
    <mergeCell ref="WGO1:WGV1"/>
    <mergeCell ref="WGW1:WHD1"/>
    <mergeCell ref="WHE1:WHL1"/>
    <mergeCell ref="WHM1:WHT1"/>
    <mergeCell ref="WHU1:WIB1"/>
    <mergeCell ref="WIC1:WIJ1"/>
    <mergeCell ref="WIK1:WIR1"/>
    <mergeCell ref="WIS1:WIZ1"/>
    <mergeCell ref="WJA1:WJH1"/>
    <mergeCell ref="WJI1:WJP1"/>
    <mergeCell ref="WJQ1:WJX1"/>
    <mergeCell ref="WJY1:WKF1"/>
    <mergeCell ref="WKG1:WKN1"/>
    <mergeCell ref="WAC1:WAJ1"/>
    <mergeCell ref="WAK1:WAR1"/>
    <mergeCell ref="WAS1:WAZ1"/>
    <mergeCell ref="WBA1:WBH1"/>
    <mergeCell ref="WBI1:WBP1"/>
    <mergeCell ref="WBQ1:WBX1"/>
    <mergeCell ref="WBY1:WCF1"/>
    <mergeCell ref="WCG1:WCN1"/>
    <mergeCell ref="WCO1:WCV1"/>
    <mergeCell ref="WCW1:WDD1"/>
    <mergeCell ref="WDE1:WDL1"/>
    <mergeCell ref="WDM1:WDT1"/>
    <mergeCell ref="WDU1:WEB1"/>
    <mergeCell ref="WEC1:WEJ1"/>
    <mergeCell ref="WEK1:WER1"/>
    <mergeCell ref="WES1:WEZ1"/>
    <mergeCell ref="WFA1:WFH1"/>
    <mergeCell ref="VUW1:VVD1"/>
    <mergeCell ref="VVE1:VVL1"/>
    <mergeCell ref="VVM1:VVT1"/>
    <mergeCell ref="VVU1:VWB1"/>
    <mergeCell ref="VWC1:VWJ1"/>
    <mergeCell ref="VWK1:VWR1"/>
    <mergeCell ref="VWS1:VWZ1"/>
    <mergeCell ref="VXA1:VXH1"/>
    <mergeCell ref="VXI1:VXP1"/>
    <mergeCell ref="VXQ1:VXX1"/>
    <mergeCell ref="VXY1:VYF1"/>
    <mergeCell ref="VYG1:VYN1"/>
    <mergeCell ref="VYO1:VYV1"/>
    <mergeCell ref="VYW1:VZD1"/>
    <mergeCell ref="VZE1:VZL1"/>
    <mergeCell ref="VZM1:VZT1"/>
    <mergeCell ref="VZU1:WAB1"/>
    <mergeCell ref="VPQ1:VPX1"/>
    <mergeCell ref="VPY1:VQF1"/>
    <mergeCell ref="VQG1:VQN1"/>
    <mergeCell ref="VQO1:VQV1"/>
    <mergeCell ref="VQW1:VRD1"/>
    <mergeCell ref="VRE1:VRL1"/>
    <mergeCell ref="VRM1:VRT1"/>
    <mergeCell ref="VRU1:VSB1"/>
    <mergeCell ref="VSC1:VSJ1"/>
    <mergeCell ref="VSK1:VSR1"/>
    <mergeCell ref="VSS1:VSZ1"/>
    <mergeCell ref="VTA1:VTH1"/>
    <mergeCell ref="VTI1:VTP1"/>
    <mergeCell ref="VTQ1:VTX1"/>
    <mergeCell ref="VTY1:VUF1"/>
    <mergeCell ref="VUG1:VUN1"/>
    <mergeCell ref="VUO1:VUV1"/>
    <mergeCell ref="VKK1:VKR1"/>
    <mergeCell ref="VKS1:VKZ1"/>
    <mergeCell ref="VLA1:VLH1"/>
    <mergeCell ref="VLI1:VLP1"/>
    <mergeCell ref="VLQ1:VLX1"/>
    <mergeCell ref="VLY1:VMF1"/>
    <mergeCell ref="VMG1:VMN1"/>
    <mergeCell ref="VMO1:VMV1"/>
    <mergeCell ref="VMW1:VND1"/>
    <mergeCell ref="VNE1:VNL1"/>
    <mergeCell ref="VNM1:VNT1"/>
    <mergeCell ref="VNU1:VOB1"/>
    <mergeCell ref="VOC1:VOJ1"/>
    <mergeCell ref="VOK1:VOR1"/>
    <mergeCell ref="VOS1:VOZ1"/>
    <mergeCell ref="VPA1:VPH1"/>
    <mergeCell ref="VPI1:VPP1"/>
    <mergeCell ref="VFE1:VFL1"/>
    <mergeCell ref="VFM1:VFT1"/>
    <mergeCell ref="VFU1:VGB1"/>
    <mergeCell ref="VGC1:VGJ1"/>
    <mergeCell ref="VGK1:VGR1"/>
    <mergeCell ref="VGS1:VGZ1"/>
    <mergeCell ref="VHA1:VHH1"/>
    <mergeCell ref="VHI1:VHP1"/>
    <mergeCell ref="VHQ1:VHX1"/>
    <mergeCell ref="VHY1:VIF1"/>
    <mergeCell ref="VIG1:VIN1"/>
    <mergeCell ref="VIO1:VIV1"/>
    <mergeCell ref="VIW1:VJD1"/>
    <mergeCell ref="VJE1:VJL1"/>
    <mergeCell ref="VJM1:VJT1"/>
    <mergeCell ref="VJU1:VKB1"/>
    <mergeCell ref="VKC1:VKJ1"/>
    <mergeCell ref="UZY1:VAF1"/>
    <mergeCell ref="VAG1:VAN1"/>
    <mergeCell ref="VAO1:VAV1"/>
    <mergeCell ref="VAW1:VBD1"/>
    <mergeCell ref="VBE1:VBL1"/>
    <mergeCell ref="VBM1:VBT1"/>
    <mergeCell ref="VBU1:VCB1"/>
    <mergeCell ref="VCC1:VCJ1"/>
    <mergeCell ref="VCK1:VCR1"/>
    <mergeCell ref="VCS1:VCZ1"/>
    <mergeCell ref="VDA1:VDH1"/>
    <mergeCell ref="VDI1:VDP1"/>
    <mergeCell ref="VDQ1:VDX1"/>
    <mergeCell ref="VDY1:VEF1"/>
    <mergeCell ref="VEG1:VEN1"/>
    <mergeCell ref="VEO1:VEV1"/>
    <mergeCell ref="VEW1:VFD1"/>
    <mergeCell ref="UUS1:UUZ1"/>
    <mergeCell ref="UVA1:UVH1"/>
    <mergeCell ref="UVI1:UVP1"/>
    <mergeCell ref="UVQ1:UVX1"/>
    <mergeCell ref="UVY1:UWF1"/>
    <mergeCell ref="UWG1:UWN1"/>
    <mergeCell ref="UWO1:UWV1"/>
    <mergeCell ref="UWW1:UXD1"/>
    <mergeCell ref="UXE1:UXL1"/>
    <mergeCell ref="UXM1:UXT1"/>
    <mergeCell ref="UXU1:UYB1"/>
    <mergeCell ref="UYC1:UYJ1"/>
    <mergeCell ref="UYK1:UYR1"/>
    <mergeCell ref="UYS1:UYZ1"/>
    <mergeCell ref="UZA1:UZH1"/>
    <mergeCell ref="UZI1:UZP1"/>
    <mergeCell ref="UZQ1:UZX1"/>
    <mergeCell ref="UPM1:UPT1"/>
    <mergeCell ref="UPU1:UQB1"/>
    <mergeCell ref="UQC1:UQJ1"/>
    <mergeCell ref="UQK1:UQR1"/>
    <mergeCell ref="UQS1:UQZ1"/>
    <mergeCell ref="URA1:URH1"/>
    <mergeCell ref="URI1:URP1"/>
    <mergeCell ref="URQ1:URX1"/>
    <mergeCell ref="URY1:USF1"/>
    <mergeCell ref="USG1:USN1"/>
    <mergeCell ref="USO1:USV1"/>
    <mergeCell ref="USW1:UTD1"/>
    <mergeCell ref="UTE1:UTL1"/>
    <mergeCell ref="UTM1:UTT1"/>
    <mergeCell ref="UTU1:UUB1"/>
    <mergeCell ref="UUC1:UUJ1"/>
    <mergeCell ref="UUK1:UUR1"/>
    <mergeCell ref="UKG1:UKN1"/>
    <mergeCell ref="UKO1:UKV1"/>
    <mergeCell ref="UKW1:ULD1"/>
    <mergeCell ref="ULE1:ULL1"/>
    <mergeCell ref="ULM1:ULT1"/>
    <mergeCell ref="ULU1:UMB1"/>
    <mergeCell ref="UMC1:UMJ1"/>
    <mergeCell ref="UMK1:UMR1"/>
    <mergeCell ref="UMS1:UMZ1"/>
    <mergeCell ref="UNA1:UNH1"/>
    <mergeCell ref="UNI1:UNP1"/>
    <mergeCell ref="UNQ1:UNX1"/>
    <mergeCell ref="UNY1:UOF1"/>
    <mergeCell ref="UOG1:UON1"/>
    <mergeCell ref="UOO1:UOV1"/>
    <mergeCell ref="UOW1:UPD1"/>
    <mergeCell ref="UPE1:UPL1"/>
    <mergeCell ref="UFA1:UFH1"/>
    <mergeCell ref="UFI1:UFP1"/>
    <mergeCell ref="UFQ1:UFX1"/>
    <mergeCell ref="UFY1:UGF1"/>
    <mergeCell ref="UGG1:UGN1"/>
    <mergeCell ref="UGO1:UGV1"/>
    <mergeCell ref="UGW1:UHD1"/>
    <mergeCell ref="UHE1:UHL1"/>
    <mergeCell ref="UHM1:UHT1"/>
    <mergeCell ref="UHU1:UIB1"/>
    <mergeCell ref="UIC1:UIJ1"/>
    <mergeCell ref="UIK1:UIR1"/>
    <mergeCell ref="UIS1:UIZ1"/>
    <mergeCell ref="UJA1:UJH1"/>
    <mergeCell ref="UJI1:UJP1"/>
    <mergeCell ref="UJQ1:UJX1"/>
    <mergeCell ref="UJY1:UKF1"/>
    <mergeCell ref="TZU1:UAB1"/>
    <mergeCell ref="UAC1:UAJ1"/>
    <mergeCell ref="UAK1:UAR1"/>
    <mergeCell ref="UAS1:UAZ1"/>
    <mergeCell ref="UBA1:UBH1"/>
    <mergeCell ref="UBI1:UBP1"/>
    <mergeCell ref="UBQ1:UBX1"/>
    <mergeCell ref="UBY1:UCF1"/>
    <mergeCell ref="UCG1:UCN1"/>
    <mergeCell ref="UCO1:UCV1"/>
    <mergeCell ref="UCW1:UDD1"/>
    <mergeCell ref="UDE1:UDL1"/>
    <mergeCell ref="UDM1:UDT1"/>
    <mergeCell ref="UDU1:UEB1"/>
    <mergeCell ref="UEC1:UEJ1"/>
    <mergeCell ref="UEK1:UER1"/>
    <mergeCell ref="UES1:UEZ1"/>
    <mergeCell ref="TUO1:TUV1"/>
    <mergeCell ref="TUW1:TVD1"/>
    <mergeCell ref="TVE1:TVL1"/>
    <mergeCell ref="TVM1:TVT1"/>
    <mergeCell ref="TVU1:TWB1"/>
    <mergeCell ref="TWC1:TWJ1"/>
    <mergeCell ref="TWK1:TWR1"/>
    <mergeCell ref="TWS1:TWZ1"/>
    <mergeCell ref="TXA1:TXH1"/>
    <mergeCell ref="TXI1:TXP1"/>
    <mergeCell ref="TXQ1:TXX1"/>
    <mergeCell ref="TXY1:TYF1"/>
    <mergeCell ref="TYG1:TYN1"/>
    <mergeCell ref="TYO1:TYV1"/>
    <mergeCell ref="TYW1:TZD1"/>
    <mergeCell ref="TZE1:TZL1"/>
    <mergeCell ref="TZM1:TZT1"/>
    <mergeCell ref="TPI1:TPP1"/>
    <mergeCell ref="TPQ1:TPX1"/>
    <mergeCell ref="TPY1:TQF1"/>
    <mergeCell ref="TQG1:TQN1"/>
    <mergeCell ref="TQO1:TQV1"/>
    <mergeCell ref="TQW1:TRD1"/>
    <mergeCell ref="TRE1:TRL1"/>
    <mergeCell ref="TRM1:TRT1"/>
    <mergeCell ref="TRU1:TSB1"/>
    <mergeCell ref="TSC1:TSJ1"/>
    <mergeCell ref="TSK1:TSR1"/>
    <mergeCell ref="TSS1:TSZ1"/>
    <mergeCell ref="TTA1:TTH1"/>
    <mergeCell ref="TTI1:TTP1"/>
    <mergeCell ref="TTQ1:TTX1"/>
    <mergeCell ref="TTY1:TUF1"/>
    <mergeCell ref="TUG1:TUN1"/>
    <mergeCell ref="TKC1:TKJ1"/>
    <mergeCell ref="TKK1:TKR1"/>
    <mergeCell ref="TKS1:TKZ1"/>
    <mergeCell ref="TLA1:TLH1"/>
    <mergeCell ref="TLI1:TLP1"/>
    <mergeCell ref="TLQ1:TLX1"/>
    <mergeCell ref="TLY1:TMF1"/>
    <mergeCell ref="TMG1:TMN1"/>
    <mergeCell ref="TMO1:TMV1"/>
    <mergeCell ref="TMW1:TND1"/>
    <mergeCell ref="TNE1:TNL1"/>
    <mergeCell ref="TNM1:TNT1"/>
    <mergeCell ref="TNU1:TOB1"/>
    <mergeCell ref="TOC1:TOJ1"/>
    <mergeCell ref="TOK1:TOR1"/>
    <mergeCell ref="TOS1:TOZ1"/>
    <mergeCell ref="TPA1:TPH1"/>
    <mergeCell ref="PDI1:PDP1"/>
    <mergeCell ref="PDQ1:PDX1"/>
    <mergeCell ref="PDY1:PEF1"/>
    <mergeCell ref="PEG1:PEN1"/>
    <mergeCell ref="PEO1:PEV1"/>
    <mergeCell ref="PEW1:PFD1"/>
    <mergeCell ref="PFE1:PFL1"/>
    <mergeCell ref="PFM1:PFT1"/>
    <mergeCell ref="PFU1:PGB1"/>
    <mergeCell ref="PGC1:PGJ1"/>
    <mergeCell ref="PGK1:PGR1"/>
    <mergeCell ref="PGS1:PGZ1"/>
    <mergeCell ref="TIO1:TIV1"/>
    <mergeCell ref="TIW1:TJD1"/>
    <mergeCell ref="TJE1:TJL1"/>
    <mergeCell ref="TJM1:TJT1"/>
    <mergeCell ref="TJU1:TKB1"/>
    <mergeCell ref="PHA1:PHH1"/>
    <mergeCell ref="PHI1:PHP1"/>
    <mergeCell ref="PHQ1:PHX1"/>
    <mergeCell ref="PHY1:PIF1"/>
    <mergeCell ref="PIG1:PIN1"/>
    <mergeCell ref="PIO1:PIV1"/>
    <mergeCell ref="PIW1:PJD1"/>
    <mergeCell ref="PJE1:PJL1"/>
    <mergeCell ref="PJM1:PJT1"/>
    <mergeCell ref="PJU1:PKB1"/>
    <mergeCell ref="PKC1:PKJ1"/>
    <mergeCell ref="PKK1:PKR1"/>
    <mergeCell ref="PKS1:PKZ1"/>
    <mergeCell ref="PLA1:PLH1"/>
    <mergeCell ref="PLI1:PLP1"/>
    <mergeCell ref="OYC1:OYJ1"/>
    <mergeCell ref="OYK1:OYR1"/>
    <mergeCell ref="OYS1:OYZ1"/>
    <mergeCell ref="OZA1:OZH1"/>
    <mergeCell ref="OZI1:OZP1"/>
    <mergeCell ref="OZQ1:OZX1"/>
    <mergeCell ref="OZY1:PAF1"/>
    <mergeCell ref="PAG1:PAN1"/>
    <mergeCell ref="PAO1:PAV1"/>
    <mergeCell ref="PAW1:PBD1"/>
    <mergeCell ref="PBE1:PBL1"/>
    <mergeCell ref="PBM1:PBT1"/>
    <mergeCell ref="PBU1:PCB1"/>
    <mergeCell ref="PCC1:PCJ1"/>
    <mergeCell ref="PCK1:PCR1"/>
    <mergeCell ref="PCS1:PCZ1"/>
    <mergeCell ref="PDA1:PDH1"/>
    <mergeCell ref="OSW1:OTD1"/>
    <mergeCell ref="OTE1:OTL1"/>
    <mergeCell ref="OTM1:OTT1"/>
    <mergeCell ref="OTU1:OUB1"/>
    <mergeCell ref="OUC1:OUJ1"/>
    <mergeCell ref="OUK1:OUR1"/>
    <mergeCell ref="OUS1:OUZ1"/>
    <mergeCell ref="OVA1:OVH1"/>
    <mergeCell ref="OVI1:OVP1"/>
    <mergeCell ref="OVQ1:OVX1"/>
    <mergeCell ref="OVY1:OWF1"/>
    <mergeCell ref="OWG1:OWN1"/>
    <mergeCell ref="OWO1:OWV1"/>
    <mergeCell ref="OWW1:OXD1"/>
    <mergeCell ref="OXE1:OXL1"/>
    <mergeCell ref="OXM1:OXT1"/>
    <mergeCell ref="OXU1:OYB1"/>
    <mergeCell ref="ONQ1:ONX1"/>
    <mergeCell ref="ONY1:OOF1"/>
    <mergeCell ref="OOG1:OON1"/>
    <mergeCell ref="OOO1:OOV1"/>
    <mergeCell ref="OOW1:OPD1"/>
    <mergeCell ref="OPE1:OPL1"/>
    <mergeCell ref="OPM1:OPT1"/>
    <mergeCell ref="OPU1:OQB1"/>
    <mergeCell ref="OQC1:OQJ1"/>
    <mergeCell ref="OQK1:OQR1"/>
    <mergeCell ref="OQS1:OQZ1"/>
    <mergeCell ref="ORA1:ORH1"/>
    <mergeCell ref="ORI1:ORP1"/>
    <mergeCell ref="ORQ1:ORX1"/>
    <mergeCell ref="ORY1:OSF1"/>
    <mergeCell ref="OSG1:OSN1"/>
    <mergeCell ref="OSO1:OSV1"/>
    <mergeCell ref="OIK1:OIR1"/>
    <mergeCell ref="OIS1:OIZ1"/>
    <mergeCell ref="OJA1:OJH1"/>
    <mergeCell ref="OJI1:OJP1"/>
    <mergeCell ref="OJQ1:OJX1"/>
    <mergeCell ref="OJY1:OKF1"/>
    <mergeCell ref="OKG1:OKN1"/>
    <mergeCell ref="OKO1:OKV1"/>
    <mergeCell ref="OKW1:OLD1"/>
    <mergeCell ref="OLE1:OLL1"/>
    <mergeCell ref="OLM1:OLT1"/>
    <mergeCell ref="OLU1:OMB1"/>
    <mergeCell ref="OMC1:OMJ1"/>
    <mergeCell ref="OMK1:OMR1"/>
    <mergeCell ref="OMS1:OMZ1"/>
    <mergeCell ref="ONA1:ONH1"/>
    <mergeCell ref="ONI1:ONP1"/>
    <mergeCell ref="ODE1:ODL1"/>
    <mergeCell ref="ODM1:ODT1"/>
    <mergeCell ref="ODU1:OEB1"/>
    <mergeCell ref="OEC1:OEJ1"/>
    <mergeCell ref="OEK1:OER1"/>
    <mergeCell ref="OES1:OEZ1"/>
    <mergeCell ref="OFA1:OFH1"/>
    <mergeCell ref="OFI1:OFP1"/>
    <mergeCell ref="OFQ1:OFX1"/>
    <mergeCell ref="OFY1:OGF1"/>
    <mergeCell ref="OGG1:OGN1"/>
    <mergeCell ref="OGO1:OGV1"/>
    <mergeCell ref="OGW1:OHD1"/>
    <mergeCell ref="OHE1:OHL1"/>
    <mergeCell ref="OHM1:OHT1"/>
    <mergeCell ref="OHU1:OIB1"/>
    <mergeCell ref="OIC1:OIJ1"/>
    <mergeCell ref="NXY1:NYF1"/>
    <mergeCell ref="NYG1:NYN1"/>
    <mergeCell ref="NYO1:NYV1"/>
    <mergeCell ref="NYW1:NZD1"/>
    <mergeCell ref="NZE1:NZL1"/>
    <mergeCell ref="NZM1:NZT1"/>
    <mergeCell ref="NZU1:OAB1"/>
    <mergeCell ref="OAC1:OAJ1"/>
    <mergeCell ref="OAK1:OAR1"/>
    <mergeCell ref="OAS1:OAZ1"/>
    <mergeCell ref="OBA1:OBH1"/>
    <mergeCell ref="OBI1:OBP1"/>
    <mergeCell ref="OBQ1:OBX1"/>
    <mergeCell ref="OBY1:OCF1"/>
    <mergeCell ref="OCG1:OCN1"/>
    <mergeCell ref="OCO1:OCV1"/>
    <mergeCell ref="OCW1:ODD1"/>
    <mergeCell ref="NSS1:NSZ1"/>
    <mergeCell ref="NTA1:NTH1"/>
    <mergeCell ref="NTI1:NTP1"/>
    <mergeCell ref="NTQ1:NTX1"/>
    <mergeCell ref="NTY1:NUF1"/>
    <mergeCell ref="NUG1:NUN1"/>
    <mergeCell ref="NUO1:NUV1"/>
    <mergeCell ref="NUW1:NVD1"/>
    <mergeCell ref="NVE1:NVL1"/>
    <mergeCell ref="NVM1:NVT1"/>
    <mergeCell ref="NVU1:NWB1"/>
    <mergeCell ref="NWC1:NWJ1"/>
    <mergeCell ref="NWK1:NWR1"/>
    <mergeCell ref="NWS1:NWZ1"/>
    <mergeCell ref="NXA1:NXH1"/>
    <mergeCell ref="NXI1:NXP1"/>
    <mergeCell ref="NXQ1:NXX1"/>
    <mergeCell ref="NNM1:NNT1"/>
    <mergeCell ref="NNU1:NOB1"/>
    <mergeCell ref="NOC1:NOJ1"/>
    <mergeCell ref="NOK1:NOR1"/>
    <mergeCell ref="NOS1:NOZ1"/>
    <mergeCell ref="NPA1:NPH1"/>
    <mergeCell ref="NPI1:NPP1"/>
    <mergeCell ref="NPQ1:NPX1"/>
    <mergeCell ref="NPY1:NQF1"/>
    <mergeCell ref="NQG1:NQN1"/>
    <mergeCell ref="NQO1:NQV1"/>
    <mergeCell ref="NQW1:NRD1"/>
    <mergeCell ref="NRE1:NRL1"/>
    <mergeCell ref="NRM1:NRT1"/>
    <mergeCell ref="NRU1:NSB1"/>
    <mergeCell ref="NSC1:NSJ1"/>
    <mergeCell ref="NSK1:NSR1"/>
    <mergeCell ref="NIG1:NIN1"/>
    <mergeCell ref="NIO1:NIV1"/>
    <mergeCell ref="NIW1:NJD1"/>
    <mergeCell ref="NJE1:NJL1"/>
    <mergeCell ref="NJM1:NJT1"/>
    <mergeCell ref="NJU1:NKB1"/>
    <mergeCell ref="NKC1:NKJ1"/>
    <mergeCell ref="NKK1:NKR1"/>
    <mergeCell ref="NKS1:NKZ1"/>
    <mergeCell ref="NLA1:NLH1"/>
    <mergeCell ref="NLI1:NLP1"/>
    <mergeCell ref="NLQ1:NLX1"/>
    <mergeCell ref="NLY1:NMF1"/>
    <mergeCell ref="NMG1:NMN1"/>
    <mergeCell ref="NMO1:NMV1"/>
    <mergeCell ref="NMW1:NND1"/>
    <mergeCell ref="NNE1:NNL1"/>
    <mergeCell ref="NDA1:NDH1"/>
    <mergeCell ref="NDI1:NDP1"/>
    <mergeCell ref="NDQ1:NDX1"/>
    <mergeCell ref="NDY1:NEF1"/>
    <mergeCell ref="NEG1:NEN1"/>
    <mergeCell ref="NEO1:NEV1"/>
    <mergeCell ref="NEW1:NFD1"/>
    <mergeCell ref="NFE1:NFL1"/>
    <mergeCell ref="NFM1:NFT1"/>
    <mergeCell ref="NFU1:NGB1"/>
    <mergeCell ref="NGC1:NGJ1"/>
    <mergeCell ref="NGK1:NGR1"/>
    <mergeCell ref="NGS1:NGZ1"/>
    <mergeCell ref="NHA1:NHH1"/>
    <mergeCell ref="NHI1:NHP1"/>
    <mergeCell ref="NHQ1:NHX1"/>
    <mergeCell ref="NHY1:NIF1"/>
    <mergeCell ref="MXU1:MYB1"/>
    <mergeCell ref="MYC1:MYJ1"/>
    <mergeCell ref="MYK1:MYR1"/>
    <mergeCell ref="MYS1:MYZ1"/>
    <mergeCell ref="MZA1:MZH1"/>
    <mergeCell ref="MZI1:MZP1"/>
    <mergeCell ref="MZQ1:MZX1"/>
    <mergeCell ref="MZY1:NAF1"/>
    <mergeCell ref="NAG1:NAN1"/>
    <mergeCell ref="NAO1:NAV1"/>
    <mergeCell ref="NAW1:NBD1"/>
    <mergeCell ref="NBE1:NBL1"/>
    <mergeCell ref="NBM1:NBT1"/>
    <mergeCell ref="NBU1:NCB1"/>
    <mergeCell ref="NCC1:NCJ1"/>
    <mergeCell ref="NCK1:NCR1"/>
    <mergeCell ref="NCS1:NCZ1"/>
    <mergeCell ref="MSO1:MSV1"/>
    <mergeCell ref="MSW1:MTD1"/>
    <mergeCell ref="MTE1:MTL1"/>
    <mergeCell ref="MTM1:MTT1"/>
    <mergeCell ref="MTU1:MUB1"/>
    <mergeCell ref="MUC1:MUJ1"/>
    <mergeCell ref="MUK1:MUR1"/>
    <mergeCell ref="MUS1:MUZ1"/>
    <mergeCell ref="MVA1:MVH1"/>
    <mergeCell ref="MVI1:MVP1"/>
    <mergeCell ref="MVQ1:MVX1"/>
    <mergeCell ref="MVY1:MWF1"/>
    <mergeCell ref="MWG1:MWN1"/>
    <mergeCell ref="MWO1:MWV1"/>
    <mergeCell ref="MWW1:MXD1"/>
    <mergeCell ref="MXE1:MXL1"/>
    <mergeCell ref="MXM1:MXT1"/>
    <mergeCell ref="MNI1:MNP1"/>
    <mergeCell ref="MNQ1:MNX1"/>
    <mergeCell ref="MNY1:MOF1"/>
    <mergeCell ref="MOG1:MON1"/>
    <mergeCell ref="MOO1:MOV1"/>
    <mergeCell ref="MOW1:MPD1"/>
    <mergeCell ref="MPE1:MPL1"/>
    <mergeCell ref="MPM1:MPT1"/>
    <mergeCell ref="MPU1:MQB1"/>
    <mergeCell ref="MQC1:MQJ1"/>
    <mergeCell ref="MQK1:MQR1"/>
    <mergeCell ref="MQS1:MQZ1"/>
    <mergeCell ref="MRA1:MRH1"/>
    <mergeCell ref="MRI1:MRP1"/>
    <mergeCell ref="MRQ1:MRX1"/>
    <mergeCell ref="MRY1:MSF1"/>
    <mergeCell ref="MSG1:MSN1"/>
    <mergeCell ref="MIC1:MIJ1"/>
    <mergeCell ref="MIK1:MIR1"/>
    <mergeCell ref="MIS1:MIZ1"/>
    <mergeCell ref="MJA1:MJH1"/>
    <mergeCell ref="MJI1:MJP1"/>
    <mergeCell ref="MJQ1:MJX1"/>
    <mergeCell ref="MJY1:MKF1"/>
    <mergeCell ref="MKG1:MKN1"/>
    <mergeCell ref="MKO1:MKV1"/>
    <mergeCell ref="MKW1:MLD1"/>
    <mergeCell ref="MLE1:MLL1"/>
    <mergeCell ref="MLM1:MLT1"/>
    <mergeCell ref="MLU1:MMB1"/>
    <mergeCell ref="MMC1:MMJ1"/>
    <mergeCell ref="MMK1:MMR1"/>
    <mergeCell ref="MMS1:MMZ1"/>
    <mergeCell ref="MNA1:MNH1"/>
    <mergeCell ref="MCW1:MDD1"/>
    <mergeCell ref="MDE1:MDL1"/>
    <mergeCell ref="MDM1:MDT1"/>
    <mergeCell ref="MDU1:MEB1"/>
    <mergeCell ref="MEC1:MEJ1"/>
    <mergeCell ref="MEK1:MER1"/>
    <mergeCell ref="MES1:MEZ1"/>
    <mergeCell ref="MFA1:MFH1"/>
    <mergeCell ref="MFI1:MFP1"/>
    <mergeCell ref="MFQ1:MFX1"/>
    <mergeCell ref="MFY1:MGF1"/>
    <mergeCell ref="MGG1:MGN1"/>
    <mergeCell ref="MGO1:MGV1"/>
    <mergeCell ref="MGW1:MHD1"/>
    <mergeCell ref="MHE1:MHL1"/>
    <mergeCell ref="MHM1:MHT1"/>
    <mergeCell ref="MHU1:MIB1"/>
    <mergeCell ref="LXQ1:LXX1"/>
    <mergeCell ref="LXY1:LYF1"/>
    <mergeCell ref="LYG1:LYN1"/>
    <mergeCell ref="LYO1:LYV1"/>
    <mergeCell ref="LYW1:LZD1"/>
    <mergeCell ref="LZE1:LZL1"/>
    <mergeCell ref="LZM1:LZT1"/>
    <mergeCell ref="LZU1:MAB1"/>
    <mergeCell ref="MAC1:MAJ1"/>
    <mergeCell ref="MAK1:MAR1"/>
    <mergeCell ref="MAS1:MAZ1"/>
    <mergeCell ref="MBA1:MBH1"/>
    <mergeCell ref="MBI1:MBP1"/>
    <mergeCell ref="MBQ1:MBX1"/>
    <mergeCell ref="MBY1:MCF1"/>
    <mergeCell ref="MCG1:MCN1"/>
    <mergeCell ref="MCO1:MCV1"/>
    <mergeCell ref="LSK1:LSR1"/>
    <mergeCell ref="LSS1:LSZ1"/>
    <mergeCell ref="LTA1:LTH1"/>
    <mergeCell ref="LTI1:LTP1"/>
    <mergeCell ref="LTQ1:LTX1"/>
    <mergeCell ref="LTY1:LUF1"/>
    <mergeCell ref="LUG1:LUN1"/>
    <mergeCell ref="LUO1:LUV1"/>
    <mergeCell ref="LUW1:LVD1"/>
    <mergeCell ref="LVE1:LVL1"/>
    <mergeCell ref="LVM1:LVT1"/>
    <mergeCell ref="LVU1:LWB1"/>
    <mergeCell ref="LWC1:LWJ1"/>
    <mergeCell ref="LWK1:LWR1"/>
    <mergeCell ref="LWS1:LWZ1"/>
    <mergeCell ref="LXA1:LXH1"/>
    <mergeCell ref="LXI1:LXP1"/>
    <mergeCell ref="LNE1:LNL1"/>
    <mergeCell ref="LNM1:LNT1"/>
    <mergeCell ref="LNU1:LOB1"/>
    <mergeCell ref="LOC1:LOJ1"/>
    <mergeCell ref="LOK1:LOR1"/>
    <mergeCell ref="LOS1:LOZ1"/>
    <mergeCell ref="LPA1:LPH1"/>
    <mergeCell ref="LPI1:LPP1"/>
    <mergeCell ref="LPQ1:LPX1"/>
    <mergeCell ref="LPY1:LQF1"/>
    <mergeCell ref="LQG1:LQN1"/>
    <mergeCell ref="LQO1:LQV1"/>
    <mergeCell ref="LQW1:LRD1"/>
    <mergeCell ref="LRE1:LRL1"/>
    <mergeCell ref="LRM1:LRT1"/>
    <mergeCell ref="LRU1:LSB1"/>
    <mergeCell ref="LSC1:LSJ1"/>
    <mergeCell ref="LHY1:LIF1"/>
    <mergeCell ref="LIG1:LIN1"/>
    <mergeCell ref="LIO1:LIV1"/>
    <mergeCell ref="LIW1:LJD1"/>
    <mergeCell ref="LJE1:LJL1"/>
    <mergeCell ref="LJM1:LJT1"/>
    <mergeCell ref="LJU1:LKB1"/>
    <mergeCell ref="LKC1:LKJ1"/>
    <mergeCell ref="LKK1:LKR1"/>
    <mergeCell ref="LKS1:LKZ1"/>
    <mergeCell ref="LLA1:LLH1"/>
    <mergeCell ref="LLI1:LLP1"/>
    <mergeCell ref="LLQ1:LLX1"/>
    <mergeCell ref="LLY1:LMF1"/>
    <mergeCell ref="LMG1:LMN1"/>
    <mergeCell ref="LMO1:LMV1"/>
    <mergeCell ref="LMW1:LND1"/>
    <mergeCell ref="LCS1:LCZ1"/>
    <mergeCell ref="LDA1:LDH1"/>
    <mergeCell ref="LDI1:LDP1"/>
    <mergeCell ref="LDQ1:LDX1"/>
    <mergeCell ref="LDY1:LEF1"/>
    <mergeCell ref="LEG1:LEN1"/>
    <mergeCell ref="LEO1:LEV1"/>
    <mergeCell ref="LEW1:LFD1"/>
    <mergeCell ref="LFE1:LFL1"/>
    <mergeCell ref="LFM1:LFT1"/>
    <mergeCell ref="LFU1:LGB1"/>
    <mergeCell ref="LGC1:LGJ1"/>
    <mergeCell ref="LGK1:LGR1"/>
    <mergeCell ref="LGS1:LGZ1"/>
    <mergeCell ref="LHA1:LHH1"/>
    <mergeCell ref="LHI1:LHP1"/>
    <mergeCell ref="LHQ1:LHX1"/>
    <mergeCell ref="KXM1:KXT1"/>
    <mergeCell ref="KXU1:KYB1"/>
    <mergeCell ref="KYC1:KYJ1"/>
    <mergeCell ref="KYK1:KYR1"/>
    <mergeCell ref="KYS1:KYZ1"/>
    <mergeCell ref="KZA1:KZH1"/>
    <mergeCell ref="KZI1:KZP1"/>
    <mergeCell ref="KZQ1:KZX1"/>
    <mergeCell ref="KZY1:LAF1"/>
    <mergeCell ref="LAG1:LAN1"/>
    <mergeCell ref="LAO1:LAV1"/>
    <mergeCell ref="LAW1:LBD1"/>
    <mergeCell ref="LBE1:LBL1"/>
    <mergeCell ref="LBM1:LBT1"/>
    <mergeCell ref="LBU1:LCB1"/>
    <mergeCell ref="LCC1:LCJ1"/>
    <mergeCell ref="LCK1:LCR1"/>
    <mergeCell ref="KSG1:KSN1"/>
    <mergeCell ref="KSO1:KSV1"/>
    <mergeCell ref="KSW1:KTD1"/>
    <mergeCell ref="KTE1:KTL1"/>
    <mergeCell ref="KTM1:KTT1"/>
    <mergeCell ref="KTU1:KUB1"/>
    <mergeCell ref="KUC1:KUJ1"/>
    <mergeCell ref="KUK1:KUR1"/>
    <mergeCell ref="KUS1:KUZ1"/>
    <mergeCell ref="KVA1:KVH1"/>
    <mergeCell ref="KVI1:KVP1"/>
    <mergeCell ref="KVQ1:KVX1"/>
    <mergeCell ref="KVY1:KWF1"/>
    <mergeCell ref="KWG1:KWN1"/>
    <mergeCell ref="KWO1:KWV1"/>
    <mergeCell ref="KWW1:KXD1"/>
    <mergeCell ref="KXE1:KXL1"/>
    <mergeCell ref="KNA1:KNH1"/>
    <mergeCell ref="KNI1:KNP1"/>
    <mergeCell ref="KNQ1:KNX1"/>
    <mergeCell ref="KNY1:KOF1"/>
    <mergeCell ref="KOG1:KON1"/>
    <mergeCell ref="KOO1:KOV1"/>
    <mergeCell ref="KOW1:KPD1"/>
    <mergeCell ref="KPE1:KPL1"/>
    <mergeCell ref="KPM1:KPT1"/>
    <mergeCell ref="KPU1:KQB1"/>
    <mergeCell ref="KQC1:KQJ1"/>
    <mergeCell ref="KQK1:KQR1"/>
    <mergeCell ref="KQS1:KQZ1"/>
    <mergeCell ref="KRA1:KRH1"/>
    <mergeCell ref="KRI1:KRP1"/>
    <mergeCell ref="KRQ1:KRX1"/>
    <mergeCell ref="KRY1:KSF1"/>
    <mergeCell ref="KHU1:KIB1"/>
    <mergeCell ref="KIC1:KIJ1"/>
    <mergeCell ref="KIK1:KIR1"/>
    <mergeCell ref="KIS1:KIZ1"/>
    <mergeCell ref="KJA1:KJH1"/>
    <mergeCell ref="KJI1:KJP1"/>
    <mergeCell ref="KJQ1:KJX1"/>
    <mergeCell ref="KJY1:KKF1"/>
    <mergeCell ref="KKG1:KKN1"/>
    <mergeCell ref="KKO1:KKV1"/>
    <mergeCell ref="KKW1:KLD1"/>
    <mergeCell ref="KLE1:KLL1"/>
    <mergeCell ref="KLM1:KLT1"/>
    <mergeCell ref="KLU1:KMB1"/>
    <mergeCell ref="KMC1:KMJ1"/>
    <mergeCell ref="KMK1:KMR1"/>
    <mergeCell ref="KMS1:KMZ1"/>
    <mergeCell ref="KCO1:KCV1"/>
    <mergeCell ref="KCW1:KDD1"/>
    <mergeCell ref="KDE1:KDL1"/>
    <mergeCell ref="KDM1:KDT1"/>
    <mergeCell ref="KDU1:KEB1"/>
    <mergeCell ref="KEC1:KEJ1"/>
    <mergeCell ref="KEK1:KER1"/>
    <mergeCell ref="KES1:KEZ1"/>
    <mergeCell ref="KFA1:KFH1"/>
    <mergeCell ref="KFI1:KFP1"/>
    <mergeCell ref="KFQ1:KFX1"/>
    <mergeCell ref="KFY1:KGF1"/>
    <mergeCell ref="KGG1:KGN1"/>
    <mergeCell ref="KGO1:KGV1"/>
    <mergeCell ref="KGW1:KHD1"/>
    <mergeCell ref="KHE1:KHL1"/>
    <mergeCell ref="KHM1:KHT1"/>
    <mergeCell ref="JXI1:JXP1"/>
    <mergeCell ref="JXQ1:JXX1"/>
    <mergeCell ref="JXY1:JYF1"/>
    <mergeCell ref="JYG1:JYN1"/>
    <mergeCell ref="JYO1:JYV1"/>
    <mergeCell ref="JYW1:JZD1"/>
    <mergeCell ref="JZE1:JZL1"/>
    <mergeCell ref="JZM1:JZT1"/>
    <mergeCell ref="JZU1:KAB1"/>
    <mergeCell ref="KAC1:KAJ1"/>
    <mergeCell ref="KAK1:KAR1"/>
    <mergeCell ref="KAS1:KAZ1"/>
    <mergeCell ref="KBA1:KBH1"/>
    <mergeCell ref="KBI1:KBP1"/>
    <mergeCell ref="KBQ1:KBX1"/>
    <mergeCell ref="KBY1:KCF1"/>
    <mergeCell ref="KCG1:KCN1"/>
    <mergeCell ref="JSC1:JSJ1"/>
    <mergeCell ref="JSK1:JSR1"/>
    <mergeCell ref="JSS1:JSZ1"/>
    <mergeCell ref="JTA1:JTH1"/>
    <mergeCell ref="JTI1:JTP1"/>
    <mergeCell ref="JTQ1:JTX1"/>
    <mergeCell ref="JTY1:JUF1"/>
    <mergeCell ref="JUG1:JUN1"/>
    <mergeCell ref="JUO1:JUV1"/>
    <mergeCell ref="JUW1:JVD1"/>
    <mergeCell ref="JVE1:JVL1"/>
    <mergeCell ref="JVM1:JVT1"/>
    <mergeCell ref="JVU1:JWB1"/>
    <mergeCell ref="JWC1:JWJ1"/>
    <mergeCell ref="JWK1:JWR1"/>
    <mergeCell ref="JWS1:JWZ1"/>
    <mergeCell ref="JXA1:JXH1"/>
    <mergeCell ref="JMW1:JND1"/>
    <mergeCell ref="JNE1:JNL1"/>
    <mergeCell ref="JNM1:JNT1"/>
    <mergeCell ref="JNU1:JOB1"/>
    <mergeCell ref="JOC1:JOJ1"/>
    <mergeCell ref="JOK1:JOR1"/>
    <mergeCell ref="JOS1:JOZ1"/>
    <mergeCell ref="JPA1:JPH1"/>
    <mergeCell ref="JPI1:JPP1"/>
    <mergeCell ref="JPQ1:JPX1"/>
    <mergeCell ref="JPY1:JQF1"/>
    <mergeCell ref="JQG1:JQN1"/>
    <mergeCell ref="JQO1:JQV1"/>
    <mergeCell ref="JQW1:JRD1"/>
    <mergeCell ref="JRE1:JRL1"/>
    <mergeCell ref="JRM1:JRT1"/>
    <mergeCell ref="JRU1:JSB1"/>
    <mergeCell ref="JHQ1:JHX1"/>
    <mergeCell ref="JHY1:JIF1"/>
    <mergeCell ref="JIG1:JIN1"/>
    <mergeCell ref="JIO1:JIV1"/>
    <mergeCell ref="JIW1:JJD1"/>
    <mergeCell ref="JJE1:JJL1"/>
    <mergeCell ref="JJM1:JJT1"/>
    <mergeCell ref="JJU1:JKB1"/>
    <mergeCell ref="JKC1:JKJ1"/>
    <mergeCell ref="JKK1:JKR1"/>
    <mergeCell ref="JKS1:JKZ1"/>
    <mergeCell ref="JLA1:JLH1"/>
    <mergeCell ref="JLI1:JLP1"/>
    <mergeCell ref="JLQ1:JLX1"/>
    <mergeCell ref="JLY1:JMF1"/>
    <mergeCell ref="JMG1:JMN1"/>
    <mergeCell ref="JMO1:JMV1"/>
    <mergeCell ref="JCK1:JCR1"/>
    <mergeCell ref="JCS1:JCZ1"/>
    <mergeCell ref="JDA1:JDH1"/>
    <mergeCell ref="JDI1:JDP1"/>
    <mergeCell ref="JDQ1:JDX1"/>
    <mergeCell ref="JDY1:JEF1"/>
    <mergeCell ref="JEG1:JEN1"/>
    <mergeCell ref="JEO1:JEV1"/>
    <mergeCell ref="JEW1:JFD1"/>
    <mergeCell ref="JFE1:JFL1"/>
    <mergeCell ref="JFM1:JFT1"/>
    <mergeCell ref="JFU1:JGB1"/>
    <mergeCell ref="JGC1:JGJ1"/>
    <mergeCell ref="JGK1:JGR1"/>
    <mergeCell ref="JGS1:JGZ1"/>
    <mergeCell ref="JHA1:JHH1"/>
    <mergeCell ref="JHI1:JHP1"/>
    <mergeCell ref="IXE1:IXL1"/>
    <mergeCell ref="IXM1:IXT1"/>
    <mergeCell ref="IXU1:IYB1"/>
    <mergeCell ref="IYC1:IYJ1"/>
    <mergeCell ref="IYK1:IYR1"/>
    <mergeCell ref="IYS1:IYZ1"/>
    <mergeCell ref="IZA1:IZH1"/>
    <mergeCell ref="IZI1:IZP1"/>
    <mergeCell ref="IZQ1:IZX1"/>
    <mergeCell ref="IZY1:JAF1"/>
    <mergeCell ref="JAG1:JAN1"/>
    <mergeCell ref="JAO1:JAV1"/>
    <mergeCell ref="JAW1:JBD1"/>
    <mergeCell ref="JBE1:JBL1"/>
    <mergeCell ref="JBM1:JBT1"/>
    <mergeCell ref="JBU1:JCB1"/>
    <mergeCell ref="JCC1:JCJ1"/>
    <mergeCell ref="IRY1:ISF1"/>
    <mergeCell ref="ISG1:ISN1"/>
    <mergeCell ref="ISO1:ISV1"/>
    <mergeCell ref="ISW1:ITD1"/>
    <mergeCell ref="ITE1:ITL1"/>
    <mergeCell ref="ITM1:ITT1"/>
    <mergeCell ref="ITU1:IUB1"/>
    <mergeCell ref="IUC1:IUJ1"/>
    <mergeCell ref="IUK1:IUR1"/>
    <mergeCell ref="IUS1:IUZ1"/>
    <mergeCell ref="IVA1:IVH1"/>
    <mergeCell ref="IVI1:IVP1"/>
    <mergeCell ref="IVQ1:IVX1"/>
    <mergeCell ref="IVY1:IWF1"/>
    <mergeCell ref="IWG1:IWN1"/>
    <mergeCell ref="IWO1:IWV1"/>
    <mergeCell ref="IWW1:IXD1"/>
    <mergeCell ref="IMS1:IMZ1"/>
    <mergeCell ref="INA1:INH1"/>
    <mergeCell ref="INI1:INP1"/>
    <mergeCell ref="INQ1:INX1"/>
    <mergeCell ref="INY1:IOF1"/>
    <mergeCell ref="IOG1:ION1"/>
    <mergeCell ref="IOO1:IOV1"/>
    <mergeCell ref="IOW1:IPD1"/>
    <mergeCell ref="IPE1:IPL1"/>
    <mergeCell ref="IPM1:IPT1"/>
    <mergeCell ref="IPU1:IQB1"/>
    <mergeCell ref="IQC1:IQJ1"/>
    <mergeCell ref="IQK1:IQR1"/>
    <mergeCell ref="IQS1:IQZ1"/>
    <mergeCell ref="IRA1:IRH1"/>
    <mergeCell ref="IRI1:IRP1"/>
    <mergeCell ref="IRQ1:IRX1"/>
    <mergeCell ref="IHM1:IHT1"/>
    <mergeCell ref="IHU1:IIB1"/>
    <mergeCell ref="IIC1:IIJ1"/>
    <mergeCell ref="IIK1:IIR1"/>
    <mergeCell ref="IIS1:IIZ1"/>
    <mergeCell ref="IJA1:IJH1"/>
    <mergeCell ref="IJI1:IJP1"/>
    <mergeCell ref="IJQ1:IJX1"/>
    <mergeCell ref="IJY1:IKF1"/>
    <mergeCell ref="IKG1:IKN1"/>
    <mergeCell ref="IKO1:IKV1"/>
    <mergeCell ref="IKW1:ILD1"/>
    <mergeCell ref="ILE1:ILL1"/>
    <mergeCell ref="ILM1:ILT1"/>
    <mergeCell ref="ILU1:IMB1"/>
    <mergeCell ref="IMC1:IMJ1"/>
    <mergeCell ref="IMK1:IMR1"/>
    <mergeCell ref="ICG1:ICN1"/>
    <mergeCell ref="ICO1:ICV1"/>
    <mergeCell ref="ICW1:IDD1"/>
    <mergeCell ref="IDE1:IDL1"/>
    <mergeCell ref="IDM1:IDT1"/>
    <mergeCell ref="IDU1:IEB1"/>
    <mergeCell ref="IEC1:IEJ1"/>
    <mergeCell ref="IEK1:IER1"/>
    <mergeCell ref="IES1:IEZ1"/>
    <mergeCell ref="IFA1:IFH1"/>
    <mergeCell ref="IFI1:IFP1"/>
    <mergeCell ref="IFQ1:IFX1"/>
    <mergeCell ref="IFY1:IGF1"/>
    <mergeCell ref="IGG1:IGN1"/>
    <mergeCell ref="IGO1:IGV1"/>
    <mergeCell ref="IGW1:IHD1"/>
    <mergeCell ref="IHE1:IHL1"/>
    <mergeCell ref="HXA1:HXH1"/>
    <mergeCell ref="HXI1:HXP1"/>
    <mergeCell ref="HXQ1:HXX1"/>
    <mergeCell ref="HXY1:HYF1"/>
    <mergeCell ref="HYG1:HYN1"/>
    <mergeCell ref="HYO1:HYV1"/>
    <mergeCell ref="HYW1:HZD1"/>
    <mergeCell ref="HZE1:HZL1"/>
    <mergeCell ref="HZM1:HZT1"/>
    <mergeCell ref="HZU1:IAB1"/>
    <mergeCell ref="IAC1:IAJ1"/>
    <mergeCell ref="IAK1:IAR1"/>
    <mergeCell ref="IAS1:IAZ1"/>
    <mergeCell ref="IBA1:IBH1"/>
    <mergeCell ref="IBI1:IBP1"/>
    <mergeCell ref="IBQ1:IBX1"/>
    <mergeCell ref="IBY1:ICF1"/>
    <mergeCell ref="HRU1:HSB1"/>
    <mergeCell ref="HSC1:HSJ1"/>
    <mergeCell ref="HSK1:HSR1"/>
    <mergeCell ref="HSS1:HSZ1"/>
    <mergeCell ref="HTA1:HTH1"/>
    <mergeCell ref="HTI1:HTP1"/>
    <mergeCell ref="HTQ1:HTX1"/>
    <mergeCell ref="HTY1:HUF1"/>
    <mergeCell ref="HUG1:HUN1"/>
    <mergeCell ref="HUO1:HUV1"/>
    <mergeCell ref="HUW1:HVD1"/>
    <mergeCell ref="HVE1:HVL1"/>
    <mergeCell ref="HVM1:HVT1"/>
    <mergeCell ref="HVU1:HWB1"/>
    <mergeCell ref="HWC1:HWJ1"/>
    <mergeCell ref="HWK1:HWR1"/>
    <mergeCell ref="HWS1:HWZ1"/>
    <mergeCell ref="HMO1:HMV1"/>
    <mergeCell ref="HMW1:HND1"/>
    <mergeCell ref="HNE1:HNL1"/>
    <mergeCell ref="HNM1:HNT1"/>
    <mergeCell ref="HNU1:HOB1"/>
    <mergeCell ref="HOC1:HOJ1"/>
    <mergeCell ref="HOK1:HOR1"/>
    <mergeCell ref="HOS1:HOZ1"/>
    <mergeCell ref="HPA1:HPH1"/>
    <mergeCell ref="HPI1:HPP1"/>
    <mergeCell ref="HPQ1:HPX1"/>
    <mergeCell ref="HPY1:HQF1"/>
    <mergeCell ref="HQG1:HQN1"/>
    <mergeCell ref="HQO1:HQV1"/>
    <mergeCell ref="HQW1:HRD1"/>
    <mergeCell ref="HRE1:HRL1"/>
    <mergeCell ref="HRM1:HRT1"/>
    <mergeCell ref="HHI1:HHP1"/>
    <mergeCell ref="HHQ1:HHX1"/>
    <mergeCell ref="HHY1:HIF1"/>
    <mergeCell ref="HIG1:HIN1"/>
    <mergeCell ref="HIO1:HIV1"/>
    <mergeCell ref="HIW1:HJD1"/>
    <mergeCell ref="HJE1:HJL1"/>
    <mergeCell ref="HJM1:HJT1"/>
    <mergeCell ref="HJU1:HKB1"/>
    <mergeCell ref="HKC1:HKJ1"/>
    <mergeCell ref="HKK1:HKR1"/>
    <mergeCell ref="HKS1:HKZ1"/>
    <mergeCell ref="HLA1:HLH1"/>
    <mergeCell ref="HLI1:HLP1"/>
    <mergeCell ref="HLQ1:HLX1"/>
    <mergeCell ref="HLY1:HMF1"/>
    <mergeCell ref="HMG1:HMN1"/>
    <mergeCell ref="HCC1:HCJ1"/>
    <mergeCell ref="HCK1:HCR1"/>
    <mergeCell ref="HCS1:HCZ1"/>
    <mergeCell ref="HDA1:HDH1"/>
    <mergeCell ref="HDI1:HDP1"/>
    <mergeCell ref="HDQ1:HDX1"/>
    <mergeCell ref="HDY1:HEF1"/>
    <mergeCell ref="HEG1:HEN1"/>
    <mergeCell ref="HEO1:HEV1"/>
    <mergeCell ref="HEW1:HFD1"/>
    <mergeCell ref="HFE1:HFL1"/>
    <mergeCell ref="HFM1:HFT1"/>
    <mergeCell ref="HFU1:HGB1"/>
    <mergeCell ref="HGC1:HGJ1"/>
    <mergeCell ref="HGK1:HGR1"/>
    <mergeCell ref="HGS1:HGZ1"/>
    <mergeCell ref="HHA1:HHH1"/>
    <mergeCell ref="GWW1:GXD1"/>
    <mergeCell ref="GXE1:GXL1"/>
    <mergeCell ref="GXM1:GXT1"/>
    <mergeCell ref="GXU1:GYB1"/>
    <mergeCell ref="GYC1:GYJ1"/>
    <mergeCell ref="GYK1:GYR1"/>
    <mergeCell ref="GYS1:GYZ1"/>
    <mergeCell ref="GZA1:GZH1"/>
    <mergeCell ref="GZI1:GZP1"/>
    <mergeCell ref="GZQ1:GZX1"/>
    <mergeCell ref="GZY1:HAF1"/>
    <mergeCell ref="HAG1:HAN1"/>
    <mergeCell ref="HAO1:HAV1"/>
    <mergeCell ref="HAW1:HBD1"/>
    <mergeCell ref="HBE1:HBL1"/>
    <mergeCell ref="HBM1:HBT1"/>
    <mergeCell ref="HBU1:HCB1"/>
    <mergeCell ref="GRQ1:GRX1"/>
    <mergeCell ref="GRY1:GSF1"/>
    <mergeCell ref="GSG1:GSN1"/>
    <mergeCell ref="GSO1:GSV1"/>
    <mergeCell ref="GSW1:GTD1"/>
    <mergeCell ref="GTE1:GTL1"/>
    <mergeCell ref="GTM1:GTT1"/>
    <mergeCell ref="GTU1:GUB1"/>
    <mergeCell ref="GUC1:GUJ1"/>
    <mergeCell ref="GUK1:GUR1"/>
    <mergeCell ref="GUS1:GUZ1"/>
    <mergeCell ref="GVA1:GVH1"/>
    <mergeCell ref="GVI1:GVP1"/>
    <mergeCell ref="GVQ1:GVX1"/>
    <mergeCell ref="GVY1:GWF1"/>
    <mergeCell ref="GWG1:GWN1"/>
    <mergeCell ref="GWO1:GWV1"/>
    <mergeCell ref="GMK1:GMR1"/>
    <mergeCell ref="GMS1:GMZ1"/>
    <mergeCell ref="GNA1:GNH1"/>
    <mergeCell ref="GNI1:GNP1"/>
    <mergeCell ref="GNQ1:GNX1"/>
    <mergeCell ref="GNY1:GOF1"/>
    <mergeCell ref="GOG1:GON1"/>
    <mergeCell ref="GOO1:GOV1"/>
    <mergeCell ref="GOW1:GPD1"/>
    <mergeCell ref="GPE1:GPL1"/>
    <mergeCell ref="GPM1:GPT1"/>
    <mergeCell ref="GPU1:GQB1"/>
    <mergeCell ref="GQC1:GQJ1"/>
    <mergeCell ref="GQK1:GQR1"/>
    <mergeCell ref="GQS1:GQZ1"/>
    <mergeCell ref="GRA1:GRH1"/>
    <mergeCell ref="GRI1:GRP1"/>
    <mergeCell ref="GHE1:GHL1"/>
    <mergeCell ref="GHM1:GHT1"/>
    <mergeCell ref="GHU1:GIB1"/>
    <mergeCell ref="GIC1:GIJ1"/>
    <mergeCell ref="GIK1:GIR1"/>
    <mergeCell ref="GIS1:GIZ1"/>
    <mergeCell ref="GJA1:GJH1"/>
    <mergeCell ref="GJI1:GJP1"/>
    <mergeCell ref="GJQ1:GJX1"/>
    <mergeCell ref="GJY1:GKF1"/>
    <mergeCell ref="GKG1:GKN1"/>
    <mergeCell ref="GKO1:GKV1"/>
    <mergeCell ref="GKW1:GLD1"/>
    <mergeCell ref="GLE1:GLL1"/>
    <mergeCell ref="GLM1:GLT1"/>
    <mergeCell ref="GLU1:GMB1"/>
    <mergeCell ref="GMC1:GMJ1"/>
    <mergeCell ref="GBY1:GCF1"/>
    <mergeCell ref="GCG1:GCN1"/>
    <mergeCell ref="GCO1:GCV1"/>
    <mergeCell ref="GCW1:GDD1"/>
    <mergeCell ref="GDE1:GDL1"/>
    <mergeCell ref="GDM1:GDT1"/>
    <mergeCell ref="GDU1:GEB1"/>
    <mergeCell ref="GEC1:GEJ1"/>
    <mergeCell ref="GEK1:GER1"/>
    <mergeCell ref="GES1:GEZ1"/>
    <mergeCell ref="GFA1:GFH1"/>
    <mergeCell ref="GFI1:GFP1"/>
    <mergeCell ref="GFQ1:GFX1"/>
    <mergeCell ref="GFY1:GGF1"/>
    <mergeCell ref="GGG1:GGN1"/>
    <mergeCell ref="GGO1:GGV1"/>
    <mergeCell ref="GGW1:GHD1"/>
    <mergeCell ref="FWS1:FWZ1"/>
    <mergeCell ref="FXA1:FXH1"/>
    <mergeCell ref="FXI1:FXP1"/>
    <mergeCell ref="FXQ1:FXX1"/>
    <mergeCell ref="FXY1:FYF1"/>
    <mergeCell ref="FYG1:FYN1"/>
    <mergeCell ref="FYO1:FYV1"/>
    <mergeCell ref="FYW1:FZD1"/>
    <mergeCell ref="FZE1:FZL1"/>
    <mergeCell ref="FZM1:FZT1"/>
    <mergeCell ref="FZU1:GAB1"/>
    <mergeCell ref="GAC1:GAJ1"/>
    <mergeCell ref="GAK1:GAR1"/>
    <mergeCell ref="GAS1:GAZ1"/>
    <mergeCell ref="GBA1:GBH1"/>
    <mergeCell ref="GBI1:GBP1"/>
    <mergeCell ref="GBQ1:GBX1"/>
    <mergeCell ref="FRM1:FRT1"/>
    <mergeCell ref="FRU1:FSB1"/>
    <mergeCell ref="FSC1:FSJ1"/>
    <mergeCell ref="FSK1:FSR1"/>
    <mergeCell ref="FSS1:FSZ1"/>
    <mergeCell ref="FTA1:FTH1"/>
    <mergeCell ref="FTI1:FTP1"/>
    <mergeCell ref="FTQ1:FTX1"/>
    <mergeCell ref="FTY1:FUF1"/>
    <mergeCell ref="FUG1:FUN1"/>
    <mergeCell ref="FUO1:FUV1"/>
    <mergeCell ref="FUW1:FVD1"/>
    <mergeCell ref="FVE1:FVL1"/>
    <mergeCell ref="FVM1:FVT1"/>
    <mergeCell ref="FVU1:FWB1"/>
    <mergeCell ref="FWC1:FWJ1"/>
    <mergeCell ref="FWK1:FWR1"/>
    <mergeCell ref="FMG1:FMN1"/>
    <mergeCell ref="FMO1:FMV1"/>
    <mergeCell ref="FMW1:FND1"/>
    <mergeCell ref="FNE1:FNL1"/>
    <mergeCell ref="FNM1:FNT1"/>
    <mergeCell ref="FNU1:FOB1"/>
    <mergeCell ref="FOC1:FOJ1"/>
    <mergeCell ref="FOK1:FOR1"/>
    <mergeCell ref="FOS1:FOZ1"/>
    <mergeCell ref="FPA1:FPH1"/>
    <mergeCell ref="FPI1:FPP1"/>
    <mergeCell ref="FPQ1:FPX1"/>
    <mergeCell ref="FPY1:FQF1"/>
    <mergeCell ref="FQG1:FQN1"/>
    <mergeCell ref="FQO1:FQV1"/>
    <mergeCell ref="FQW1:FRD1"/>
    <mergeCell ref="FRE1:FRL1"/>
    <mergeCell ref="FHA1:FHH1"/>
    <mergeCell ref="FHI1:FHP1"/>
    <mergeCell ref="FHQ1:FHX1"/>
    <mergeCell ref="FHY1:FIF1"/>
    <mergeCell ref="FIG1:FIN1"/>
    <mergeCell ref="FIO1:FIV1"/>
    <mergeCell ref="FIW1:FJD1"/>
    <mergeCell ref="FJE1:FJL1"/>
    <mergeCell ref="FJM1:FJT1"/>
    <mergeCell ref="FJU1:FKB1"/>
    <mergeCell ref="FKC1:FKJ1"/>
    <mergeCell ref="FKK1:FKR1"/>
    <mergeCell ref="FKS1:FKZ1"/>
    <mergeCell ref="FLA1:FLH1"/>
    <mergeCell ref="FLI1:FLP1"/>
    <mergeCell ref="FLQ1:FLX1"/>
    <mergeCell ref="FLY1:FMF1"/>
    <mergeCell ref="FBU1:FCB1"/>
    <mergeCell ref="FCC1:FCJ1"/>
    <mergeCell ref="FCK1:FCR1"/>
    <mergeCell ref="FCS1:FCZ1"/>
    <mergeCell ref="FDA1:FDH1"/>
    <mergeCell ref="FDI1:FDP1"/>
    <mergeCell ref="FDQ1:FDX1"/>
    <mergeCell ref="FDY1:FEF1"/>
    <mergeCell ref="FEG1:FEN1"/>
    <mergeCell ref="FEO1:FEV1"/>
    <mergeCell ref="FEW1:FFD1"/>
    <mergeCell ref="FFE1:FFL1"/>
    <mergeCell ref="FFM1:FFT1"/>
    <mergeCell ref="FFU1:FGB1"/>
    <mergeCell ref="FGC1:FGJ1"/>
    <mergeCell ref="FGK1:FGR1"/>
    <mergeCell ref="FGS1:FGZ1"/>
    <mergeCell ref="EWO1:EWV1"/>
    <mergeCell ref="EWW1:EXD1"/>
    <mergeCell ref="EXE1:EXL1"/>
    <mergeCell ref="EXM1:EXT1"/>
    <mergeCell ref="EXU1:EYB1"/>
    <mergeCell ref="EYC1:EYJ1"/>
    <mergeCell ref="EYK1:EYR1"/>
    <mergeCell ref="EYS1:EYZ1"/>
    <mergeCell ref="EZA1:EZH1"/>
    <mergeCell ref="EZI1:EZP1"/>
    <mergeCell ref="EZQ1:EZX1"/>
    <mergeCell ref="EZY1:FAF1"/>
    <mergeCell ref="FAG1:FAN1"/>
    <mergeCell ref="FAO1:FAV1"/>
    <mergeCell ref="FAW1:FBD1"/>
    <mergeCell ref="FBE1:FBL1"/>
    <mergeCell ref="FBM1:FBT1"/>
    <mergeCell ref="ERI1:ERP1"/>
    <mergeCell ref="ERQ1:ERX1"/>
    <mergeCell ref="ERY1:ESF1"/>
    <mergeCell ref="ESG1:ESN1"/>
    <mergeCell ref="ESO1:ESV1"/>
    <mergeCell ref="ESW1:ETD1"/>
    <mergeCell ref="ETE1:ETL1"/>
    <mergeCell ref="ETM1:ETT1"/>
    <mergeCell ref="ETU1:EUB1"/>
    <mergeCell ref="EUC1:EUJ1"/>
    <mergeCell ref="EUK1:EUR1"/>
    <mergeCell ref="EUS1:EUZ1"/>
    <mergeCell ref="EVA1:EVH1"/>
    <mergeCell ref="EVI1:EVP1"/>
    <mergeCell ref="EVQ1:EVX1"/>
    <mergeCell ref="EVY1:EWF1"/>
    <mergeCell ref="EWG1:EWN1"/>
    <mergeCell ref="EMC1:EMJ1"/>
    <mergeCell ref="EMK1:EMR1"/>
    <mergeCell ref="EMS1:EMZ1"/>
    <mergeCell ref="ENA1:ENH1"/>
    <mergeCell ref="ENI1:ENP1"/>
    <mergeCell ref="ENQ1:ENX1"/>
    <mergeCell ref="ENY1:EOF1"/>
    <mergeCell ref="EOG1:EON1"/>
    <mergeCell ref="EOO1:EOV1"/>
    <mergeCell ref="EOW1:EPD1"/>
    <mergeCell ref="EPE1:EPL1"/>
    <mergeCell ref="EPM1:EPT1"/>
    <mergeCell ref="EPU1:EQB1"/>
    <mergeCell ref="EQC1:EQJ1"/>
    <mergeCell ref="EQK1:EQR1"/>
    <mergeCell ref="EQS1:EQZ1"/>
    <mergeCell ref="ERA1:ERH1"/>
    <mergeCell ref="EGW1:EHD1"/>
    <mergeCell ref="EHE1:EHL1"/>
    <mergeCell ref="EHM1:EHT1"/>
    <mergeCell ref="EHU1:EIB1"/>
    <mergeCell ref="EIC1:EIJ1"/>
    <mergeCell ref="EIK1:EIR1"/>
    <mergeCell ref="EIS1:EIZ1"/>
    <mergeCell ref="EJA1:EJH1"/>
    <mergeCell ref="EJI1:EJP1"/>
    <mergeCell ref="EJQ1:EJX1"/>
    <mergeCell ref="EJY1:EKF1"/>
    <mergeCell ref="EKG1:EKN1"/>
    <mergeCell ref="EKO1:EKV1"/>
    <mergeCell ref="EKW1:ELD1"/>
    <mergeCell ref="ELE1:ELL1"/>
    <mergeCell ref="ELM1:ELT1"/>
    <mergeCell ref="ELU1:EMB1"/>
    <mergeCell ref="EBQ1:EBX1"/>
    <mergeCell ref="EBY1:ECF1"/>
    <mergeCell ref="ECG1:ECN1"/>
    <mergeCell ref="ECO1:ECV1"/>
    <mergeCell ref="ECW1:EDD1"/>
    <mergeCell ref="EDE1:EDL1"/>
    <mergeCell ref="EDM1:EDT1"/>
    <mergeCell ref="EDU1:EEB1"/>
    <mergeCell ref="EEC1:EEJ1"/>
    <mergeCell ref="EEK1:EER1"/>
    <mergeCell ref="EES1:EEZ1"/>
    <mergeCell ref="EFA1:EFH1"/>
    <mergeCell ref="EFI1:EFP1"/>
    <mergeCell ref="EFQ1:EFX1"/>
    <mergeCell ref="EFY1:EGF1"/>
    <mergeCell ref="EGG1:EGN1"/>
    <mergeCell ref="EGO1:EGV1"/>
    <mergeCell ref="DWK1:DWR1"/>
    <mergeCell ref="DWS1:DWZ1"/>
    <mergeCell ref="DXA1:DXH1"/>
    <mergeCell ref="DXI1:DXP1"/>
    <mergeCell ref="DXQ1:DXX1"/>
    <mergeCell ref="DXY1:DYF1"/>
    <mergeCell ref="DYG1:DYN1"/>
    <mergeCell ref="DYO1:DYV1"/>
    <mergeCell ref="DYW1:DZD1"/>
    <mergeCell ref="DZE1:DZL1"/>
    <mergeCell ref="DZM1:DZT1"/>
    <mergeCell ref="DZU1:EAB1"/>
    <mergeCell ref="EAC1:EAJ1"/>
    <mergeCell ref="EAK1:EAR1"/>
    <mergeCell ref="EAS1:EAZ1"/>
    <mergeCell ref="EBA1:EBH1"/>
    <mergeCell ref="EBI1:EBP1"/>
    <mergeCell ref="DRE1:DRL1"/>
    <mergeCell ref="DRM1:DRT1"/>
    <mergeCell ref="DRU1:DSB1"/>
    <mergeCell ref="DSC1:DSJ1"/>
    <mergeCell ref="DSK1:DSR1"/>
    <mergeCell ref="DSS1:DSZ1"/>
    <mergeCell ref="DTA1:DTH1"/>
    <mergeCell ref="DTI1:DTP1"/>
    <mergeCell ref="DTQ1:DTX1"/>
    <mergeCell ref="DTY1:DUF1"/>
    <mergeCell ref="DUG1:DUN1"/>
    <mergeCell ref="DUO1:DUV1"/>
    <mergeCell ref="DUW1:DVD1"/>
    <mergeCell ref="DVE1:DVL1"/>
    <mergeCell ref="DVM1:DVT1"/>
    <mergeCell ref="DVU1:DWB1"/>
    <mergeCell ref="DWC1:DWJ1"/>
    <mergeCell ref="DLY1:DMF1"/>
    <mergeCell ref="DMG1:DMN1"/>
    <mergeCell ref="DMO1:DMV1"/>
    <mergeCell ref="DMW1:DND1"/>
    <mergeCell ref="DNE1:DNL1"/>
    <mergeCell ref="DNM1:DNT1"/>
    <mergeCell ref="DNU1:DOB1"/>
    <mergeCell ref="DOC1:DOJ1"/>
    <mergeCell ref="DOK1:DOR1"/>
    <mergeCell ref="DOS1:DOZ1"/>
    <mergeCell ref="DPA1:DPH1"/>
    <mergeCell ref="DPI1:DPP1"/>
    <mergeCell ref="DPQ1:DPX1"/>
    <mergeCell ref="DPY1:DQF1"/>
    <mergeCell ref="DQG1:DQN1"/>
    <mergeCell ref="DQO1:DQV1"/>
    <mergeCell ref="DQW1:DRD1"/>
    <mergeCell ref="DGS1:DGZ1"/>
    <mergeCell ref="DHA1:DHH1"/>
    <mergeCell ref="DHI1:DHP1"/>
    <mergeCell ref="DHQ1:DHX1"/>
    <mergeCell ref="DHY1:DIF1"/>
    <mergeCell ref="DIG1:DIN1"/>
    <mergeCell ref="DIO1:DIV1"/>
    <mergeCell ref="DIW1:DJD1"/>
    <mergeCell ref="DJE1:DJL1"/>
    <mergeCell ref="DJM1:DJT1"/>
    <mergeCell ref="DJU1:DKB1"/>
    <mergeCell ref="DKC1:DKJ1"/>
    <mergeCell ref="DKK1:DKR1"/>
    <mergeCell ref="DKS1:DKZ1"/>
    <mergeCell ref="DLA1:DLH1"/>
    <mergeCell ref="DLI1:DLP1"/>
    <mergeCell ref="DLQ1:DLX1"/>
    <mergeCell ref="DBM1:DBT1"/>
    <mergeCell ref="DBU1:DCB1"/>
    <mergeCell ref="DCC1:DCJ1"/>
    <mergeCell ref="DCK1:DCR1"/>
    <mergeCell ref="DCS1:DCZ1"/>
    <mergeCell ref="DDA1:DDH1"/>
    <mergeCell ref="DDI1:DDP1"/>
    <mergeCell ref="DDQ1:DDX1"/>
    <mergeCell ref="DDY1:DEF1"/>
    <mergeCell ref="DEG1:DEN1"/>
    <mergeCell ref="DEO1:DEV1"/>
    <mergeCell ref="DEW1:DFD1"/>
    <mergeCell ref="DFE1:DFL1"/>
    <mergeCell ref="DFM1:DFT1"/>
    <mergeCell ref="DFU1:DGB1"/>
    <mergeCell ref="DGC1:DGJ1"/>
    <mergeCell ref="DGK1:DGR1"/>
    <mergeCell ref="CWG1:CWN1"/>
    <mergeCell ref="CWO1:CWV1"/>
    <mergeCell ref="CWW1:CXD1"/>
    <mergeCell ref="CXE1:CXL1"/>
    <mergeCell ref="CXM1:CXT1"/>
    <mergeCell ref="CXU1:CYB1"/>
    <mergeCell ref="CYC1:CYJ1"/>
    <mergeCell ref="CYK1:CYR1"/>
    <mergeCell ref="CYS1:CYZ1"/>
    <mergeCell ref="CZA1:CZH1"/>
    <mergeCell ref="CZI1:CZP1"/>
    <mergeCell ref="CZQ1:CZX1"/>
    <mergeCell ref="CZY1:DAF1"/>
    <mergeCell ref="DAG1:DAN1"/>
    <mergeCell ref="DAO1:DAV1"/>
    <mergeCell ref="DAW1:DBD1"/>
    <mergeCell ref="DBE1:DBL1"/>
    <mergeCell ref="CRA1:CRH1"/>
    <mergeCell ref="CRI1:CRP1"/>
    <mergeCell ref="CRQ1:CRX1"/>
    <mergeCell ref="CRY1:CSF1"/>
    <mergeCell ref="CSG1:CSN1"/>
    <mergeCell ref="CSO1:CSV1"/>
    <mergeCell ref="CSW1:CTD1"/>
    <mergeCell ref="CTE1:CTL1"/>
    <mergeCell ref="CTM1:CTT1"/>
    <mergeCell ref="CTU1:CUB1"/>
    <mergeCell ref="CUC1:CUJ1"/>
    <mergeCell ref="CUK1:CUR1"/>
    <mergeCell ref="CUS1:CUZ1"/>
    <mergeCell ref="CVA1:CVH1"/>
    <mergeCell ref="CVI1:CVP1"/>
    <mergeCell ref="CVQ1:CVX1"/>
    <mergeCell ref="CVY1:CWF1"/>
    <mergeCell ref="CLU1:CMB1"/>
    <mergeCell ref="CMC1:CMJ1"/>
    <mergeCell ref="CMK1:CMR1"/>
    <mergeCell ref="CMS1:CMZ1"/>
    <mergeCell ref="CNA1:CNH1"/>
    <mergeCell ref="CNI1:CNP1"/>
    <mergeCell ref="CNQ1:CNX1"/>
    <mergeCell ref="CNY1:COF1"/>
    <mergeCell ref="COG1:CON1"/>
    <mergeCell ref="COO1:COV1"/>
    <mergeCell ref="COW1:CPD1"/>
    <mergeCell ref="CPE1:CPL1"/>
    <mergeCell ref="CPM1:CPT1"/>
    <mergeCell ref="CPU1:CQB1"/>
    <mergeCell ref="CQC1:CQJ1"/>
    <mergeCell ref="CQK1:CQR1"/>
    <mergeCell ref="CQS1:CQZ1"/>
    <mergeCell ref="CGO1:CGV1"/>
    <mergeCell ref="CGW1:CHD1"/>
    <mergeCell ref="CHE1:CHL1"/>
    <mergeCell ref="CHM1:CHT1"/>
    <mergeCell ref="CHU1:CIB1"/>
    <mergeCell ref="CIC1:CIJ1"/>
    <mergeCell ref="CIK1:CIR1"/>
    <mergeCell ref="CIS1:CIZ1"/>
    <mergeCell ref="CJA1:CJH1"/>
    <mergeCell ref="CJI1:CJP1"/>
    <mergeCell ref="CJQ1:CJX1"/>
    <mergeCell ref="CJY1:CKF1"/>
    <mergeCell ref="CKG1:CKN1"/>
    <mergeCell ref="CKO1:CKV1"/>
    <mergeCell ref="CKW1:CLD1"/>
    <mergeCell ref="CLE1:CLL1"/>
    <mergeCell ref="CLM1:CLT1"/>
    <mergeCell ref="CBI1:CBP1"/>
    <mergeCell ref="CBQ1:CBX1"/>
    <mergeCell ref="CBY1:CCF1"/>
    <mergeCell ref="CCG1:CCN1"/>
    <mergeCell ref="CCO1:CCV1"/>
    <mergeCell ref="CCW1:CDD1"/>
    <mergeCell ref="CDE1:CDL1"/>
    <mergeCell ref="CDM1:CDT1"/>
    <mergeCell ref="CDU1:CEB1"/>
    <mergeCell ref="CEC1:CEJ1"/>
    <mergeCell ref="CEK1:CER1"/>
    <mergeCell ref="CES1:CEZ1"/>
    <mergeCell ref="CFA1:CFH1"/>
    <mergeCell ref="CFI1:CFP1"/>
    <mergeCell ref="CFQ1:CFX1"/>
    <mergeCell ref="CFY1:CGF1"/>
    <mergeCell ref="CGG1:CGN1"/>
    <mergeCell ref="BWC1:BWJ1"/>
    <mergeCell ref="BWK1:BWR1"/>
    <mergeCell ref="BWS1:BWZ1"/>
    <mergeCell ref="BXA1:BXH1"/>
    <mergeCell ref="BXI1:BXP1"/>
    <mergeCell ref="BXQ1:BXX1"/>
    <mergeCell ref="BXY1:BYF1"/>
    <mergeCell ref="BYG1:BYN1"/>
    <mergeCell ref="BYO1:BYV1"/>
    <mergeCell ref="BYW1:BZD1"/>
    <mergeCell ref="BZE1:BZL1"/>
    <mergeCell ref="BZM1:BZT1"/>
    <mergeCell ref="BZU1:CAB1"/>
    <mergeCell ref="CAC1:CAJ1"/>
    <mergeCell ref="CAK1:CAR1"/>
    <mergeCell ref="CAS1:CAZ1"/>
    <mergeCell ref="CBA1:CBH1"/>
    <mergeCell ref="BQW1:BRD1"/>
    <mergeCell ref="BRE1:BRL1"/>
    <mergeCell ref="BRM1:BRT1"/>
    <mergeCell ref="BRU1:BSB1"/>
    <mergeCell ref="BSC1:BSJ1"/>
    <mergeCell ref="BSK1:BSR1"/>
    <mergeCell ref="BSS1:BSZ1"/>
    <mergeCell ref="BTA1:BTH1"/>
    <mergeCell ref="BTI1:BTP1"/>
    <mergeCell ref="BTQ1:BTX1"/>
    <mergeCell ref="BTY1:BUF1"/>
    <mergeCell ref="BUG1:BUN1"/>
    <mergeCell ref="BUO1:BUV1"/>
    <mergeCell ref="BUW1:BVD1"/>
    <mergeCell ref="BVE1:BVL1"/>
    <mergeCell ref="BVM1:BVT1"/>
    <mergeCell ref="BVU1:BWB1"/>
    <mergeCell ref="BLQ1:BLX1"/>
    <mergeCell ref="BLY1:BMF1"/>
    <mergeCell ref="BMG1:BMN1"/>
    <mergeCell ref="BMO1:BMV1"/>
    <mergeCell ref="BMW1:BND1"/>
    <mergeCell ref="BNE1:BNL1"/>
    <mergeCell ref="BNM1:BNT1"/>
    <mergeCell ref="BNU1:BOB1"/>
    <mergeCell ref="BOC1:BOJ1"/>
    <mergeCell ref="BOK1:BOR1"/>
    <mergeCell ref="BOS1:BOZ1"/>
    <mergeCell ref="BPA1:BPH1"/>
    <mergeCell ref="BPI1:BPP1"/>
    <mergeCell ref="BPQ1:BPX1"/>
    <mergeCell ref="BPY1:BQF1"/>
    <mergeCell ref="BQG1:BQN1"/>
    <mergeCell ref="BQO1:BQV1"/>
    <mergeCell ref="BGK1:BGR1"/>
    <mergeCell ref="BGS1:BGZ1"/>
    <mergeCell ref="BHA1:BHH1"/>
    <mergeCell ref="BHI1:BHP1"/>
    <mergeCell ref="BHQ1:BHX1"/>
    <mergeCell ref="BHY1:BIF1"/>
    <mergeCell ref="BIG1:BIN1"/>
    <mergeCell ref="BIO1:BIV1"/>
    <mergeCell ref="BIW1:BJD1"/>
    <mergeCell ref="BJE1:BJL1"/>
    <mergeCell ref="BJM1:BJT1"/>
    <mergeCell ref="BJU1:BKB1"/>
    <mergeCell ref="BKC1:BKJ1"/>
    <mergeCell ref="BKK1:BKR1"/>
    <mergeCell ref="BKS1:BKZ1"/>
    <mergeCell ref="BLA1:BLH1"/>
    <mergeCell ref="BLI1:BLP1"/>
    <mergeCell ref="BBE1:BBL1"/>
    <mergeCell ref="BBM1:BBT1"/>
    <mergeCell ref="BBU1:BCB1"/>
    <mergeCell ref="BCC1:BCJ1"/>
    <mergeCell ref="BCK1:BCR1"/>
    <mergeCell ref="BCS1:BCZ1"/>
    <mergeCell ref="BDA1:BDH1"/>
    <mergeCell ref="BDI1:BDP1"/>
    <mergeCell ref="BDQ1:BDX1"/>
    <mergeCell ref="BDY1:BEF1"/>
    <mergeCell ref="BEG1:BEN1"/>
    <mergeCell ref="BEO1:BEV1"/>
    <mergeCell ref="BEW1:BFD1"/>
    <mergeCell ref="BFE1:BFL1"/>
    <mergeCell ref="BFM1:BFT1"/>
    <mergeCell ref="BFU1:BGB1"/>
    <mergeCell ref="BGC1:BGJ1"/>
    <mergeCell ref="AVY1:AWF1"/>
    <mergeCell ref="AWG1:AWN1"/>
    <mergeCell ref="AWO1:AWV1"/>
    <mergeCell ref="AWW1:AXD1"/>
    <mergeCell ref="AXE1:AXL1"/>
    <mergeCell ref="AXM1:AXT1"/>
    <mergeCell ref="AXU1:AYB1"/>
    <mergeCell ref="AYC1:AYJ1"/>
    <mergeCell ref="AYK1:AYR1"/>
    <mergeCell ref="AYS1:AYZ1"/>
    <mergeCell ref="AZA1:AZH1"/>
    <mergeCell ref="AZI1:AZP1"/>
    <mergeCell ref="AZQ1:AZX1"/>
    <mergeCell ref="AZY1:BAF1"/>
    <mergeCell ref="BAG1:BAN1"/>
    <mergeCell ref="BAO1:BAV1"/>
    <mergeCell ref="BAW1:BBD1"/>
    <mergeCell ref="AQS1:AQZ1"/>
    <mergeCell ref="ARA1:ARH1"/>
    <mergeCell ref="ARI1:ARP1"/>
    <mergeCell ref="ARQ1:ARX1"/>
    <mergeCell ref="ARY1:ASF1"/>
    <mergeCell ref="ASG1:ASN1"/>
    <mergeCell ref="ASO1:ASV1"/>
    <mergeCell ref="ASW1:ATD1"/>
    <mergeCell ref="ATE1:ATL1"/>
    <mergeCell ref="ATM1:ATT1"/>
    <mergeCell ref="ATU1:AUB1"/>
    <mergeCell ref="AUC1:AUJ1"/>
    <mergeCell ref="AUK1:AUR1"/>
    <mergeCell ref="AUS1:AUZ1"/>
    <mergeCell ref="AVA1:AVH1"/>
    <mergeCell ref="AVI1:AVP1"/>
    <mergeCell ref="AVQ1:AVX1"/>
    <mergeCell ref="ALM1:ALT1"/>
    <mergeCell ref="ALU1:AMB1"/>
    <mergeCell ref="AMC1:AMJ1"/>
    <mergeCell ref="AMK1:AMR1"/>
    <mergeCell ref="AMS1:AMZ1"/>
    <mergeCell ref="ANA1:ANH1"/>
    <mergeCell ref="ANI1:ANP1"/>
    <mergeCell ref="ANQ1:ANX1"/>
    <mergeCell ref="ANY1:AOF1"/>
    <mergeCell ref="AOG1:AON1"/>
    <mergeCell ref="AOO1:AOV1"/>
    <mergeCell ref="AOW1:APD1"/>
    <mergeCell ref="APE1:APL1"/>
    <mergeCell ref="APM1:APT1"/>
    <mergeCell ref="APU1:AQB1"/>
    <mergeCell ref="AQC1:AQJ1"/>
    <mergeCell ref="AQK1:AQR1"/>
    <mergeCell ref="AGG1:AGN1"/>
    <mergeCell ref="AGO1:AGV1"/>
    <mergeCell ref="AGW1:AHD1"/>
    <mergeCell ref="AHE1:AHL1"/>
    <mergeCell ref="AHM1:AHT1"/>
    <mergeCell ref="AHU1:AIB1"/>
    <mergeCell ref="AIC1:AIJ1"/>
    <mergeCell ref="AIK1:AIR1"/>
    <mergeCell ref="AIS1:AIZ1"/>
    <mergeCell ref="AJA1:AJH1"/>
    <mergeCell ref="AJI1:AJP1"/>
    <mergeCell ref="AJQ1:AJX1"/>
    <mergeCell ref="AJY1:AKF1"/>
    <mergeCell ref="AKG1:AKN1"/>
    <mergeCell ref="AKO1:AKV1"/>
    <mergeCell ref="AKW1:ALD1"/>
    <mergeCell ref="ALE1:ALL1"/>
    <mergeCell ref="ABA1:ABH1"/>
    <mergeCell ref="ABI1:ABP1"/>
    <mergeCell ref="ABQ1:ABX1"/>
    <mergeCell ref="ABY1:ACF1"/>
    <mergeCell ref="ACG1:ACN1"/>
    <mergeCell ref="ACO1:ACV1"/>
    <mergeCell ref="ACW1:ADD1"/>
    <mergeCell ref="ADE1:ADL1"/>
    <mergeCell ref="ADM1:ADT1"/>
    <mergeCell ref="ADU1:AEB1"/>
    <mergeCell ref="AEC1:AEJ1"/>
    <mergeCell ref="AEK1:AER1"/>
    <mergeCell ref="AES1:AEZ1"/>
    <mergeCell ref="AFA1:AFH1"/>
    <mergeCell ref="AFI1:AFP1"/>
    <mergeCell ref="AFQ1:AFX1"/>
    <mergeCell ref="AFY1:AGF1"/>
    <mergeCell ref="VU1:WB1"/>
    <mergeCell ref="WC1:WJ1"/>
    <mergeCell ref="WK1:WR1"/>
    <mergeCell ref="WS1:WZ1"/>
    <mergeCell ref="XA1:XH1"/>
    <mergeCell ref="XI1:XP1"/>
    <mergeCell ref="XQ1:XX1"/>
    <mergeCell ref="XY1:YF1"/>
    <mergeCell ref="YG1:YN1"/>
    <mergeCell ref="YO1:YV1"/>
    <mergeCell ref="YW1:ZD1"/>
    <mergeCell ref="ZE1:ZL1"/>
    <mergeCell ref="ZM1:ZT1"/>
    <mergeCell ref="ZU1:AAB1"/>
    <mergeCell ref="AAC1:AAJ1"/>
    <mergeCell ref="AAK1:AAR1"/>
    <mergeCell ref="AAS1:AAZ1"/>
    <mergeCell ref="QO1:QV1"/>
    <mergeCell ref="QW1:RD1"/>
    <mergeCell ref="RE1:RL1"/>
    <mergeCell ref="RM1:RT1"/>
    <mergeCell ref="RU1:SB1"/>
    <mergeCell ref="SC1:SJ1"/>
    <mergeCell ref="SK1:SR1"/>
    <mergeCell ref="SS1:SZ1"/>
    <mergeCell ref="TA1:TH1"/>
    <mergeCell ref="TI1:TP1"/>
    <mergeCell ref="TQ1:TX1"/>
    <mergeCell ref="TY1:UF1"/>
    <mergeCell ref="UG1:UN1"/>
    <mergeCell ref="UO1:UV1"/>
    <mergeCell ref="UW1:VD1"/>
    <mergeCell ref="VE1:VL1"/>
    <mergeCell ref="VM1:VT1"/>
    <mergeCell ref="LI1:LP1"/>
    <mergeCell ref="LQ1:LX1"/>
    <mergeCell ref="LY1:MF1"/>
    <mergeCell ref="MG1:MN1"/>
    <mergeCell ref="MO1:MV1"/>
    <mergeCell ref="MW1:ND1"/>
    <mergeCell ref="NE1:NL1"/>
    <mergeCell ref="NM1:NT1"/>
    <mergeCell ref="NU1:OB1"/>
    <mergeCell ref="OC1:OJ1"/>
    <mergeCell ref="OK1:OR1"/>
    <mergeCell ref="OS1:OZ1"/>
    <mergeCell ref="PA1:PH1"/>
    <mergeCell ref="PI1:PP1"/>
    <mergeCell ref="PQ1:PX1"/>
    <mergeCell ref="PY1:QF1"/>
    <mergeCell ref="QG1:QN1"/>
    <mergeCell ref="GC1:GJ1"/>
    <mergeCell ref="GK1:GR1"/>
    <mergeCell ref="GS1:GZ1"/>
    <mergeCell ref="HA1:HH1"/>
    <mergeCell ref="HI1:HP1"/>
    <mergeCell ref="HQ1:HX1"/>
    <mergeCell ref="HY1:IF1"/>
    <mergeCell ref="IG1:IN1"/>
    <mergeCell ref="IO1:IV1"/>
    <mergeCell ref="IW1:JD1"/>
    <mergeCell ref="JE1:JL1"/>
    <mergeCell ref="JM1:JT1"/>
    <mergeCell ref="JU1:KB1"/>
    <mergeCell ref="KC1:KJ1"/>
    <mergeCell ref="KK1:KR1"/>
    <mergeCell ref="KS1:KZ1"/>
    <mergeCell ref="LA1:LH1"/>
    <mergeCell ref="A1:E1"/>
    <mergeCell ref="BE1:BL1"/>
    <mergeCell ref="BM1:BT1"/>
    <mergeCell ref="BU1:CB1"/>
    <mergeCell ref="CC1:CJ1"/>
    <mergeCell ref="CK1:CR1"/>
    <mergeCell ref="CS1:CZ1"/>
    <mergeCell ref="DA1:DH1"/>
    <mergeCell ref="DI1:DP1"/>
    <mergeCell ref="DQ1:DX1"/>
    <mergeCell ref="DY1:EF1"/>
    <mergeCell ref="EG1:EN1"/>
    <mergeCell ref="EO1:EV1"/>
    <mergeCell ref="EW1:FD1"/>
    <mergeCell ref="FE1:FL1"/>
    <mergeCell ref="FM1:FT1"/>
    <mergeCell ref="FU1:GB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5Y Fin. Summary</vt:lpstr>
      <vt:lpstr>Assumptions</vt:lpstr>
      <vt:lpstr>IS</vt:lpstr>
      <vt:lpstr>SOFP</vt:lpstr>
      <vt:lpstr>CF</vt:lpstr>
      <vt:lpstr>CapEx</vt:lpstr>
      <vt:lpstr>WC</vt:lpstr>
      <vt:lpstr>Loan Schedule</vt:lpstr>
      <vt:lpstr>NOPLAT</vt:lpstr>
      <vt:lpstr>WACC</vt:lpstr>
      <vt:lpstr>DCF</vt:lpstr>
      <vt:lpstr>Ratios</vt:lpstr>
      <vt:lpstr>RV</vt:lpstr>
      <vt:lpstr>'5Y Fin. Summary'!ExternalData_1</vt:lpstr>
      <vt:lpstr>SOFP!ExternalData_1</vt:lpstr>
      <vt:lpstr>CF!ExternalData_6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Chalani Fernando</dc:creator>
  <cp:lastModifiedBy>Chalani Fernando</cp:lastModifiedBy>
  <dcterms:created xsi:type="dcterms:W3CDTF">2025-06-06T20:49:26Z</dcterms:created>
  <dcterms:modified xsi:type="dcterms:W3CDTF">2026-03-29T14:28:01Z</dcterms:modified>
</cp:coreProperties>
</file>